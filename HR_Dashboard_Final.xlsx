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C:\Users\MM00584819\Desktop\"/>
    </mc:Choice>
  </mc:AlternateContent>
  <xr:revisionPtr revIDLastSave="0" documentId="8_{91869D49-0CA9-4276-B883-C99FC1CEB9D0}" xr6:coauthVersionLast="47" xr6:coauthVersionMax="47" xr10:uidLastSave="{00000000-0000-0000-0000-000000000000}"/>
  <bookViews>
    <workbookView xWindow="-120" yWindow="-120" windowWidth="20730" windowHeight="11040" tabRatio="500" firstSheet="2" activeTab="2" xr2:uid="{00000000-000D-0000-FFFF-FFFF00000000}"/>
  </bookViews>
  <sheets>
    <sheet name="Data" sheetId="1" r:id="rId1"/>
    <sheet name="Calc" sheetId="2" r:id="rId2"/>
    <sheet name="Dashboard" sheetId="3" r:id="rId3"/>
    <sheet name="Data_Summary" sheetId="4" r:id="rId4"/>
    <sheet name="Data_Insight" sheetId="5" r:id="rId5"/>
    <sheet name="Unmatched_Data" sheetId="6" state="hidden" r:id="rId6"/>
  </sheets>
  <definedNames>
    <definedName name="Data_Insight">Data_Insight!$1:$1048576</definedName>
    <definedName name="Data_Summary">Data_Summary!$1:$1048576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2" l="1"/>
  <c r="C8" i="3" s="1"/>
  <c r="E57" i="2"/>
  <c r="D264" i="2"/>
  <c r="D265" i="2"/>
  <c r="D266" i="2"/>
  <c r="AJ599" i="2"/>
  <c r="AK599" i="2" s="1"/>
  <c r="AJ598" i="2"/>
  <c r="AK598" i="2" s="1"/>
  <c r="AJ597" i="2"/>
  <c r="AK597" i="2" s="1"/>
  <c r="AJ596" i="2"/>
  <c r="AK596" i="2" s="1"/>
  <c r="AJ595" i="2"/>
  <c r="AK595" i="2" s="1"/>
  <c r="AJ594" i="2"/>
  <c r="AK594" i="2" s="1"/>
  <c r="AJ593" i="2"/>
  <c r="AK593" i="2" s="1"/>
  <c r="AJ592" i="2"/>
  <c r="AK592" i="2" s="1"/>
  <c r="AJ591" i="2"/>
  <c r="AK591" i="2" s="1"/>
  <c r="AJ590" i="2"/>
  <c r="AK590" i="2" s="1"/>
  <c r="AJ589" i="2"/>
  <c r="AK589" i="2" s="1"/>
  <c r="AJ588" i="2"/>
  <c r="AK588" i="2" s="1"/>
  <c r="AJ587" i="2"/>
  <c r="AK587" i="2" s="1"/>
  <c r="AJ586" i="2"/>
  <c r="AK586" i="2" s="1"/>
  <c r="AJ585" i="2"/>
  <c r="AK585" i="2" s="1"/>
  <c r="AJ584" i="2"/>
  <c r="AK584" i="2" s="1"/>
  <c r="AJ583" i="2"/>
  <c r="AK583" i="2" s="1"/>
  <c r="AJ582" i="2"/>
  <c r="AK582" i="2" s="1"/>
  <c r="AJ581" i="2"/>
  <c r="AK581" i="2" s="1"/>
  <c r="AJ580" i="2"/>
  <c r="AK580" i="2" s="1"/>
  <c r="AJ579" i="2"/>
  <c r="AK579" i="2" s="1"/>
  <c r="AJ578" i="2"/>
  <c r="AK578" i="2" s="1"/>
  <c r="AJ577" i="2"/>
  <c r="AK577" i="2" s="1"/>
  <c r="AJ576" i="2"/>
  <c r="AK576" i="2" s="1"/>
  <c r="AJ575" i="2"/>
  <c r="AK575" i="2" s="1"/>
  <c r="AJ574" i="2"/>
  <c r="AK574" i="2" s="1"/>
  <c r="AJ573" i="2"/>
  <c r="AK573" i="2" s="1"/>
  <c r="AJ572" i="2"/>
  <c r="AK572" i="2" s="1"/>
  <c r="AJ571" i="2"/>
  <c r="AK571" i="2" s="1"/>
  <c r="AJ570" i="2"/>
  <c r="AK570" i="2" s="1"/>
  <c r="AJ569" i="2"/>
  <c r="AK569" i="2" s="1"/>
  <c r="AJ568" i="2"/>
  <c r="AK568" i="2" s="1"/>
  <c r="AJ567" i="2"/>
  <c r="AK567" i="2" s="1"/>
  <c r="AJ566" i="2"/>
  <c r="AK566" i="2" s="1"/>
  <c r="AJ565" i="2"/>
  <c r="AK565" i="2" s="1"/>
  <c r="AJ564" i="2"/>
  <c r="AK564" i="2" s="1"/>
  <c r="AJ563" i="2"/>
  <c r="AK563" i="2" s="1"/>
  <c r="AJ562" i="2"/>
  <c r="AK562" i="2" s="1"/>
  <c r="AJ561" i="2"/>
  <c r="AK561" i="2" s="1"/>
  <c r="AJ560" i="2"/>
  <c r="AK560" i="2" s="1"/>
  <c r="AJ559" i="2"/>
  <c r="AK559" i="2" s="1"/>
  <c r="AJ558" i="2"/>
  <c r="AK558" i="2" s="1"/>
  <c r="AJ557" i="2"/>
  <c r="AK557" i="2" s="1"/>
  <c r="AJ556" i="2"/>
  <c r="AK556" i="2" s="1"/>
  <c r="AJ555" i="2"/>
  <c r="AK555" i="2" s="1"/>
  <c r="AJ554" i="2"/>
  <c r="AK554" i="2" s="1"/>
  <c r="AJ553" i="2"/>
  <c r="AK553" i="2" s="1"/>
  <c r="AJ552" i="2"/>
  <c r="AK552" i="2" s="1"/>
  <c r="AJ551" i="2"/>
  <c r="AK551" i="2" s="1"/>
  <c r="AJ550" i="2"/>
  <c r="AK550" i="2" s="1"/>
  <c r="AJ549" i="2"/>
  <c r="AK549" i="2" s="1"/>
  <c r="AJ548" i="2"/>
  <c r="AK548" i="2" s="1"/>
  <c r="AJ547" i="2"/>
  <c r="AK547" i="2" s="1"/>
  <c r="AJ546" i="2"/>
  <c r="AK546" i="2" s="1"/>
  <c r="AJ545" i="2"/>
  <c r="AK545" i="2" s="1"/>
  <c r="AJ544" i="2"/>
  <c r="AK544" i="2" s="1"/>
  <c r="AJ543" i="2"/>
  <c r="AK543" i="2" s="1"/>
  <c r="AJ542" i="2"/>
  <c r="AK542" i="2" s="1"/>
  <c r="AJ541" i="2"/>
  <c r="AK541" i="2" s="1"/>
  <c r="AJ540" i="2"/>
  <c r="AK540" i="2" s="1"/>
  <c r="AJ539" i="2"/>
  <c r="AK539" i="2" s="1"/>
  <c r="AJ538" i="2"/>
  <c r="AK538" i="2" s="1"/>
  <c r="AJ537" i="2"/>
  <c r="AK537" i="2" s="1"/>
  <c r="AJ536" i="2"/>
  <c r="AK536" i="2" s="1"/>
  <c r="AJ535" i="2"/>
  <c r="AK535" i="2" s="1"/>
  <c r="AJ534" i="2"/>
  <c r="AK534" i="2" s="1"/>
  <c r="AJ533" i="2"/>
  <c r="AK533" i="2" s="1"/>
  <c r="AJ532" i="2"/>
  <c r="AK532" i="2" s="1"/>
  <c r="AJ531" i="2"/>
  <c r="AK531" i="2" s="1"/>
  <c r="AJ530" i="2"/>
  <c r="AK530" i="2" s="1"/>
  <c r="AJ529" i="2"/>
  <c r="AK529" i="2" s="1"/>
  <c r="AJ528" i="2"/>
  <c r="AK528" i="2" s="1"/>
  <c r="AJ527" i="2"/>
  <c r="AK527" i="2" s="1"/>
  <c r="AJ526" i="2"/>
  <c r="AK526" i="2" s="1"/>
  <c r="AJ525" i="2"/>
  <c r="AK525" i="2" s="1"/>
  <c r="AJ524" i="2"/>
  <c r="AK524" i="2" s="1"/>
  <c r="AJ523" i="2"/>
  <c r="AK523" i="2" s="1"/>
  <c r="AJ522" i="2"/>
  <c r="AK522" i="2" s="1"/>
  <c r="AJ521" i="2"/>
  <c r="AK521" i="2" s="1"/>
  <c r="AJ520" i="2"/>
  <c r="AK520" i="2" s="1"/>
  <c r="AJ519" i="2"/>
  <c r="AK519" i="2" s="1"/>
  <c r="AJ518" i="2"/>
  <c r="AK518" i="2" s="1"/>
  <c r="AJ517" i="2"/>
  <c r="AK517" i="2" s="1"/>
  <c r="AJ516" i="2"/>
  <c r="AK516" i="2" s="1"/>
  <c r="AJ515" i="2"/>
  <c r="AK515" i="2" s="1"/>
  <c r="AJ514" i="2"/>
  <c r="AK514" i="2" s="1"/>
  <c r="AJ513" i="2"/>
  <c r="AK513" i="2" s="1"/>
  <c r="AJ512" i="2"/>
  <c r="AK512" i="2" s="1"/>
  <c r="AJ511" i="2"/>
  <c r="AK511" i="2" s="1"/>
  <c r="AJ510" i="2"/>
  <c r="AK510" i="2" s="1"/>
  <c r="AJ509" i="2"/>
  <c r="AK509" i="2" s="1"/>
  <c r="AJ508" i="2"/>
  <c r="AK508" i="2" s="1"/>
  <c r="AJ507" i="2"/>
  <c r="AK507" i="2" s="1"/>
  <c r="AJ506" i="2"/>
  <c r="AK506" i="2" s="1"/>
  <c r="AJ505" i="2"/>
  <c r="AK505" i="2" s="1"/>
  <c r="AJ504" i="2"/>
  <c r="AK504" i="2" s="1"/>
  <c r="AJ503" i="2"/>
  <c r="AK503" i="2" s="1"/>
  <c r="AJ502" i="2"/>
  <c r="AK502" i="2" s="1"/>
  <c r="AJ501" i="2"/>
  <c r="AK501" i="2" s="1"/>
  <c r="AJ500" i="2"/>
  <c r="AK500" i="2" s="1"/>
  <c r="AJ499" i="2"/>
  <c r="AK499" i="2" s="1"/>
  <c r="AJ498" i="2"/>
  <c r="AK498" i="2" s="1"/>
  <c r="AJ497" i="2"/>
  <c r="AK497" i="2" s="1"/>
  <c r="AJ496" i="2"/>
  <c r="AK496" i="2" s="1"/>
  <c r="AJ495" i="2"/>
  <c r="AK495" i="2" s="1"/>
  <c r="AJ494" i="2"/>
  <c r="AK494" i="2" s="1"/>
  <c r="AJ493" i="2"/>
  <c r="AK493" i="2" s="1"/>
  <c r="AJ492" i="2"/>
  <c r="AK492" i="2" s="1"/>
  <c r="AJ491" i="2"/>
  <c r="AK491" i="2" s="1"/>
  <c r="AJ490" i="2"/>
  <c r="AK490" i="2" s="1"/>
  <c r="AJ489" i="2"/>
  <c r="AK489" i="2" s="1"/>
  <c r="AJ488" i="2"/>
  <c r="AK488" i="2" s="1"/>
  <c r="AJ487" i="2"/>
  <c r="AK487" i="2" s="1"/>
  <c r="AJ486" i="2"/>
  <c r="AK486" i="2" s="1"/>
  <c r="AJ485" i="2"/>
  <c r="AK485" i="2" s="1"/>
  <c r="AJ484" i="2"/>
  <c r="AK484" i="2" s="1"/>
  <c r="AJ483" i="2"/>
  <c r="AK483" i="2" s="1"/>
  <c r="AJ482" i="2"/>
  <c r="AK482" i="2" s="1"/>
  <c r="AJ481" i="2"/>
  <c r="AK481" i="2" s="1"/>
  <c r="AJ480" i="2"/>
  <c r="AK480" i="2" s="1"/>
  <c r="AJ479" i="2"/>
  <c r="AK479" i="2" s="1"/>
  <c r="AJ478" i="2"/>
  <c r="AK478" i="2" s="1"/>
  <c r="AJ477" i="2"/>
  <c r="AK477" i="2" s="1"/>
  <c r="AJ476" i="2"/>
  <c r="AK476" i="2" s="1"/>
  <c r="AJ475" i="2"/>
  <c r="AK475" i="2" s="1"/>
  <c r="AJ474" i="2"/>
  <c r="AK474" i="2" s="1"/>
  <c r="AJ473" i="2"/>
  <c r="AK473" i="2" s="1"/>
  <c r="AJ472" i="2"/>
  <c r="AK472" i="2" s="1"/>
  <c r="AJ471" i="2"/>
  <c r="AK471" i="2" s="1"/>
  <c r="AJ470" i="2"/>
  <c r="AK470" i="2" s="1"/>
  <c r="AJ469" i="2"/>
  <c r="AK469" i="2" s="1"/>
  <c r="AJ468" i="2"/>
  <c r="AK468" i="2" s="1"/>
  <c r="AJ467" i="2"/>
  <c r="AK467" i="2" s="1"/>
  <c r="AJ466" i="2"/>
  <c r="AK466" i="2" s="1"/>
  <c r="AJ465" i="2"/>
  <c r="AK465" i="2" s="1"/>
  <c r="AJ464" i="2"/>
  <c r="AK464" i="2" s="1"/>
  <c r="AJ463" i="2"/>
  <c r="AK463" i="2" s="1"/>
  <c r="AJ462" i="2"/>
  <c r="AK462" i="2" s="1"/>
  <c r="AJ461" i="2"/>
  <c r="AK461" i="2" s="1"/>
  <c r="AJ460" i="2"/>
  <c r="AK460" i="2" s="1"/>
  <c r="AJ459" i="2"/>
  <c r="AK459" i="2" s="1"/>
  <c r="AJ458" i="2"/>
  <c r="AK458" i="2" s="1"/>
  <c r="AJ457" i="2"/>
  <c r="AK457" i="2" s="1"/>
  <c r="AJ456" i="2"/>
  <c r="AK456" i="2" s="1"/>
  <c r="AJ455" i="2"/>
  <c r="AK455" i="2" s="1"/>
  <c r="AJ454" i="2"/>
  <c r="AK454" i="2" s="1"/>
  <c r="AJ453" i="2"/>
  <c r="AK453" i="2" s="1"/>
  <c r="AJ452" i="2"/>
  <c r="AK452" i="2" s="1"/>
  <c r="AJ451" i="2"/>
  <c r="AK451" i="2" s="1"/>
  <c r="AJ450" i="2"/>
  <c r="AK450" i="2" s="1"/>
  <c r="AJ449" i="2"/>
  <c r="AK449" i="2" s="1"/>
  <c r="AJ448" i="2"/>
  <c r="AK448" i="2" s="1"/>
  <c r="AJ447" i="2"/>
  <c r="AK447" i="2" s="1"/>
  <c r="AJ446" i="2"/>
  <c r="AK446" i="2" s="1"/>
  <c r="AJ445" i="2"/>
  <c r="AK445" i="2" s="1"/>
  <c r="AJ444" i="2"/>
  <c r="AK444" i="2" s="1"/>
  <c r="AJ443" i="2"/>
  <c r="AK443" i="2" s="1"/>
  <c r="AJ442" i="2"/>
  <c r="AK442" i="2" s="1"/>
  <c r="AJ441" i="2"/>
  <c r="AK441" i="2" s="1"/>
  <c r="AJ440" i="2"/>
  <c r="AK440" i="2" s="1"/>
  <c r="AJ439" i="2"/>
  <c r="AK439" i="2" s="1"/>
  <c r="AJ438" i="2"/>
  <c r="AK438" i="2" s="1"/>
  <c r="AJ437" i="2"/>
  <c r="AK437" i="2" s="1"/>
  <c r="AJ436" i="2"/>
  <c r="AK436" i="2" s="1"/>
  <c r="AJ435" i="2"/>
  <c r="AK435" i="2" s="1"/>
  <c r="AJ434" i="2"/>
  <c r="AK434" i="2" s="1"/>
  <c r="AJ433" i="2"/>
  <c r="AK433" i="2" s="1"/>
  <c r="AJ432" i="2"/>
  <c r="AK432" i="2" s="1"/>
  <c r="AJ431" i="2"/>
  <c r="AK431" i="2" s="1"/>
  <c r="AJ430" i="2"/>
  <c r="AK430" i="2" s="1"/>
  <c r="AJ429" i="2"/>
  <c r="AK429" i="2" s="1"/>
  <c r="AJ428" i="2"/>
  <c r="AK428" i="2" s="1"/>
  <c r="AJ427" i="2"/>
  <c r="AK427" i="2" s="1"/>
  <c r="AJ426" i="2"/>
  <c r="AK426" i="2" s="1"/>
  <c r="AJ425" i="2"/>
  <c r="AK425" i="2" s="1"/>
  <c r="AJ424" i="2"/>
  <c r="AK424" i="2" s="1"/>
  <c r="AJ423" i="2"/>
  <c r="AK423" i="2" s="1"/>
  <c r="AJ422" i="2"/>
  <c r="AK422" i="2" s="1"/>
  <c r="AJ421" i="2"/>
  <c r="AK421" i="2" s="1"/>
  <c r="AJ420" i="2"/>
  <c r="AK420" i="2" s="1"/>
  <c r="AJ419" i="2"/>
  <c r="AK419" i="2" s="1"/>
  <c r="AJ418" i="2"/>
  <c r="AK418" i="2" s="1"/>
  <c r="AJ417" i="2"/>
  <c r="AK417" i="2" s="1"/>
  <c r="AJ416" i="2"/>
  <c r="AK416" i="2" s="1"/>
  <c r="AJ415" i="2"/>
  <c r="AK415" i="2" s="1"/>
  <c r="AJ414" i="2"/>
  <c r="AK414" i="2" s="1"/>
  <c r="AJ413" i="2"/>
  <c r="AK413" i="2" s="1"/>
  <c r="AJ412" i="2"/>
  <c r="AK412" i="2" s="1"/>
  <c r="AJ411" i="2"/>
  <c r="AK411" i="2" s="1"/>
  <c r="AJ410" i="2"/>
  <c r="AK410" i="2" s="1"/>
  <c r="AJ409" i="2"/>
  <c r="AK409" i="2" s="1"/>
  <c r="AJ408" i="2"/>
  <c r="AK408" i="2" s="1"/>
  <c r="AJ407" i="2"/>
  <c r="AK407" i="2" s="1"/>
  <c r="AJ406" i="2"/>
  <c r="AK406" i="2" s="1"/>
  <c r="AJ405" i="2"/>
  <c r="AK405" i="2" s="1"/>
  <c r="AJ404" i="2"/>
  <c r="AK404" i="2" s="1"/>
  <c r="AJ403" i="2"/>
  <c r="AK403" i="2" s="1"/>
  <c r="AJ402" i="2"/>
  <c r="AK402" i="2" s="1"/>
  <c r="AJ401" i="2"/>
  <c r="AK401" i="2" s="1"/>
  <c r="AJ400" i="2"/>
  <c r="AK400" i="2" s="1"/>
  <c r="AJ399" i="2"/>
  <c r="AK399" i="2" s="1"/>
  <c r="AJ398" i="2"/>
  <c r="AK398" i="2" s="1"/>
  <c r="AJ397" i="2"/>
  <c r="AK397" i="2" s="1"/>
  <c r="AJ396" i="2"/>
  <c r="AK396" i="2" s="1"/>
  <c r="AJ395" i="2"/>
  <c r="AK395" i="2" s="1"/>
  <c r="AJ394" i="2"/>
  <c r="AK394" i="2" s="1"/>
  <c r="AJ393" i="2"/>
  <c r="AK393" i="2" s="1"/>
  <c r="AJ392" i="2"/>
  <c r="AK392" i="2" s="1"/>
  <c r="AJ391" i="2"/>
  <c r="AK391" i="2" s="1"/>
  <c r="AJ390" i="2"/>
  <c r="AK390" i="2" s="1"/>
  <c r="AJ389" i="2"/>
  <c r="AK389" i="2" s="1"/>
  <c r="AJ388" i="2"/>
  <c r="AK388" i="2" s="1"/>
  <c r="AJ387" i="2"/>
  <c r="AK387" i="2" s="1"/>
  <c r="AJ386" i="2"/>
  <c r="AK386" i="2" s="1"/>
  <c r="AJ385" i="2"/>
  <c r="AK385" i="2" s="1"/>
  <c r="AJ384" i="2"/>
  <c r="AK384" i="2" s="1"/>
  <c r="AJ383" i="2"/>
  <c r="AK383" i="2" s="1"/>
  <c r="AJ382" i="2"/>
  <c r="AK382" i="2" s="1"/>
  <c r="AJ381" i="2"/>
  <c r="AK381" i="2" s="1"/>
  <c r="AJ380" i="2"/>
  <c r="AK380" i="2" s="1"/>
  <c r="AJ379" i="2"/>
  <c r="AK379" i="2" s="1"/>
  <c r="AJ378" i="2"/>
  <c r="AK378" i="2" s="1"/>
  <c r="AJ377" i="2"/>
  <c r="AK377" i="2" s="1"/>
  <c r="AJ376" i="2"/>
  <c r="AK376" i="2" s="1"/>
  <c r="AJ375" i="2"/>
  <c r="AK375" i="2" s="1"/>
  <c r="AJ374" i="2"/>
  <c r="AK374" i="2" s="1"/>
  <c r="AJ373" i="2"/>
  <c r="AK373" i="2" s="1"/>
  <c r="AJ372" i="2"/>
  <c r="AK372" i="2" s="1"/>
  <c r="AJ371" i="2"/>
  <c r="AK371" i="2" s="1"/>
  <c r="AJ370" i="2"/>
  <c r="AK370" i="2" s="1"/>
  <c r="AJ369" i="2"/>
  <c r="AK369" i="2" s="1"/>
  <c r="AJ368" i="2"/>
  <c r="AK368" i="2" s="1"/>
  <c r="AJ367" i="2"/>
  <c r="AK367" i="2" s="1"/>
  <c r="AJ366" i="2"/>
  <c r="AK366" i="2" s="1"/>
  <c r="AJ365" i="2"/>
  <c r="AK365" i="2" s="1"/>
  <c r="AJ364" i="2"/>
  <c r="AK364" i="2" s="1"/>
  <c r="AJ363" i="2"/>
  <c r="AK363" i="2" s="1"/>
  <c r="AJ362" i="2"/>
  <c r="AK362" i="2" s="1"/>
  <c r="AJ361" i="2"/>
  <c r="AK361" i="2" s="1"/>
  <c r="AJ360" i="2"/>
  <c r="AK360" i="2" s="1"/>
  <c r="AJ359" i="2"/>
  <c r="AK359" i="2" s="1"/>
  <c r="AJ358" i="2"/>
  <c r="AK358" i="2" s="1"/>
  <c r="AJ357" i="2"/>
  <c r="AK357" i="2" s="1"/>
  <c r="AJ356" i="2"/>
  <c r="AK356" i="2" s="1"/>
  <c r="AJ355" i="2"/>
  <c r="AK355" i="2" s="1"/>
  <c r="AJ354" i="2"/>
  <c r="AK354" i="2" s="1"/>
  <c r="AJ353" i="2"/>
  <c r="AK353" i="2" s="1"/>
  <c r="AJ352" i="2"/>
  <c r="AK352" i="2" s="1"/>
  <c r="AJ351" i="2"/>
  <c r="AK351" i="2" s="1"/>
  <c r="AJ350" i="2"/>
  <c r="AK350" i="2" s="1"/>
  <c r="AJ349" i="2"/>
  <c r="AK349" i="2" s="1"/>
  <c r="AJ348" i="2"/>
  <c r="AK348" i="2" s="1"/>
  <c r="AJ347" i="2"/>
  <c r="AK347" i="2" s="1"/>
  <c r="AJ346" i="2"/>
  <c r="AK346" i="2" s="1"/>
  <c r="AJ345" i="2"/>
  <c r="AK345" i="2" s="1"/>
  <c r="AJ344" i="2"/>
  <c r="AK344" i="2" s="1"/>
  <c r="AJ343" i="2"/>
  <c r="AK343" i="2" s="1"/>
  <c r="AJ342" i="2"/>
  <c r="AK342" i="2" s="1"/>
  <c r="AJ341" i="2"/>
  <c r="AK341" i="2" s="1"/>
  <c r="AJ340" i="2"/>
  <c r="AK340" i="2" s="1"/>
  <c r="AJ339" i="2"/>
  <c r="AK339" i="2" s="1"/>
  <c r="AJ338" i="2"/>
  <c r="AK338" i="2" s="1"/>
  <c r="AJ337" i="2"/>
  <c r="AK337" i="2" s="1"/>
  <c r="AJ336" i="2"/>
  <c r="AK336" i="2" s="1"/>
  <c r="AJ335" i="2"/>
  <c r="AK335" i="2" s="1"/>
  <c r="AJ334" i="2"/>
  <c r="AK334" i="2" s="1"/>
  <c r="AJ333" i="2"/>
  <c r="AK333" i="2" s="1"/>
  <c r="AJ332" i="2"/>
  <c r="AK332" i="2" s="1"/>
  <c r="AJ331" i="2"/>
  <c r="AK331" i="2" s="1"/>
  <c r="AJ330" i="2"/>
  <c r="AK330" i="2" s="1"/>
  <c r="AJ329" i="2"/>
  <c r="AK329" i="2" s="1"/>
  <c r="AJ328" i="2"/>
  <c r="AK328" i="2" s="1"/>
  <c r="AJ327" i="2"/>
  <c r="AK327" i="2" s="1"/>
  <c r="AJ326" i="2"/>
  <c r="AK326" i="2" s="1"/>
  <c r="AJ325" i="2"/>
  <c r="AK325" i="2" s="1"/>
  <c r="AJ324" i="2"/>
  <c r="AK324" i="2" s="1"/>
  <c r="AJ323" i="2"/>
  <c r="AK323" i="2" s="1"/>
  <c r="AJ322" i="2"/>
  <c r="AK322" i="2" s="1"/>
  <c r="AJ321" i="2"/>
  <c r="AK321" i="2" s="1"/>
  <c r="AJ320" i="2"/>
  <c r="AK320" i="2" s="1"/>
  <c r="AJ319" i="2"/>
  <c r="AK319" i="2" s="1"/>
  <c r="AJ318" i="2"/>
  <c r="AK318" i="2" s="1"/>
  <c r="AJ317" i="2"/>
  <c r="AK317" i="2" s="1"/>
  <c r="AJ316" i="2"/>
  <c r="AK316" i="2" s="1"/>
  <c r="AJ315" i="2"/>
  <c r="AK315" i="2" s="1"/>
  <c r="AJ314" i="2"/>
  <c r="AK314" i="2" s="1"/>
  <c r="AJ313" i="2"/>
  <c r="AK313" i="2" s="1"/>
  <c r="AJ312" i="2"/>
  <c r="AK312" i="2" s="1"/>
  <c r="AJ311" i="2"/>
  <c r="AK311" i="2" s="1"/>
  <c r="AJ310" i="2"/>
  <c r="AK310" i="2" s="1"/>
  <c r="AJ309" i="2"/>
  <c r="AK309" i="2" s="1"/>
  <c r="AJ308" i="2"/>
  <c r="AK308" i="2" s="1"/>
  <c r="AJ307" i="2"/>
  <c r="AK307" i="2" s="1"/>
  <c r="AJ306" i="2"/>
  <c r="AK306" i="2" s="1"/>
  <c r="AJ305" i="2"/>
  <c r="AK305" i="2" s="1"/>
  <c r="AJ304" i="2"/>
  <c r="AK304" i="2" s="1"/>
  <c r="AJ303" i="2"/>
  <c r="AK303" i="2" s="1"/>
  <c r="AJ302" i="2"/>
  <c r="AK302" i="2" s="1"/>
  <c r="AJ301" i="2"/>
  <c r="AK301" i="2" s="1"/>
  <c r="AJ300" i="2"/>
  <c r="AK300" i="2" s="1"/>
  <c r="AJ299" i="2"/>
  <c r="AK299" i="2" s="1"/>
  <c r="AJ298" i="2"/>
  <c r="AK298" i="2" s="1"/>
  <c r="AJ297" i="2"/>
  <c r="AK297" i="2" s="1"/>
  <c r="AJ296" i="2"/>
  <c r="AK296" i="2" s="1"/>
  <c r="AJ295" i="2"/>
  <c r="AK295" i="2" s="1"/>
  <c r="AJ294" i="2"/>
  <c r="AK294" i="2" s="1"/>
  <c r="AJ293" i="2"/>
  <c r="AK293" i="2" s="1"/>
  <c r="AJ292" i="2"/>
  <c r="AK292" i="2" s="1"/>
  <c r="AJ291" i="2"/>
  <c r="AK291" i="2" s="1"/>
  <c r="AJ290" i="2"/>
  <c r="AK290" i="2" s="1"/>
  <c r="AJ289" i="2"/>
  <c r="AK289" i="2" s="1"/>
  <c r="AJ288" i="2"/>
  <c r="AK288" i="2" s="1"/>
  <c r="AJ287" i="2"/>
  <c r="AK287" i="2" s="1"/>
  <c r="AJ286" i="2"/>
  <c r="AK286" i="2" s="1"/>
  <c r="AJ285" i="2"/>
  <c r="AK285" i="2" s="1"/>
  <c r="AJ284" i="2"/>
  <c r="AK284" i="2" s="1"/>
  <c r="AJ283" i="2"/>
  <c r="AK283" i="2" s="1"/>
  <c r="AJ282" i="2"/>
  <c r="AK282" i="2" s="1"/>
  <c r="AJ281" i="2"/>
  <c r="AK281" i="2" s="1"/>
  <c r="AJ280" i="2"/>
  <c r="AK280" i="2" s="1"/>
  <c r="AJ279" i="2"/>
  <c r="AK279" i="2" s="1"/>
  <c r="AJ278" i="2"/>
  <c r="AK278" i="2" s="1"/>
  <c r="AJ277" i="2"/>
  <c r="AK277" i="2" s="1"/>
  <c r="AJ276" i="2"/>
  <c r="AK276" i="2" s="1"/>
  <c r="AJ275" i="2"/>
  <c r="AK275" i="2" s="1"/>
  <c r="AJ274" i="2"/>
  <c r="AK274" i="2" s="1"/>
  <c r="AJ273" i="2"/>
  <c r="AK273" i="2" s="1"/>
  <c r="AJ272" i="2"/>
  <c r="AK272" i="2" s="1"/>
  <c r="AJ271" i="2"/>
  <c r="AK271" i="2" s="1"/>
  <c r="AJ270" i="2"/>
  <c r="AK270" i="2" s="1"/>
  <c r="AJ269" i="2"/>
  <c r="AK269" i="2" s="1"/>
  <c r="AJ268" i="2"/>
  <c r="AK268" i="2" s="1"/>
  <c r="AJ267" i="2"/>
  <c r="AK267" i="2" s="1"/>
  <c r="AJ266" i="2"/>
  <c r="AK266" i="2" s="1"/>
  <c r="AJ265" i="2"/>
  <c r="AK265" i="2" s="1"/>
  <c r="C266" i="2"/>
  <c r="B266" i="2"/>
  <c r="AJ264" i="2"/>
  <c r="AK264" i="2" s="1"/>
  <c r="C265" i="2"/>
  <c r="E109" i="3" s="1"/>
  <c r="B265" i="2"/>
  <c r="D109" i="3" s="1"/>
  <c r="AJ263" i="2"/>
  <c r="AK263" i="2" s="1"/>
  <c r="C264" i="2"/>
  <c r="B264" i="2"/>
  <c r="AJ262" i="2"/>
  <c r="AK262" i="2" s="1"/>
  <c r="AJ261" i="2"/>
  <c r="AK261" i="2" s="1"/>
  <c r="AJ260" i="2"/>
  <c r="AK260" i="2" s="1"/>
  <c r="AJ259" i="2"/>
  <c r="AK259" i="2" s="1"/>
  <c r="AJ258" i="2"/>
  <c r="AK258" i="2" s="1"/>
  <c r="J259" i="2" a="1"/>
  <c r="J259" i="2" s="1"/>
  <c r="AJ257" i="2"/>
  <c r="AK257" i="2" s="1"/>
  <c r="J258" i="2" a="1"/>
  <c r="J258" i="2" s="1"/>
  <c r="AJ256" i="2"/>
  <c r="AK256" i="2" s="1"/>
  <c r="J257" i="2" a="1"/>
  <c r="J257" i="2" s="1"/>
  <c r="AJ255" i="2"/>
  <c r="AK255" i="2" s="1"/>
  <c r="J256" i="2" a="1"/>
  <c r="J256" i="2" s="1"/>
  <c r="AJ254" i="2"/>
  <c r="AK254" i="2" s="1"/>
  <c r="J255" i="2" a="1"/>
  <c r="J255" i="2" s="1"/>
  <c r="AJ253" i="2"/>
  <c r="AK253" i="2" s="1"/>
  <c r="J254" i="2" a="1"/>
  <c r="J254" i="2" s="1"/>
  <c r="AJ252" i="2"/>
  <c r="AK252" i="2" s="1"/>
  <c r="J253" i="2" a="1"/>
  <c r="J253" i="2" s="1"/>
  <c r="AJ251" i="2"/>
  <c r="AK251" i="2" s="1"/>
  <c r="J252" i="2" a="1"/>
  <c r="J252" i="2" s="1"/>
  <c r="AJ250" i="2"/>
  <c r="AK250" i="2" s="1"/>
  <c r="J251" i="2" a="1"/>
  <c r="J251" i="2" s="1"/>
  <c r="AJ249" i="2"/>
  <c r="AK249" i="2" s="1"/>
  <c r="J250" i="2" a="1"/>
  <c r="J250" i="2" s="1"/>
  <c r="AJ248" i="2"/>
  <c r="AK248" i="2" s="1"/>
  <c r="AJ247" i="2"/>
  <c r="AK247" i="2" s="1"/>
  <c r="AJ246" i="2"/>
  <c r="AK246" i="2" s="1"/>
  <c r="AJ245" i="2"/>
  <c r="AK245" i="2" s="1"/>
  <c r="AJ244" i="2"/>
  <c r="AK244" i="2" s="1"/>
  <c r="AJ243" i="2"/>
  <c r="AK243" i="2" s="1"/>
  <c r="AJ242" i="2"/>
  <c r="AK242" i="2" s="1"/>
  <c r="AJ241" i="2"/>
  <c r="AK241" i="2" s="1"/>
  <c r="AJ240" i="2"/>
  <c r="AK240" i="2" s="1"/>
  <c r="AJ239" i="2"/>
  <c r="AK239" i="2" s="1"/>
  <c r="AJ238" i="2"/>
  <c r="AK238" i="2" s="1"/>
  <c r="AJ237" i="2"/>
  <c r="AK237" i="2" s="1"/>
  <c r="AJ236" i="2"/>
  <c r="AK236" i="2" s="1"/>
  <c r="AJ235" i="2"/>
  <c r="AK235" i="2" s="1"/>
  <c r="AJ234" i="2"/>
  <c r="AK234" i="2" s="1"/>
  <c r="AJ233" i="2"/>
  <c r="AK233" i="2" s="1"/>
  <c r="AJ232" i="2"/>
  <c r="AK232" i="2" s="1"/>
  <c r="AJ231" i="2"/>
  <c r="AK231" i="2" s="1"/>
  <c r="AJ230" i="2"/>
  <c r="AK230" i="2" s="1"/>
  <c r="AJ229" i="2"/>
  <c r="AK229" i="2" s="1"/>
  <c r="AJ228" i="2"/>
  <c r="AK228" i="2" s="1"/>
  <c r="AJ227" i="2"/>
  <c r="AK227" i="2" s="1"/>
  <c r="AJ226" i="2"/>
  <c r="AK226" i="2" s="1"/>
  <c r="AJ225" i="2"/>
  <c r="AK225" i="2" s="1"/>
  <c r="AJ224" i="2"/>
  <c r="AK224" i="2" s="1"/>
  <c r="AJ223" i="2"/>
  <c r="AK223" i="2" s="1"/>
  <c r="AJ222" i="2"/>
  <c r="AK222" i="2" s="1"/>
  <c r="AJ221" i="2"/>
  <c r="AK221" i="2" s="1"/>
  <c r="AJ220" i="2"/>
  <c r="AK220" i="2" s="1"/>
  <c r="AJ219" i="2"/>
  <c r="AK219" i="2" s="1"/>
  <c r="AJ218" i="2"/>
  <c r="AK218" i="2" s="1"/>
  <c r="AJ217" i="2"/>
  <c r="AK217" i="2" s="1"/>
  <c r="AJ216" i="2"/>
  <c r="AK216" i="2" s="1"/>
  <c r="AJ215" i="2"/>
  <c r="AK215" i="2" s="1"/>
  <c r="AJ214" i="2"/>
  <c r="AK214" i="2" s="1"/>
  <c r="AJ213" i="2"/>
  <c r="AK213" i="2" s="1"/>
  <c r="AJ212" i="2"/>
  <c r="AK212" i="2" s="1"/>
  <c r="AJ211" i="2"/>
  <c r="AK211" i="2" s="1"/>
  <c r="AJ210" i="2"/>
  <c r="AK210" i="2" s="1"/>
  <c r="AJ209" i="2"/>
  <c r="AK209" i="2" s="1"/>
  <c r="AJ208" i="2"/>
  <c r="AK208" i="2" s="1"/>
  <c r="AJ207" i="2"/>
  <c r="AK207" i="2" s="1"/>
  <c r="AJ206" i="2"/>
  <c r="AK206" i="2" s="1"/>
  <c r="AJ205" i="2"/>
  <c r="AK205" i="2" s="1"/>
  <c r="AJ204" i="2"/>
  <c r="AK204" i="2" s="1"/>
  <c r="AJ203" i="2"/>
  <c r="AK203" i="2" s="1"/>
  <c r="AJ202" i="2"/>
  <c r="AK202" i="2" s="1"/>
  <c r="AJ201" i="2"/>
  <c r="AK201" i="2" s="1"/>
  <c r="AJ200" i="2"/>
  <c r="AK200" i="2" s="1"/>
  <c r="AJ199" i="2"/>
  <c r="AK199" i="2" s="1"/>
  <c r="AM199" i="2"/>
  <c r="AN199" i="2" s="1"/>
  <c r="AJ198" i="2"/>
  <c r="AK198" i="2" s="1"/>
  <c r="AM198" i="2"/>
  <c r="AN198" i="2" s="1"/>
  <c r="AJ197" i="2"/>
  <c r="AK197" i="2" s="1"/>
  <c r="AM197" i="2"/>
  <c r="AN197" i="2" s="1"/>
  <c r="AJ196" i="2"/>
  <c r="AK196" i="2" s="1"/>
  <c r="AM196" i="2"/>
  <c r="AN196" i="2" s="1"/>
  <c r="AJ195" i="2"/>
  <c r="AK195" i="2" s="1"/>
  <c r="AM195" i="2"/>
  <c r="AN195" i="2" s="1"/>
  <c r="AJ194" i="2"/>
  <c r="AK194" i="2" s="1"/>
  <c r="AM194" i="2"/>
  <c r="AN194" i="2" s="1"/>
  <c r="AJ193" i="2"/>
  <c r="AK193" i="2" s="1"/>
  <c r="AM193" i="2"/>
  <c r="AN193" i="2" s="1"/>
  <c r="AJ192" i="2"/>
  <c r="AK192" i="2" s="1"/>
  <c r="AM192" i="2"/>
  <c r="AN192" i="2" s="1"/>
  <c r="AJ191" i="2"/>
  <c r="AK191" i="2" s="1"/>
  <c r="AM191" i="2"/>
  <c r="AN191" i="2" s="1"/>
  <c r="AJ190" i="2"/>
  <c r="AK190" i="2" s="1"/>
  <c r="AM190" i="2"/>
  <c r="AN190" i="2" s="1"/>
  <c r="AJ189" i="2"/>
  <c r="AK189" i="2" s="1"/>
  <c r="AM189" i="2"/>
  <c r="AN189" i="2" s="1"/>
  <c r="AJ188" i="2"/>
  <c r="AK188" i="2" s="1"/>
  <c r="AM188" i="2"/>
  <c r="AN188" i="2" s="1"/>
  <c r="AJ187" i="2"/>
  <c r="AK187" i="2" s="1"/>
  <c r="AM187" i="2"/>
  <c r="AN187" i="2" s="1"/>
  <c r="AJ186" i="2"/>
  <c r="AK186" i="2" s="1"/>
  <c r="AM186" i="2"/>
  <c r="AN186" i="2" s="1"/>
  <c r="AJ185" i="2"/>
  <c r="AK185" i="2" s="1"/>
  <c r="AM185" i="2"/>
  <c r="AN185" i="2" s="1"/>
  <c r="AJ184" i="2"/>
  <c r="AK184" i="2" s="1"/>
  <c r="AM184" i="2"/>
  <c r="AN184" i="2" s="1"/>
  <c r="AJ183" i="2"/>
  <c r="AK183" i="2" s="1"/>
  <c r="AM183" i="2"/>
  <c r="AN183" i="2" s="1"/>
  <c r="AJ182" i="2"/>
  <c r="AK182" i="2" s="1"/>
  <c r="AM182" i="2"/>
  <c r="AN182" i="2" s="1"/>
  <c r="AJ181" i="2"/>
  <c r="AK181" i="2" s="1"/>
  <c r="AM181" i="2"/>
  <c r="AN181" i="2" s="1"/>
  <c r="AJ180" i="2"/>
  <c r="AK180" i="2" s="1"/>
  <c r="AM180" i="2"/>
  <c r="AN180" i="2" s="1"/>
  <c r="AJ179" i="2"/>
  <c r="AK179" i="2" s="1"/>
  <c r="AM179" i="2"/>
  <c r="AN179" i="2" s="1"/>
  <c r="AJ178" i="2"/>
  <c r="AK178" i="2" s="1"/>
  <c r="AM178" i="2"/>
  <c r="AN178" i="2" s="1"/>
  <c r="AJ177" i="2"/>
  <c r="AK177" i="2" s="1"/>
  <c r="AM177" i="2"/>
  <c r="AN177" i="2" s="1"/>
  <c r="AJ176" i="2"/>
  <c r="AK176" i="2" s="1"/>
  <c r="AM176" i="2"/>
  <c r="AN176" i="2" s="1"/>
  <c r="AJ175" i="2"/>
  <c r="AK175" i="2" s="1"/>
  <c r="AM175" i="2"/>
  <c r="AN175" i="2" s="1"/>
  <c r="AJ174" i="2"/>
  <c r="AK174" i="2" s="1"/>
  <c r="AM174" i="2"/>
  <c r="AN174" i="2" s="1"/>
  <c r="AJ173" i="2"/>
  <c r="AK173" i="2" s="1"/>
  <c r="AM173" i="2"/>
  <c r="AN173" i="2" s="1"/>
  <c r="AJ172" i="2"/>
  <c r="AK172" i="2" s="1"/>
  <c r="AM172" i="2"/>
  <c r="AN172" i="2" s="1"/>
  <c r="AJ171" i="2"/>
  <c r="AK171" i="2" s="1"/>
  <c r="AM171" i="2"/>
  <c r="AN171" i="2" s="1"/>
  <c r="AJ170" i="2"/>
  <c r="AK170" i="2" s="1"/>
  <c r="AM170" i="2"/>
  <c r="AN170" i="2" s="1"/>
  <c r="AJ169" i="2"/>
  <c r="AK169" i="2" s="1"/>
  <c r="AM169" i="2"/>
  <c r="AN169" i="2" s="1"/>
  <c r="AJ168" i="2"/>
  <c r="AK168" i="2" s="1"/>
  <c r="AM168" i="2"/>
  <c r="AN168" i="2" s="1"/>
  <c r="AJ167" i="2"/>
  <c r="AK167" i="2" s="1"/>
  <c r="AM167" i="2"/>
  <c r="AN167" i="2" s="1"/>
  <c r="AJ166" i="2"/>
  <c r="AK166" i="2" s="1"/>
  <c r="AM166" i="2"/>
  <c r="AN166" i="2" s="1"/>
  <c r="AJ165" i="2"/>
  <c r="AK165" i="2" s="1"/>
  <c r="AM165" i="2"/>
  <c r="AN165" i="2" s="1"/>
  <c r="AJ164" i="2"/>
  <c r="AK164" i="2" s="1"/>
  <c r="AM164" i="2"/>
  <c r="AN164" i="2" s="1"/>
  <c r="AJ163" i="2"/>
  <c r="AK163" i="2" s="1"/>
  <c r="AM163" i="2"/>
  <c r="AN163" i="2" s="1"/>
  <c r="AJ162" i="2"/>
  <c r="AK162" i="2" s="1"/>
  <c r="AM162" i="2"/>
  <c r="AN162" i="2" s="1"/>
  <c r="AJ161" i="2"/>
  <c r="AK161" i="2" s="1"/>
  <c r="AM161" i="2"/>
  <c r="AN161" i="2" s="1"/>
  <c r="AJ160" i="2"/>
  <c r="AK160" i="2" s="1"/>
  <c r="AM160" i="2"/>
  <c r="AN160" i="2" s="1"/>
  <c r="AJ159" i="2"/>
  <c r="AK159" i="2" s="1"/>
  <c r="AM159" i="2"/>
  <c r="AN159" i="2" s="1"/>
  <c r="AJ158" i="2"/>
  <c r="AK158" i="2" s="1"/>
  <c r="AM158" i="2"/>
  <c r="AN158" i="2" s="1"/>
  <c r="AJ157" i="2"/>
  <c r="AK157" i="2" s="1"/>
  <c r="AM157" i="2"/>
  <c r="AN157" i="2" s="1"/>
  <c r="AJ156" i="2"/>
  <c r="AK156" i="2" s="1"/>
  <c r="AM156" i="2"/>
  <c r="AN156" i="2" s="1"/>
  <c r="AJ155" i="2"/>
  <c r="AK155" i="2" s="1"/>
  <c r="AM155" i="2"/>
  <c r="AN155" i="2" s="1"/>
  <c r="AJ154" i="2"/>
  <c r="AK154" i="2" s="1"/>
  <c r="AM154" i="2"/>
  <c r="AN154" i="2" s="1"/>
  <c r="AJ153" i="2"/>
  <c r="AK153" i="2" s="1"/>
  <c r="AM153" i="2"/>
  <c r="AN153" i="2" s="1"/>
  <c r="AJ152" i="2"/>
  <c r="AK152" i="2" s="1"/>
  <c r="AM152" i="2"/>
  <c r="AN152" i="2" s="1"/>
  <c r="AJ151" i="2"/>
  <c r="AK151" i="2" s="1"/>
  <c r="AM151" i="2"/>
  <c r="AN151" i="2" s="1"/>
  <c r="AJ150" i="2"/>
  <c r="AK150" i="2" s="1"/>
  <c r="AM150" i="2"/>
  <c r="AN150" i="2" s="1"/>
  <c r="AJ149" i="2"/>
  <c r="AK149" i="2" s="1"/>
  <c r="AM149" i="2"/>
  <c r="AN149" i="2" s="1"/>
  <c r="AJ148" i="2"/>
  <c r="AK148" i="2" s="1"/>
  <c r="AM148" i="2"/>
  <c r="AN148" i="2" s="1"/>
  <c r="AJ147" i="2"/>
  <c r="AK147" i="2" s="1"/>
  <c r="AM147" i="2"/>
  <c r="AN147" i="2" s="1"/>
  <c r="AJ146" i="2"/>
  <c r="AK146" i="2" s="1"/>
  <c r="AM146" i="2"/>
  <c r="AN146" i="2" s="1"/>
  <c r="AJ145" i="2"/>
  <c r="AK145" i="2" s="1"/>
  <c r="AM145" i="2"/>
  <c r="AN145" i="2" s="1"/>
  <c r="AJ144" i="2"/>
  <c r="AK144" i="2" s="1"/>
  <c r="AM144" i="2"/>
  <c r="AN144" i="2" s="1"/>
  <c r="AJ143" i="2"/>
  <c r="AK143" i="2" s="1"/>
  <c r="AM143" i="2"/>
  <c r="AN143" i="2" s="1"/>
  <c r="AJ142" i="2"/>
  <c r="AK142" i="2" s="1"/>
  <c r="AM142" i="2"/>
  <c r="AN142" i="2" s="1"/>
  <c r="AJ141" i="2"/>
  <c r="AK141" i="2" s="1"/>
  <c r="AM141" i="2"/>
  <c r="AN141" i="2" s="1"/>
  <c r="AJ140" i="2"/>
  <c r="AK140" i="2" s="1"/>
  <c r="AM140" i="2"/>
  <c r="AN140" i="2" s="1"/>
  <c r="AJ139" i="2"/>
  <c r="AK139" i="2" s="1"/>
  <c r="AM139" i="2"/>
  <c r="AN139" i="2" s="1"/>
  <c r="AJ138" i="2"/>
  <c r="AK138" i="2" s="1"/>
  <c r="AM138" i="2"/>
  <c r="AN138" i="2" s="1"/>
  <c r="AJ137" i="2"/>
  <c r="AK137" i="2" s="1"/>
  <c r="AM137" i="2"/>
  <c r="AN137" i="2" s="1"/>
  <c r="AJ136" i="2"/>
  <c r="AK136" i="2" s="1"/>
  <c r="AM136" i="2"/>
  <c r="AN136" i="2" s="1"/>
  <c r="AJ135" i="2"/>
  <c r="AK135" i="2" s="1"/>
  <c r="AM135" i="2"/>
  <c r="AN135" i="2" s="1"/>
  <c r="AJ134" i="2"/>
  <c r="AK134" i="2" s="1"/>
  <c r="AM134" i="2"/>
  <c r="AN134" i="2" s="1"/>
  <c r="AJ133" i="2"/>
  <c r="AK133" i="2" s="1"/>
  <c r="AM133" i="2"/>
  <c r="AN133" i="2" s="1"/>
  <c r="AJ132" i="2"/>
  <c r="AK132" i="2" s="1"/>
  <c r="AM132" i="2"/>
  <c r="AN132" i="2" s="1"/>
  <c r="AJ131" i="2"/>
  <c r="AK131" i="2" s="1"/>
  <c r="AM131" i="2"/>
  <c r="AN131" i="2" s="1"/>
  <c r="AJ130" i="2"/>
  <c r="AK130" i="2" s="1"/>
  <c r="AM130" i="2"/>
  <c r="AN130" i="2" s="1"/>
  <c r="AJ129" i="2"/>
  <c r="AK129" i="2" s="1"/>
  <c r="AM129" i="2"/>
  <c r="AN129" i="2" s="1"/>
  <c r="AJ128" i="2"/>
  <c r="AK128" i="2" s="1"/>
  <c r="AM128" i="2"/>
  <c r="AN128" i="2" s="1"/>
  <c r="AJ127" i="2"/>
  <c r="AK127" i="2" s="1"/>
  <c r="AM127" i="2"/>
  <c r="AN127" i="2" s="1"/>
  <c r="AJ126" i="2"/>
  <c r="AK126" i="2" s="1"/>
  <c r="AM126" i="2"/>
  <c r="AN126" i="2" s="1"/>
  <c r="AJ125" i="2"/>
  <c r="AK125" i="2" s="1"/>
  <c r="AM125" i="2"/>
  <c r="AN125" i="2" s="1"/>
  <c r="AJ124" i="2"/>
  <c r="AK124" i="2" s="1"/>
  <c r="AM124" i="2"/>
  <c r="AN124" i="2" s="1"/>
  <c r="AJ123" i="2"/>
  <c r="AK123" i="2" s="1"/>
  <c r="AM123" i="2"/>
  <c r="AN123" i="2" s="1"/>
  <c r="AJ122" i="2"/>
  <c r="AK122" i="2" s="1"/>
  <c r="AM122" i="2"/>
  <c r="AN122" i="2" s="1"/>
  <c r="AJ121" i="2"/>
  <c r="AK121" i="2" s="1"/>
  <c r="AM121" i="2"/>
  <c r="AN121" i="2" s="1"/>
  <c r="AJ120" i="2"/>
  <c r="AK120" i="2" s="1"/>
  <c r="AM120" i="2"/>
  <c r="AN120" i="2" s="1"/>
  <c r="AJ119" i="2"/>
  <c r="AK119" i="2" s="1"/>
  <c r="AM119" i="2"/>
  <c r="AN119" i="2" s="1"/>
  <c r="AJ118" i="2"/>
  <c r="AK118" i="2" s="1"/>
  <c r="AM118" i="2"/>
  <c r="AN118" i="2" s="1"/>
  <c r="AJ117" i="2"/>
  <c r="AK117" i="2" s="1"/>
  <c r="AM117" i="2"/>
  <c r="AN117" i="2" s="1"/>
  <c r="AJ116" i="2"/>
  <c r="AK116" i="2" s="1"/>
  <c r="AM116" i="2"/>
  <c r="AN116" i="2" s="1"/>
  <c r="AJ115" i="2"/>
  <c r="AK115" i="2" s="1"/>
  <c r="AM115" i="2"/>
  <c r="AN115" i="2" s="1"/>
  <c r="AJ114" i="2"/>
  <c r="AK114" i="2" s="1"/>
  <c r="AM114" i="2"/>
  <c r="AN114" i="2" s="1"/>
  <c r="AJ113" i="2"/>
  <c r="AK113" i="2" s="1"/>
  <c r="AM113" i="2"/>
  <c r="AN113" i="2" s="1"/>
  <c r="AJ112" i="2"/>
  <c r="AK112" i="2" s="1"/>
  <c r="AM112" i="2"/>
  <c r="AN112" i="2" s="1"/>
  <c r="AJ111" i="2"/>
  <c r="AK111" i="2" s="1"/>
  <c r="AM111" i="2"/>
  <c r="AN111" i="2" s="1"/>
  <c r="AJ110" i="2"/>
  <c r="AK110" i="2" s="1"/>
  <c r="AM110" i="2"/>
  <c r="AN110" i="2" s="1"/>
  <c r="AJ109" i="2"/>
  <c r="AK109" i="2" s="1"/>
  <c r="AM109" i="2"/>
  <c r="AN109" i="2" s="1"/>
  <c r="AJ108" i="2"/>
  <c r="AK108" i="2" s="1"/>
  <c r="AM108" i="2"/>
  <c r="AN108" i="2" s="1"/>
  <c r="AJ107" i="2"/>
  <c r="AK107" i="2" s="1"/>
  <c r="AM107" i="2"/>
  <c r="AN107" i="2" s="1"/>
  <c r="AJ106" i="2"/>
  <c r="AK106" i="2" s="1"/>
  <c r="AM106" i="2"/>
  <c r="AN106" i="2" s="1"/>
  <c r="AJ105" i="2"/>
  <c r="AK105" i="2" s="1"/>
  <c r="AM105" i="2"/>
  <c r="AN105" i="2" s="1"/>
  <c r="AJ104" i="2"/>
  <c r="AK104" i="2" s="1"/>
  <c r="AM104" i="2"/>
  <c r="AN104" i="2" s="1"/>
  <c r="AJ103" i="2"/>
  <c r="AK103" i="2" s="1"/>
  <c r="AM103" i="2"/>
  <c r="AN103" i="2" s="1"/>
  <c r="AJ102" i="2"/>
  <c r="AK102" i="2" s="1"/>
  <c r="AM102" i="2"/>
  <c r="AN102" i="2" s="1"/>
  <c r="AJ101" i="2"/>
  <c r="AK101" i="2" s="1"/>
  <c r="AM101" i="2"/>
  <c r="AN101" i="2" s="1"/>
  <c r="AJ100" i="2"/>
  <c r="AK100" i="2" s="1"/>
  <c r="AM100" i="2"/>
  <c r="AN100" i="2" s="1"/>
  <c r="AJ99" i="2"/>
  <c r="AK99" i="2" s="1"/>
  <c r="AM99" i="2"/>
  <c r="AN99" i="2" s="1"/>
  <c r="AJ98" i="2"/>
  <c r="AK98" i="2" s="1"/>
  <c r="AM98" i="2"/>
  <c r="AN98" i="2" s="1"/>
  <c r="AJ97" i="2"/>
  <c r="AK97" i="2" s="1"/>
  <c r="AM97" i="2"/>
  <c r="AN97" i="2" s="1"/>
  <c r="AJ96" i="2"/>
  <c r="AK96" i="2" s="1"/>
  <c r="AM96" i="2"/>
  <c r="AN96" i="2" s="1"/>
  <c r="AJ95" i="2"/>
  <c r="AK95" i="2" s="1"/>
  <c r="AM95" i="2"/>
  <c r="AN95" i="2" s="1"/>
  <c r="AJ94" i="2"/>
  <c r="AK94" i="2" s="1"/>
  <c r="AM94" i="2"/>
  <c r="AN94" i="2" s="1"/>
  <c r="AJ93" i="2"/>
  <c r="AK93" i="2" s="1"/>
  <c r="AM93" i="2"/>
  <c r="AN93" i="2" s="1"/>
  <c r="AJ92" i="2"/>
  <c r="AK92" i="2" s="1"/>
  <c r="AM92" i="2"/>
  <c r="AN92" i="2" s="1"/>
  <c r="AJ91" i="2"/>
  <c r="AK91" i="2" s="1"/>
  <c r="AM91" i="2"/>
  <c r="AN91" i="2" s="1"/>
  <c r="AJ90" i="2"/>
  <c r="AK90" i="2" s="1"/>
  <c r="AM90" i="2"/>
  <c r="AN90" i="2" s="1"/>
  <c r="AJ89" i="2"/>
  <c r="AK89" i="2" s="1"/>
  <c r="AM89" i="2"/>
  <c r="AN89" i="2" s="1"/>
  <c r="AJ88" i="2"/>
  <c r="AK88" i="2" s="1"/>
  <c r="AM88" i="2"/>
  <c r="AN88" i="2" s="1"/>
  <c r="AJ87" i="2"/>
  <c r="AK87" i="2" s="1"/>
  <c r="AM87" i="2"/>
  <c r="AN87" i="2" s="1"/>
  <c r="AJ86" i="2"/>
  <c r="AK86" i="2" s="1"/>
  <c r="AM86" i="2"/>
  <c r="AN86" i="2" s="1"/>
  <c r="AJ85" i="2"/>
  <c r="AK85" i="2" s="1"/>
  <c r="AM85" i="2"/>
  <c r="AN85" i="2" s="1"/>
  <c r="AJ84" i="2"/>
  <c r="AK84" i="2" s="1"/>
  <c r="AM84" i="2"/>
  <c r="AN84" i="2" s="1"/>
  <c r="AJ83" i="2"/>
  <c r="AK83" i="2" s="1"/>
  <c r="AM83" i="2"/>
  <c r="AN83" i="2" s="1"/>
  <c r="AJ82" i="2"/>
  <c r="AK82" i="2" s="1"/>
  <c r="AM82" i="2"/>
  <c r="AN82" i="2" s="1"/>
  <c r="AJ81" i="2"/>
  <c r="AK81" i="2" s="1"/>
  <c r="AM81" i="2"/>
  <c r="AN81" i="2" s="1"/>
  <c r="AJ80" i="2"/>
  <c r="AK80" i="2" s="1"/>
  <c r="AM80" i="2"/>
  <c r="AN80" i="2" s="1"/>
  <c r="AJ79" i="2"/>
  <c r="AK79" i="2" s="1"/>
  <c r="AM79" i="2"/>
  <c r="AN79" i="2" s="1"/>
  <c r="AJ78" i="2"/>
  <c r="AK78" i="2" s="1"/>
  <c r="AM78" i="2"/>
  <c r="AN78" i="2" s="1"/>
  <c r="AJ77" i="2"/>
  <c r="AK77" i="2" s="1"/>
  <c r="AM77" i="2"/>
  <c r="AN77" i="2" s="1"/>
  <c r="AJ76" i="2"/>
  <c r="AK76" i="2" s="1"/>
  <c r="AM76" i="2"/>
  <c r="AN76" i="2" s="1"/>
  <c r="AJ75" i="2"/>
  <c r="AK75" i="2" s="1"/>
  <c r="AM75" i="2"/>
  <c r="AN75" i="2" s="1"/>
  <c r="AJ74" i="2"/>
  <c r="AK74" i="2" s="1"/>
  <c r="AM74" i="2"/>
  <c r="AN74" i="2" s="1"/>
  <c r="AJ73" i="2"/>
  <c r="AK73" i="2" s="1"/>
  <c r="AM73" i="2"/>
  <c r="AN73" i="2" s="1"/>
  <c r="AJ72" i="2"/>
  <c r="AK72" i="2" s="1"/>
  <c r="AM72" i="2"/>
  <c r="AN72" i="2" s="1"/>
  <c r="AJ71" i="2"/>
  <c r="AK71" i="2" s="1"/>
  <c r="AM71" i="2"/>
  <c r="AN71" i="2" s="1"/>
  <c r="AJ70" i="2"/>
  <c r="AK70" i="2" s="1"/>
  <c r="AM70" i="2"/>
  <c r="AN70" i="2" s="1"/>
  <c r="AJ69" i="2"/>
  <c r="AK69" i="2" s="1"/>
  <c r="AM69" i="2"/>
  <c r="AN69" i="2" s="1"/>
  <c r="AJ68" i="2"/>
  <c r="AK68" i="2" s="1"/>
  <c r="AM68" i="2"/>
  <c r="AN68" i="2" s="1"/>
  <c r="AJ67" i="2"/>
  <c r="AK67" i="2" s="1"/>
  <c r="AM67" i="2"/>
  <c r="AN67" i="2" s="1"/>
  <c r="AJ66" i="2"/>
  <c r="AK66" i="2" s="1"/>
  <c r="AM66" i="2"/>
  <c r="AN66" i="2" s="1"/>
  <c r="AJ65" i="2"/>
  <c r="AK65" i="2" s="1"/>
  <c r="AM65" i="2"/>
  <c r="AN65" i="2" s="1"/>
  <c r="AJ64" i="2"/>
  <c r="AK64" i="2" s="1"/>
  <c r="AM64" i="2"/>
  <c r="AN64" i="2" s="1"/>
  <c r="AJ63" i="2"/>
  <c r="AK63" i="2" s="1"/>
  <c r="AM63" i="2"/>
  <c r="AN63" i="2" s="1"/>
  <c r="AJ62" i="2"/>
  <c r="AK62" i="2" s="1"/>
  <c r="AM62" i="2"/>
  <c r="AN62" i="2" s="1"/>
  <c r="AJ61" i="2"/>
  <c r="AK61" i="2" s="1"/>
  <c r="AM61" i="2"/>
  <c r="AN61" i="2" s="1"/>
  <c r="AJ60" i="2"/>
  <c r="AK60" i="2" s="1"/>
  <c r="AM60" i="2"/>
  <c r="AN60" i="2" s="1"/>
  <c r="AJ59" i="2"/>
  <c r="AK59" i="2" s="1"/>
  <c r="AM59" i="2"/>
  <c r="AN59" i="2" s="1"/>
  <c r="AJ58" i="2"/>
  <c r="AK58" i="2" s="1"/>
  <c r="AM58" i="2"/>
  <c r="AN58" i="2" s="1"/>
  <c r="AJ57" i="2"/>
  <c r="AK57" i="2" s="1"/>
  <c r="AM57" i="2"/>
  <c r="AN57" i="2" s="1"/>
  <c r="AJ56" i="2"/>
  <c r="AK56" i="2" s="1"/>
  <c r="AM56" i="2"/>
  <c r="AN56" i="2" s="1"/>
  <c r="AJ55" i="2"/>
  <c r="AK55" i="2" s="1"/>
  <c r="AM55" i="2"/>
  <c r="AN55" i="2" s="1"/>
  <c r="AJ54" i="2"/>
  <c r="AK54" i="2" s="1"/>
  <c r="AM54" i="2"/>
  <c r="AN54" i="2" s="1"/>
  <c r="AJ53" i="2"/>
  <c r="AK53" i="2" s="1"/>
  <c r="AM53" i="2"/>
  <c r="AN53" i="2" s="1"/>
  <c r="AJ52" i="2"/>
  <c r="AK52" i="2" s="1"/>
  <c r="B53" i="2"/>
  <c r="AM52" i="2"/>
  <c r="AN52" i="2" s="1"/>
  <c r="AJ51" i="2"/>
  <c r="AK51" i="2" s="1"/>
  <c r="B52" i="2"/>
  <c r="AM51" i="2"/>
  <c r="AN51" i="2" s="1"/>
  <c r="AJ50" i="2"/>
  <c r="AK50" i="2" s="1"/>
  <c r="B51" i="2"/>
  <c r="AM50" i="2"/>
  <c r="AN50" i="2" s="1"/>
  <c r="AJ49" i="2"/>
  <c r="AK49" i="2" s="1"/>
  <c r="B50" i="2"/>
  <c r="AM49" i="2"/>
  <c r="AN49" i="2" s="1"/>
  <c r="AJ48" i="2"/>
  <c r="AK48" i="2" s="1"/>
  <c r="AM48" i="2"/>
  <c r="AN48" i="2" s="1"/>
  <c r="AJ47" i="2"/>
  <c r="AK47" i="2" s="1"/>
  <c r="AM47" i="2"/>
  <c r="AN47" i="2" s="1"/>
  <c r="AJ46" i="2"/>
  <c r="AK46" i="2" s="1"/>
  <c r="AM46" i="2"/>
  <c r="AN46" i="2" s="1"/>
  <c r="AJ45" i="2"/>
  <c r="AK45" i="2" s="1"/>
  <c r="B46" i="2"/>
  <c r="AM45" i="2"/>
  <c r="AN45" i="2" s="1"/>
  <c r="AJ44" i="2"/>
  <c r="AK44" i="2" s="1"/>
  <c r="B45" i="2"/>
  <c r="D152" i="3" s="1"/>
  <c r="AM44" i="2"/>
  <c r="AN44" i="2" s="1"/>
  <c r="AJ43" i="2"/>
  <c r="AK43" i="2" s="1"/>
  <c r="B44" i="2"/>
  <c r="AM43" i="2"/>
  <c r="AN43" i="2" s="1"/>
  <c r="AJ42" i="2"/>
  <c r="AK42" i="2" s="1"/>
  <c r="B43" i="2"/>
  <c r="D150" i="3" s="1"/>
  <c r="AM42" i="2"/>
  <c r="AN42" i="2" s="1"/>
  <c r="AJ41" i="2"/>
  <c r="AK41" i="2" s="1"/>
  <c r="B42" i="2"/>
  <c r="AM41" i="2"/>
  <c r="AN41" i="2" s="1"/>
  <c r="AJ40" i="2"/>
  <c r="AK40" i="2" s="1"/>
  <c r="AM40" i="2"/>
  <c r="AN40" i="2" s="1"/>
  <c r="AJ39" i="2"/>
  <c r="AK39" i="2" s="1"/>
  <c r="AM39" i="2"/>
  <c r="AN39" i="2" s="1"/>
  <c r="AJ38" i="2"/>
  <c r="AK38" i="2" s="1"/>
  <c r="AM38" i="2"/>
  <c r="AN38" i="2" s="1"/>
  <c r="AJ37" i="2"/>
  <c r="AK37" i="2" s="1"/>
  <c r="B38" i="2"/>
  <c r="AM37" i="2"/>
  <c r="AN37" i="2" s="1"/>
  <c r="AJ36" i="2"/>
  <c r="AK36" i="2" s="1"/>
  <c r="B37" i="2"/>
  <c r="AM36" i="2"/>
  <c r="AN36" i="2" s="1"/>
  <c r="AJ35" i="2"/>
  <c r="AK35" i="2" s="1"/>
  <c r="B36" i="2"/>
  <c r="AM35" i="2"/>
  <c r="AN35" i="2" s="1"/>
  <c r="AJ34" i="2"/>
  <c r="AK34" i="2" s="1"/>
  <c r="AM34" i="2"/>
  <c r="AN34" i="2" s="1"/>
  <c r="AJ33" i="2"/>
  <c r="AK33" i="2" s="1"/>
  <c r="AM33" i="2"/>
  <c r="AN33" i="2" s="1"/>
  <c r="AJ32" i="2"/>
  <c r="AK32" i="2" s="1"/>
  <c r="AM32" i="2"/>
  <c r="AN32" i="2" s="1"/>
  <c r="AJ31" i="2"/>
  <c r="AK31" i="2" s="1"/>
  <c r="B32" i="2"/>
  <c r="AM31" i="2"/>
  <c r="AN31" i="2" s="1"/>
  <c r="AJ30" i="2"/>
  <c r="AK30" i="2" s="1"/>
  <c r="B31" i="2"/>
  <c r="AM30" i="2"/>
  <c r="AN30" i="2" s="1"/>
  <c r="AJ29" i="2"/>
  <c r="AK29" i="2" s="1"/>
  <c r="B30" i="2"/>
  <c r="AM29" i="2"/>
  <c r="AN29" i="2" s="1"/>
  <c r="AJ28" i="2"/>
  <c r="AK28" i="2" s="1"/>
  <c r="AM28" i="2"/>
  <c r="AN28" i="2" s="1"/>
  <c r="AJ27" i="2"/>
  <c r="AK27" i="2" s="1"/>
  <c r="X28" i="2" a="1"/>
  <c r="X28" i="2" s="1"/>
  <c r="AM27" i="2"/>
  <c r="AN27" i="2" s="1"/>
  <c r="AJ26" i="2"/>
  <c r="AK26" i="2" s="1"/>
  <c r="X27" i="2" a="1"/>
  <c r="X27" i="2" s="1"/>
  <c r="AM26" i="2"/>
  <c r="AN26" i="2" s="1"/>
  <c r="AJ25" i="2"/>
  <c r="AK25" i="2" s="1"/>
  <c r="X26" i="2" a="1"/>
  <c r="X26" i="2" s="1"/>
  <c r="B26" i="2"/>
  <c r="AM25" i="2"/>
  <c r="AN25" i="2" s="1"/>
  <c r="AJ24" i="2"/>
  <c r="AK24" i="2" s="1"/>
  <c r="X25" i="2" a="1"/>
  <c r="X25" i="2" s="1"/>
  <c r="B25" i="2"/>
  <c r="AM24" i="2"/>
  <c r="AN24" i="2" s="1"/>
  <c r="AJ23" i="2"/>
  <c r="AK23" i="2" s="1"/>
  <c r="X24" i="2" a="1"/>
  <c r="X24" i="2" s="1"/>
  <c r="B24" i="2"/>
  <c r="AM23" i="2"/>
  <c r="AN23" i="2" s="1"/>
  <c r="AJ22" i="2"/>
  <c r="AK22" i="2" s="1"/>
  <c r="X23" i="2" a="1"/>
  <c r="X23" i="2" s="1"/>
  <c r="AM22" i="2"/>
  <c r="AN22" i="2" s="1"/>
  <c r="AJ21" i="2"/>
  <c r="AK21" i="2" s="1"/>
  <c r="X22" i="2" a="1"/>
  <c r="X22" i="2" s="1"/>
  <c r="AM21" i="2"/>
  <c r="AN21" i="2" s="1"/>
  <c r="AJ20" i="2"/>
  <c r="AK20" i="2" s="1"/>
  <c r="X21" i="2" a="1"/>
  <c r="X21" i="2" s="1"/>
  <c r="AM20" i="2"/>
  <c r="AN20" i="2" s="1"/>
  <c r="AJ19" i="2"/>
  <c r="AK19" i="2" s="1"/>
  <c r="X20" i="2" a="1"/>
  <c r="X20" i="2" s="1"/>
  <c r="B20" i="2"/>
  <c r="U13" i="3" s="1"/>
  <c r="AM19" i="2"/>
  <c r="AN19" i="2" s="1"/>
  <c r="AJ18" i="2"/>
  <c r="AK18" i="2" s="1"/>
  <c r="X19" i="2" a="1"/>
  <c r="X19" i="2"/>
  <c r="B19" i="2" a="1"/>
  <c r="B19" i="2" s="1"/>
  <c r="O13" i="3" s="1"/>
  <c r="AM18" i="2"/>
  <c r="AN18" i="2" s="1"/>
  <c r="AJ17" i="2"/>
  <c r="AK17" i="2" s="1"/>
  <c r="X18" i="2" a="1"/>
  <c r="X18" i="2" s="1"/>
  <c r="B18" i="2" a="1"/>
  <c r="B18" i="2" s="1"/>
  <c r="I13" i="3" s="1"/>
  <c r="AM17" i="2"/>
  <c r="AN17" i="2" s="1"/>
  <c r="AJ16" i="2"/>
  <c r="AK16" i="2" s="1"/>
  <c r="X17" i="2" a="1"/>
  <c r="X17" i="2" s="1"/>
  <c r="B17" i="2" a="1"/>
  <c r="B17" i="2" s="1"/>
  <c r="C13" i="3" s="1"/>
  <c r="AM16" i="2"/>
  <c r="AN16" i="2" s="1"/>
  <c r="AJ15" i="2"/>
  <c r="AK15" i="2" s="1"/>
  <c r="X16" i="2" a="1"/>
  <c r="X16" i="2" s="1"/>
  <c r="B16" i="2"/>
  <c r="W8" i="3" s="1"/>
  <c r="AM15" i="2"/>
  <c r="AN15" i="2" s="1"/>
  <c r="AJ14" i="2"/>
  <c r="AK14" i="2" s="1"/>
  <c r="X15" i="2" a="1"/>
  <c r="X15" i="2" s="1"/>
  <c r="H15" i="2"/>
  <c r="B15" i="2" a="1"/>
  <c r="B15" i="2" s="1"/>
  <c r="U8" i="3" s="1"/>
  <c r="AM14" i="2"/>
  <c r="AN14" i="2" s="1"/>
  <c r="AJ13" i="2"/>
  <c r="AK13" i="2" s="1"/>
  <c r="X14" i="2" a="1"/>
  <c r="X14" i="2" s="1"/>
  <c r="H14" i="2"/>
  <c r="B14" i="2"/>
  <c r="R8" i="3" s="1"/>
  <c r="AM13" i="2"/>
  <c r="AN13" i="2" s="1"/>
  <c r="AJ12" i="2"/>
  <c r="AK12" i="2" s="1"/>
  <c r="X13" i="2" a="1"/>
  <c r="X13" i="2" s="1"/>
  <c r="H13" i="2"/>
  <c r="B13" i="2"/>
  <c r="O8" i="3" s="1"/>
  <c r="AM12" i="2"/>
  <c r="AN12" i="2" s="1"/>
  <c r="AJ11" i="2"/>
  <c r="AK11" i="2" s="1"/>
  <c r="X12" i="2" a="1"/>
  <c r="X12" i="2" s="1"/>
  <c r="H12" i="2"/>
  <c r="B12" i="2"/>
  <c r="AJ10" i="2"/>
  <c r="AK10" i="2" s="1"/>
  <c r="X11" i="2" a="1"/>
  <c r="X11" i="2" s="1"/>
  <c r="H11" i="2"/>
  <c r="B11" i="2"/>
  <c r="AJ9" i="2"/>
  <c r="AK9" i="2" s="1"/>
  <c r="X10" i="2" a="1"/>
  <c r="X10" i="2" s="1"/>
  <c r="H10" i="2"/>
  <c r="B10" i="2"/>
  <c r="AJ8" i="2"/>
  <c r="AK8" i="2" s="1"/>
  <c r="X9" i="2"/>
  <c r="H9" i="2"/>
  <c r="B9" i="2"/>
  <c r="AJ7" i="2"/>
  <c r="AK7" i="2" s="1"/>
  <c r="X8" i="2"/>
  <c r="H8" i="2"/>
  <c r="B8" i="2"/>
  <c r="AJ6" i="2"/>
  <c r="AK6" i="2" s="1"/>
  <c r="X7" i="2"/>
  <c r="H7" i="2"/>
  <c r="B7" i="2"/>
  <c r="I8" i="3" s="1"/>
  <c r="AJ5" i="2"/>
  <c r="AK5" i="2" s="1"/>
  <c r="X6" i="2"/>
  <c r="H6" i="2"/>
  <c r="B6" i="2"/>
  <c r="AJ4" i="2"/>
  <c r="AK4" i="2" s="1"/>
  <c r="X5" i="2"/>
  <c r="M5" i="2"/>
  <c r="L5" i="2"/>
  <c r="K5" i="2"/>
  <c r="H5" i="2"/>
  <c r="B5" i="2"/>
  <c r="L8" i="3" s="1"/>
  <c r="X4" i="2"/>
  <c r="M4" i="2"/>
  <c r="L4" i="2"/>
  <c r="K4" i="2"/>
  <c r="H4" i="2"/>
  <c r="B4" i="2"/>
  <c r="F8" i="3" s="1"/>
  <c r="AJ3" i="2"/>
  <c r="AK3" i="2" s="1"/>
  <c r="X3" i="2"/>
  <c r="M3" i="2"/>
  <c r="L3" i="2"/>
  <c r="K3" i="2"/>
  <c r="H3" i="2"/>
  <c r="D153" i="3"/>
  <c r="C153" i="3"/>
  <c r="C152" i="3"/>
  <c r="D151" i="3"/>
  <c r="C151" i="3"/>
  <c r="C150" i="3"/>
  <c r="E150" i="3" s="1"/>
  <c r="D149" i="3"/>
  <c r="C149" i="3"/>
  <c r="F110" i="3"/>
  <c r="E110" i="3"/>
  <c r="D110" i="3"/>
  <c r="C110" i="3"/>
  <c r="F109" i="3"/>
  <c r="C109" i="3"/>
  <c r="F108" i="3"/>
  <c r="E108" i="3"/>
  <c r="D108" i="3"/>
  <c r="C108" i="3"/>
  <c r="E265" i="2" l="1"/>
  <c r="G109" i="3" s="1"/>
  <c r="E264" i="2"/>
  <c r="G108" i="3" s="1"/>
  <c r="E266" i="2"/>
  <c r="D271" i="2"/>
  <c r="G93" i="3" s="1"/>
  <c r="E271" i="2"/>
  <c r="I93" i="3" s="1"/>
  <c r="D272" i="2"/>
  <c r="E272" i="2"/>
  <c r="I94" i="3" s="1"/>
  <c r="D273" i="2"/>
  <c r="G95" i="3" s="1"/>
  <c r="E273" i="2"/>
  <c r="I95" i="3" s="1"/>
  <c r="D274" i="2"/>
  <c r="G96" i="3" s="1"/>
  <c r="E274" i="2"/>
  <c r="I96" i="3" s="1"/>
  <c r="D275" i="2"/>
  <c r="G97" i="3" s="1"/>
  <c r="E275" i="2"/>
  <c r="I97" i="3" s="1"/>
  <c r="D276" i="2"/>
  <c r="E276" i="2"/>
  <c r="I98" i="3" s="1"/>
  <c r="D277" i="2"/>
  <c r="G99" i="3" s="1"/>
  <c r="E277" i="2"/>
  <c r="D278" i="2"/>
  <c r="E278" i="2"/>
  <c r="I100" i="3" s="1"/>
  <c r="D279" i="2"/>
  <c r="E279" i="2"/>
  <c r="I101" i="3" s="1"/>
  <c r="D280" i="2"/>
  <c r="E280" i="2"/>
  <c r="I102" i="3" s="1"/>
  <c r="H151" i="3"/>
  <c r="N5" i="2"/>
  <c r="G149" i="3"/>
  <c r="F149" i="3"/>
  <c r="E149" i="3"/>
  <c r="G151" i="3"/>
  <c r="F151" i="3"/>
  <c r="G152" i="3"/>
  <c r="E152" i="3"/>
  <c r="G153" i="3"/>
  <c r="F153" i="3"/>
  <c r="E153" i="3"/>
  <c r="G110" i="3"/>
  <c r="AH14" i="2"/>
  <c r="H150" i="3"/>
  <c r="AH11" i="2"/>
  <c r="N3" i="2"/>
  <c r="N4" i="2"/>
  <c r="H152" i="3"/>
  <c r="H153" i="3"/>
  <c r="AH9" i="2"/>
  <c r="AH13" i="2"/>
  <c r="H149" i="3"/>
  <c r="AH8" i="2"/>
  <c r="R59" i="2"/>
  <c r="R52" i="2"/>
  <c r="R43" i="2"/>
  <c r="R40" i="2"/>
  <c r="R28" i="2"/>
  <c r="R26" i="2"/>
  <c r="R19" i="2"/>
  <c r="R16" i="2"/>
  <c r="R14" i="2"/>
  <c r="R11" i="2"/>
  <c r="R54" i="2"/>
  <c r="R51" i="2"/>
  <c r="R48" i="2"/>
  <c r="R42" i="2"/>
  <c r="R32" i="2"/>
  <c r="R58" i="2"/>
  <c r="R57" i="2"/>
  <c r="R21" i="2"/>
  <c r="R9" i="2"/>
  <c r="R61" i="2"/>
  <c r="R60" i="2"/>
  <c r="R56" i="2"/>
  <c r="R55" i="2"/>
  <c r="R41" i="2"/>
  <c r="R20" i="2"/>
  <c r="R15" i="2"/>
  <c r="R7" i="2"/>
  <c r="R34" i="2"/>
  <c r="R33" i="2"/>
  <c r="R18" i="2"/>
  <c r="R50" i="2"/>
  <c r="R47" i="2"/>
  <c r="R31" i="2"/>
  <c r="R22" i="2"/>
  <c r="R45" i="2"/>
  <c r="R37" i="2"/>
  <c r="R4" i="2"/>
  <c r="R6" i="2"/>
  <c r="R46" i="2"/>
  <c r="R39" i="2"/>
  <c r="R27" i="2"/>
  <c r="R12" i="2"/>
  <c r="R3" i="2"/>
  <c r="R38" i="2"/>
  <c r="R25" i="2"/>
  <c r="R24" i="2"/>
  <c r="R23" i="2"/>
  <c r="R49" i="2"/>
  <c r="R35" i="2"/>
  <c r="R62" i="2"/>
  <c r="R53" i="2"/>
  <c r="R30" i="2"/>
  <c r="R29" i="2"/>
  <c r="R17" i="2"/>
  <c r="R44" i="2"/>
  <c r="R36" i="2"/>
  <c r="R13" i="2"/>
  <c r="R10" i="2"/>
  <c r="R8" i="2"/>
  <c r="R5" i="2"/>
  <c r="AB4" i="2"/>
  <c r="AH7" i="2"/>
  <c r="F279" i="2"/>
  <c r="L101" i="3" s="1"/>
  <c r="B279" i="2"/>
  <c r="D101" i="3" s="1"/>
  <c r="A279" i="2"/>
  <c r="C101" i="3" s="1"/>
  <c r="H279" i="2"/>
  <c r="P101" i="3" s="1"/>
  <c r="G279" i="2"/>
  <c r="N101" i="3" s="1"/>
  <c r="G101" i="3"/>
  <c r="C279" i="2"/>
  <c r="E101" i="3" s="1"/>
  <c r="C273" i="2"/>
  <c r="E95" i="3" s="1"/>
  <c r="B273" i="2"/>
  <c r="D95" i="3" s="1"/>
  <c r="A273" i="2"/>
  <c r="C95" i="3" s="1"/>
  <c r="H273" i="2"/>
  <c r="P95" i="3" s="1"/>
  <c r="G273" i="2"/>
  <c r="N95" i="3" s="1"/>
  <c r="F273" i="2"/>
  <c r="L95" i="3" s="1"/>
  <c r="G98" i="3"/>
  <c r="C276" i="2"/>
  <c r="E98" i="3" s="1"/>
  <c r="B276" i="2"/>
  <c r="D98" i="3" s="1"/>
  <c r="A276" i="2"/>
  <c r="C98" i="3" s="1"/>
  <c r="H276" i="2"/>
  <c r="P98" i="3" s="1"/>
  <c r="G276" i="2"/>
  <c r="N98" i="3" s="1"/>
  <c r="F276" i="2"/>
  <c r="L98" i="3" s="1"/>
  <c r="F150" i="3"/>
  <c r="AB5" i="2"/>
  <c r="G150" i="3"/>
  <c r="AH15" i="2"/>
  <c r="AH12" i="2"/>
  <c r="AH10" i="2"/>
  <c r="AH5" i="2"/>
  <c r="AH3" i="2"/>
  <c r="G271" i="2"/>
  <c r="N93" i="3" s="1"/>
  <c r="F271" i="2"/>
  <c r="L93" i="3" s="1"/>
  <c r="C271" i="2"/>
  <c r="E93" i="3" s="1"/>
  <c r="B271" i="2"/>
  <c r="D93" i="3" s="1"/>
  <c r="A271" i="2"/>
  <c r="C93" i="3" s="1"/>
  <c r="H271" i="2"/>
  <c r="P93" i="3" s="1"/>
  <c r="A274" i="2"/>
  <c r="C96" i="3" s="1"/>
  <c r="H274" i="2"/>
  <c r="P96" i="3" s="1"/>
  <c r="G274" i="2"/>
  <c r="N96" i="3" s="1"/>
  <c r="F274" i="2"/>
  <c r="L96" i="3" s="1"/>
  <c r="C274" i="2"/>
  <c r="E96" i="3" s="1"/>
  <c r="B274" i="2"/>
  <c r="D96" i="3" s="1"/>
  <c r="G275" i="2"/>
  <c r="N97" i="3" s="1"/>
  <c r="F275" i="2"/>
  <c r="L97" i="3" s="1"/>
  <c r="C275" i="2"/>
  <c r="E97" i="3" s="1"/>
  <c r="B275" i="2"/>
  <c r="D97" i="3" s="1"/>
  <c r="A275" i="2"/>
  <c r="C97" i="3" s="1"/>
  <c r="H275" i="2"/>
  <c r="P97" i="3" s="1"/>
  <c r="AB16" i="2"/>
  <c r="AB14" i="2"/>
  <c r="AB11" i="2"/>
  <c r="AB13" i="2"/>
  <c r="AB6" i="2"/>
  <c r="AB17" i="2"/>
  <c r="F152" i="3"/>
  <c r="AB7" i="2"/>
  <c r="AB8" i="2"/>
  <c r="AB10" i="2"/>
  <c r="AB9" i="2"/>
  <c r="AB12" i="2"/>
  <c r="E151" i="3"/>
  <c r="AB3" i="2"/>
  <c r="AH4" i="2"/>
  <c r="AH6" i="2"/>
  <c r="AB15" i="2"/>
  <c r="B277" i="2"/>
  <c r="D99" i="3" s="1"/>
  <c r="C277" i="2"/>
  <c r="E99" i="3" s="1"/>
  <c r="A277" i="2"/>
  <c r="C99" i="3" s="1"/>
  <c r="H277" i="2"/>
  <c r="P99" i="3" s="1"/>
  <c r="G277" i="2"/>
  <c r="N99" i="3" s="1"/>
  <c r="F277" i="2"/>
  <c r="L99" i="3" s="1"/>
  <c r="I99" i="3"/>
  <c r="H278" i="2"/>
  <c r="P100" i="3" s="1"/>
  <c r="C278" i="2"/>
  <c r="E100" i="3" s="1"/>
  <c r="B278" i="2"/>
  <c r="D100" i="3" s="1"/>
  <c r="A278" i="2"/>
  <c r="C100" i="3" s="1"/>
  <c r="G278" i="2"/>
  <c r="N100" i="3" s="1"/>
  <c r="F278" i="2"/>
  <c r="L100" i="3" s="1"/>
  <c r="G100" i="3"/>
  <c r="G94" i="3"/>
  <c r="C272" i="2"/>
  <c r="E94" i="3" s="1"/>
  <c r="B272" i="2"/>
  <c r="D94" i="3" s="1"/>
  <c r="A272" i="2"/>
  <c r="C94" i="3" s="1"/>
  <c r="H272" i="2"/>
  <c r="P94" i="3" s="1"/>
  <c r="G272" i="2"/>
  <c r="N94" i="3" s="1"/>
  <c r="F272" i="2"/>
  <c r="L94" i="3" s="1"/>
  <c r="G102" i="3"/>
  <c r="A280" i="2"/>
  <c r="C102" i="3" s="1"/>
  <c r="H280" i="2"/>
  <c r="P102" i="3" s="1"/>
  <c r="G280" i="2"/>
  <c r="N102" i="3" s="1"/>
  <c r="F280" i="2"/>
  <c r="L102" i="3" s="1"/>
  <c r="C280" i="2"/>
  <c r="E102" i="3" s="1"/>
  <c r="B280" i="2"/>
  <c r="D102" i="3" s="1"/>
  <c r="L126" i="3" l="1"/>
  <c r="L125" i="3"/>
  <c r="L128" i="3"/>
  <c r="L123" i="3"/>
  <c r="L127" i="3"/>
  <c r="L129" i="3"/>
  <c r="L130" i="3"/>
  <c r="L132" i="3"/>
  <c r="L131" i="3"/>
  <c r="L124" i="3"/>
  <c r="R130" i="3"/>
  <c r="T10" i="2"/>
  <c r="T10" i="2" a="1"/>
  <c r="Q10" i="2"/>
  <c r="D130" i="3"/>
  <c r="AD10" i="2"/>
  <c r="AE10" i="2"/>
  <c r="Q10" i="2" a="1"/>
  <c r="S10" i="2"/>
  <c r="O130" i="3"/>
  <c r="S19" i="2"/>
  <c r="Q19" i="2"/>
  <c r="T19" i="2"/>
  <c r="Q19" i="2" a="1"/>
  <c r="T19" i="2" a="1"/>
  <c r="S17" i="2"/>
  <c r="Q17" i="2"/>
  <c r="T17" i="2"/>
  <c r="Q17" i="2" a="1"/>
  <c r="T17" i="2" a="1"/>
  <c r="S47" i="2"/>
  <c r="Q47" i="2"/>
  <c r="T47" i="2"/>
  <c r="Q47" i="2" a="1"/>
  <c r="T47" i="2" a="1"/>
  <c r="S37" i="2"/>
  <c r="Q37" i="2"/>
  <c r="T37" i="2"/>
  <c r="Q37" i="2" a="1"/>
  <c r="T37" i="2" a="1"/>
  <c r="O125" i="3"/>
  <c r="S5" i="2"/>
  <c r="S52" i="2"/>
  <c r="Q52" i="2"/>
  <c r="T52" i="2"/>
  <c r="Q52" i="2" a="1"/>
  <c r="T52" i="2" a="1"/>
  <c r="O131" i="3"/>
  <c r="S11" i="2"/>
  <c r="Q11" i="2"/>
  <c r="S61" i="2"/>
  <c r="Q61" i="2"/>
  <c r="T61" i="2"/>
  <c r="Q61" i="2" a="1"/>
  <c r="T61" i="2" a="1"/>
  <c r="S13" i="2"/>
  <c r="Q13" i="2"/>
  <c r="T13" i="2"/>
  <c r="Q13" i="2" a="1"/>
  <c r="T13" i="2" a="1"/>
  <c r="R127" i="3"/>
  <c r="T7" i="2"/>
  <c r="T7" i="2" a="1"/>
  <c r="Q7" i="2"/>
  <c r="AE7" i="2"/>
  <c r="AD7" i="2"/>
  <c r="D127" i="3"/>
  <c r="Q7" i="2" a="1"/>
  <c r="S7" i="2"/>
  <c r="O127" i="3"/>
  <c r="R126" i="3"/>
  <c r="T6" i="2"/>
  <c r="T6" i="2" a="1"/>
  <c r="T26" i="2"/>
  <c r="T26" i="2" a="1"/>
  <c r="Q26" i="2"/>
  <c r="Q26" i="2" a="1"/>
  <c r="S26" i="2"/>
  <c r="S54" i="2"/>
  <c r="Q54" i="2"/>
  <c r="T54" i="2"/>
  <c r="Q54" i="2" a="1"/>
  <c r="T54" i="2" a="1"/>
  <c r="T25" i="2"/>
  <c r="T25" i="2" a="1"/>
  <c r="Q25" i="2"/>
  <c r="Q25" i="2" a="1"/>
  <c r="S25" i="2"/>
  <c r="S39" i="2"/>
  <c r="Q39" i="2"/>
  <c r="T39" i="2"/>
  <c r="Q39" i="2" a="1"/>
  <c r="T39" i="2" a="1"/>
  <c r="R132" i="3"/>
  <c r="T12" i="2"/>
  <c r="T12" i="2" a="1"/>
  <c r="Q12" i="2"/>
  <c r="O124" i="3"/>
  <c r="S4" i="2"/>
  <c r="Q4" i="2"/>
  <c r="S60" i="2"/>
  <c r="Q60" i="2"/>
  <c r="T60" i="2"/>
  <c r="Q60" i="2" a="1"/>
  <c r="T60" i="2" a="1"/>
  <c r="AD11" i="2"/>
  <c r="AE11" i="2"/>
  <c r="D131" i="3"/>
  <c r="T11" i="2"/>
  <c r="Q11" i="2" a="1"/>
  <c r="T11" i="2" a="1"/>
  <c r="R131" i="3"/>
  <c r="S23" i="2"/>
  <c r="Q23" i="2"/>
  <c r="T23" i="2"/>
  <c r="Q23" i="2" a="1"/>
  <c r="T23" i="2" a="1"/>
  <c r="T15" i="2"/>
  <c r="T15" i="2" a="1"/>
  <c r="Q15" i="2"/>
  <c r="Q15" i="2" a="1"/>
  <c r="S15" i="2"/>
  <c r="S49" i="2"/>
  <c r="Q49" i="2"/>
  <c r="T49" i="2"/>
  <c r="Q49" i="2" a="1"/>
  <c r="T49" i="2" a="1"/>
  <c r="T42" i="2"/>
  <c r="T42" i="2" a="1"/>
  <c r="Q42" i="2"/>
  <c r="Q42" i="2" a="1"/>
  <c r="S42" i="2"/>
  <c r="S29" i="2"/>
  <c r="Q29" i="2"/>
  <c r="T29" i="2"/>
  <c r="Q29" i="2" a="1"/>
  <c r="T29" i="2" a="1"/>
  <c r="S20" i="2"/>
  <c r="Q20" i="2"/>
  <c r="T20" i="2"/>
  <c r="Q20" i="2" a="1"/>
  <c r="T20" i="2" a="1"/>
  <c r="S50" i="2"/>
  <c r="Q50" i="2"/>
  <c r="T50" i="2"/>
  <c r="Q50" i="2" a="1"/>
  <c r="T50" i="2" a="1"/>
  <c r="R129" i="3"/>
  <c r="T9" i="2"/>
  <c r="T9" i="2" a="1"/>
  <c r="S62" i="2"/>
  <c r="Q62" i="2"/>
  <c r="T62" i="2"/>
  <c r="Q62" i="2" a="1"/>
  <c r="T62" i="2" a="1"/>
  <c r="T40" i="2"/>
  <c r="T40" i="2" a="1"/>
  <c r="Q40" i="2"/>
  <c r="Q40" i="2" a="1"/>
  <c r="S40" i="2"/>
  <c r="T24" i="2"/>
  <c r="T24" i="2" a="1"/>
  <c r="Q24" i="2"/>
  <c r="Q24" i="2" a="1"/>
  <c r="S24" i="2"/>
  <c r="Q5" i="2"/>
  <c r="AE5" i="2"/>
  <c r="AD5" i="2"/>
  <c r="D125" i="3"/>
  <c r="T5" i="2"/>
  <c r="Q5" i="2" a="1"/>
  <c r="T5" i="2" a="1"/>
  <c r="R125" i="3"/>
  <c r="R123" i="3"/>
  <c r="T3" i="2"/>
  <c r="T3" i="2" a="1"/>
  <c r="S16" i="2"/>
  <c r="Q16" i="2"/>
  <c r="T16" i="2"/>
  <c r="Q16" i="2" a="1"/>
  <c r="T16" i="2" a="1"/>
  <c r="T59" i="2"/>
  <c r="T59" i="2" a="1"/>
  <c r="Q59" i="2"/>
  <c r="Q59" i="2" a="1"/>
  <c r="S59" i="2"/>
  <c r="Q6" i="2"/>
  <c r="AD6" i="2"/>
  <c r="D126" i="3"/>
  <c r="AE6" i="2"/>
  <c r="Q6" i="2" a="1"/>
  <c r="S6" i="2"/>
  <c r="O126" i="3"/>
  <c r="T58" i="2"/>
  <c r="T58" i="2" a="1"/>
  <c r="Q58" i="2"/>
  <c r="Q58" i="2" a="1"/>
  <c r="S58" i="2"/>
  <c r="T45" i="2"/>
  <c r="T45" i="2" a="1"/>
  <c r="Q45" i="2"/>
  <c r="Q45" i="2" a="1"/>
  <c r="S45" i="2"/>
  <c r="T33" i="2"/>
  <c r="T33" i="2" a="1"/>
  <c r="Q33" i="2"/>
  <c r="Q33" i="2" a="1"/>
  <c r="S33" i="2"/>
  <c r="S35" i="2"/>
  <c r="Q35" i="2"/>
  <c r="T35" i="2"/>
  <c r="Q35" i="2" a="1"/>
  <c r="T35" i="2" a="1"/>
  <c r="T57" i="2"/>
  <c r="T57" i="2" a="1"/>
  <c r="Q57" i="2"/>
  <c r="Q57" i="2" a="1"/>
  <c r="S57" i="2"/>
  <c r="S48" i="2"/>
  <c r="Q48" i="2"/>
  <c r="T48" i="2"/>
  <c r="Q48" i="2" a="1"/>
  <c r="T48" i="2" a="1"/>
  <c r="S41" i="2"/>
  <c r="Q41" i="2"/>
  <c r="T41" i="2"/>
  <c r="Q41" i="2" a="1"/>
  <c r="T41" i="2" a="1"/>
  <c r="S38" i="2"/>
  <c r="Q38" i="2"/>
  <c r="T38" i="2"/>
  <c r="Q38" i="2" a="1"/>
  <c r="T38" i="2" a="1"/>
  <c r="S55" i="2"/>
  <c r="Q55" i="2"/>
  <c r="T55" i="2"/>
  <c r="Q55" i="2" a="1"/>
  <c r="T55" i="2" a="1"/>
  <c r="S53" i="2"/>
  <c r="Q53" i="2"/>
  <c r="T53" i="2"/>
  <c r="Q53" i="2" a="1"/>
  <c r="T53" i="2" a="1"/>
  <c r="T21" i="2"/>
  <c r="T21" i="2" a="1"/>
  <c r="Q21" i="2"/>
  <c r="Q21" i="2" a="1"/>
  <c r="S21" i="2"/>
  <c r="S32" i="2"/>
  <c r="Q32" i="2"/>
  <c r="T32" i="2"/>
  <c r="Q32" i="2" a="1"/>
  <c r="T32" i="2" a="1"/>
  <c r="O123" i="3"/>
  <c r="S3" i="2"/>
  <c r="O128" i="3"/>
  <c r="S8" i="2"/>
  <c r="Q8" i="2"/>
  <c r="T27" i="2"/>
  <c r="T27" i="2" a="1"/>
  <c r="Q27" i="2"/>
  <c r="Q27" i="2" a="1"/>
  <c r="S27" i="2"/>
  <c r="T56" i="2"/>
  <c r="T56" i="2" a="1"/>
  <c r="Q56" i="2"/>
  <c r="Q56" i="2" a="1"/>
  <c r="S56" i="2"/>
  <c r="AA13" i="2"/>
  <c r="AA13" i="2" a="1"/>
  <c r="AA3" i="2"/>
  <c r="AA16" i="2"/>
  <c r="AA16" i="2" a="1"/>
  <c r="AA8" i="2"/>
  <c r="AA8" i="2" a="1"/>
  <c r="AA7" i="2"/>
  <c r="AA7" i="2" a="1"/>
  <c r="AA6" i="2"/>
  <c r="AA6" i="2" a="1"/>
  <c r="AA17" i="2"/>
  <c r="AA17" i="2" a="1"/>
  <c r="AA5" i="2"/>
  <c r="AA5" i="2" a="1"/>
  <c r="AA4" i="2"/>
  <c r="AA4" i="2" a="1"/>
  <c r="AA12" i="2"/>
  <c r="AA12" i="2" a="1"/>
  <c r="AA14" i="2"/>
  <c r="AA14" i="2" a="1"/>
  <c r="AA10" i="2"/>
  <c r="AA10" i="2" a="1"/>
  <c r="AA11" i="2"/>
  <c r="AA11" i="2" a="1"/>
  <c r="AA15" i="2"/>
  <c r="AA15" i="2" a="1"/>
  <c r="AA9" i="2"/>
  <c r="AA3" i="2" a="1"/>
  <c r="AA9" i="2" a="1"/>
  <c r="T18" i="2"/>
  <c r="T18" i="2" a="1"/>
  <c r="Q18" i="2"/>
  <c r="Q18" i="2" a="1"/>
  <c r="S18" i="2"/>
  <c r="T31" i="2"/>
  <c r="T31" i="2" a="1"/>
  <c r="Q31" i="2"/>
  <c r="Q31" i="2" a="1"/>
  <c r="S31" i="2"/>
  <c r="T14" i="2"/>
  <c r="T14" i="2" a="1"/>
  <c r="Q14" i="2"/>
  <c r="Q14" i="2" a="1"/>
  <c r="S14" i="2"/>
  <c r="S22" i="2"/>
  <c r="Q22" i="2"/>
  <c r="T22" i="2"/>
  <c r="Q22" i="2" a="1"/>
  <c r="T22" i="2" a="1"/>
  <c r="S36" i="2"/>
  <c r="Q36" i="2"/>
  <c r="T36" i="2"/>
  <c r="Q36" i="2" a="1"/>
  <c r="T36" i="2" a="1"/>
  <c r="S28" i="2"/>
  <c r="Q28" i="2"/>
  <c r="T28" i="2"/>
  <c r="Q28" i="2" a="1"/>
  <c r="T28" i="2" a="1"/>
  <c r="AG12" i="2"/>
  <c r="AG12" i="2" a="1"/>
  <c r="AG3" i="2"/>
  <c r="AG5" i="2"/>
  <c r="AG5" i="2" a="1"/>
  <c r="AG7" i="2"/>
  <c r="AG7" i="2" a="1"/>
  <c r="AG4" i="2"/>
  <c r="AG4" i="2" a="1"/>
  <c r="AG11" i="2"/>
  <c r="AG11" i="2" a="1"/>
  <c r="AG13" i="2"/>
  <c r="AG13" i="2" a="1"/>
  <c r="AG14" i="2"/>
  <c r="AG14" i="2" a="1"/>
  <c r="AG8" i="2"/>
  <c r="AG8" i="2" a="1"/>
  <c r="AG15" i="2"/>
  <c r="AG15" i="2" a="1"/>
  <c r="AG10" i="2"/>
  <c r="AG10" i="2" a="1"/>
  <c r="AG6" i="2"/>
  <c r="AG6" i="2" a="1"/>
  <c r="AG9" i="2"/>
  <c r="AG3" i="2" a="1"/>
  <c r="AG9" i="2" a="1"/>
  <c r="AE8" i="2"/>
  <c r="AD8" i="2"/>
  <c r="D128" i="3"/>
  <c r="T8" i="2"/>
  <c r="Q8" i="2" a="1"/>
  <c r="T8" i="2" a="1"/>
  <c r="R128" i="3"/>
  <c r="T34" i="2"/>
  <c r="T34" i="2" a="1"/>
  <c r="Q34" i="2"/>
  <c r="Q34" i="2" a="1"/>
  <c r="S34" i="2"/>
  <c r="T43" i="2"/>
  <c r="T43" i="2" a="1"/>
  <c r="Q43" i="2"/>
  <c r="Q43" i="2" a="1"/>
  <c r="S43" i="2"/>
  <c r="T46" i="2"/>
  <c r="T46" i="2" a="1"/>
  <c r="Q46" i="2"/>
  <c r="Q46" i="2" a="1"/>
  <c r="S46" i="2"/>
  <c r="Q9" i="2"/>
  <c r="S44" i="2"/>
  <c r="Q44" i="2"/>
  <c r="T44" i="2"/>
  <c r="Q44" i="2" a="1"/>
  <c r="T44" i="2" a="1"/>
  <c r="AD4" i="2"/>
  <c r="D124" i="3"/>
  <c r="AE4" i="2"/>
  <c r="T4" i="2"/>
  <c r="Q4" i="2" a="1"/>
  <c r="T4" i="2" a="1"/>
  <c r="R124" i="3"/>
  <c r="AD12" i="2"/>
  <c r="AE12" i="2"/>
  <c r="D132" i="3"/>
  <c r="Q12" i="2" a="1"/>
  <c r="S12" i="2"/>
  <c r="O132" i="3"/>
  <c r="Q3" i="2"/>
  <c r="T51" i="2"/>
  <c r="T51" i="2" a="1"/>
  <c r="Q51" i="2"/>
  <c r="Q51" i="2" a="1"/>
  <c r="S51" i="2"/>
  <c r="AE3" i="2"/>
  <c r="AD3" i="2"/>
  <c r="D123" i="3"/>
  <c r="Q30" i="2"/>
  <c r="T30" i="2"/>
  <c r="T30" i="2" a="1"/>
  <c r="Q30" i="2" a="1"/>
  <c r="S30" i="2"/>
  <c r="AE9" i="2"/>
  <c r="AD9" i="2"/>
  <c r="D129" i="3"/>
  <c r="Q3" i="2" a="1"/>
  <c r="Q9" i="2" a="1"/>
  <c r="S9" i="2"/>
  <c r="O129" i="3"/>
</calcChain>
</file>

<file path=xl/sharedStrings.xml><?xml version="1.0" encoding="utf-8"?>
<sst xmlns="http://schemas.openxmlformats.org/spreadsheetml/2006/main" count="22486" uniqueCount="1366">
  <si>
    <t>ID</t>
  </si>
  <si>
    <t>Start time</t>
  </si>
  <si>
    <t>Completion time</t>
  </si>
  <si>
    <t>Email</t>
  </si>
  <si>
    <t>Name</t>
  </si>
  <si>
    <t>BHR Name</t>
  </si>
  <si>
    <t>BHR Employee ID</t>
  </si>
  <si>
    <t>Date of Connect</t>
  </si>
  <si>
    <t>Engagement Type</t>
  </si>
  <si>
    <t>IBU/Practice/Location</t>
  </si>
  <si>
    <t>Mention your location {Ex. Noida}</t>
  </si>
  <si>
    <t>PRACTICE CODE (As per head count report) {Ex. DEA-D-2007}</t>
  </si>
  <si>
    <t>Band</t>
  </si>
  <si>
    <t>Engagement Mode</t>
  </si>
  <si>
    <t>Service Line</t>
  </si>
  <si>
    <t>EMPLOYEE IBU CODE (As per head count report) {Ex. DEA-D-4031}</t>
  </si>
  <si>
    <t>PROJECT DESCRIPTION (As per head count report) {If Mixed then list down all the Project name/Practice/ SL}</t>
  </si>
  <si>
    <t>LSA Connect (In detail)</t>
  </si>
  <si>
    <t>Exclusive Award Ceremony (Not part of Townhall) (In detail)</t>
  </si>
  <si>
    <t>Cadence Connect</t>
  </si>
  <si>
    <t>CARES Framework</t>
  </si>
  <si>
    <t>Career</t>
  </si>
  <si>
    <t>Alignment</t>
  </si>
  <si>
    <t>Recognition</t>
  </si>
  <si>
    <t>Empowerment</t>
  </si>
  <si>
    <t>Strive</t>
  </si>
  <si>
    <t>Townhall - Coverage</t>
  </si>
  <si>
    <t xml:space="preserve">Townhall - Key Insight
</t>
  </si>
  <si>
    <t xml:space="preserve"> Townhall - Action Plan</t>
  </si>
  <si>
    <t>SL Induction - Coverage</t>
  </si>
  <si>
    <t>SL Induction - Key Insight</t>
  </si>
  <si>
    <t>SL Induction - Action Plan</t>
  </si>
  <si>
    <t>Business Wait Connect - Coverage</t>
  </si>
  <si>
    <t>Business Wait Connect - Key Insight</t>
  </si>
  <si>
    <t>Business Wait Connect - Action Plan</t>
  </si>
  <si>
    <t>ELTP Connect (Practice Level) - Coverage</t>
  </si>
  <si>
    <t>ELTP Connect (Practice Level) - Key Insight</t>
  </si>
  <si>
    <t xml:space="preserve">ELTP Connect (Practice Level) - Action Plan
</t>
  </si>
  <si>
    <t>ELTP Connect (&lt;6m) - Coverage</t>
  </si>
  <si>
    <t>ELTP Connect (&lt;6m) - Key Insight</t>
  </si>
  <si>
    <t>ELTP Connect (&lt;6m) - Action Plan</t>
  </si>
  <si>
    <t>ELTP Connect (6-12m) - Coverage</t>
  </si>
  <si>
    <t>ELTP Connect (6-12m) - Key Insight</t>
  </si>
  <si>
    <t>ELTP Connect (6-12m) - Action Plan</t>
  </si>
  <si>
    <t>ELTP Connect (12-24m) - Coverage</t>
  </si>
  <si>
    <t>ELTP Connect (12-24m) - Key Insight</t>
  </si>
  <si>
    <t>ELTP Connect (12-24m) - Action Plan</t>
  </si>
  <si>
    <t>HR Connect (Project Wise) - Coverage</t>
  </si>
  <si>
    <t>HR Connect (Project Wise) - Key Insights </t>
  </si>
  <si>
    <t>HR Connect (Project Wise) - Action Plan</t>
  </si>
  <si>
    <t>HR Connect (General) - Coverage</t>
  </si>
  <si>
    <t>HR Connect (General) - Key Insights</t>
  </si>
  <si>
    <t>HR Connect (General) - Action Plan</t>
  </si>
  <si>
    <t>Top Talent Connect - Coverage</t>
  </si>
  <si>
    <t>Top Talent Connect - Key Insights</t>
  </si>
  <si>
    <t>Top Talent Connect - Action Plan</t>
  </si>
  <si>
    <t>Top Talent FGD Connect - Coverage</t>
  </si>
  <si>
    <t>Top Talent FGD Connect - Key Insights</t>
  </si>
  <si>
    <t>Top Talent FGD Connect - Action Plan</t>
  </si>
  <si>
    <t>New Joiner Connect (7 Days) - Coverage</t>
  </si>
  <si>
    <t>New Joiner Connect (7 Days) - Key Insights</t>
  </si>
  <si>
    <t>New Joiner Connect (7 Days) - Action Plan</t>
  </si>
  <si>
    <t>New Joiner Connect (30 Days) - Coverage</t>
  </si>
  <si>
    <t>New Joiner Connect (30 Days) - Key Insights</t>
  </si>
  <si>
    <t>New Joiner Connect (30 Days) - Action Plan</t>
  </si>
  <si>
    <t>New Joiner Connect (60 Days) - Coverage</t>
  </si>
  <si>
    <t>New Joiner Connect (60 Days) - Key Insights</t>
  </si>
  <si>
    <t>New Joiner Connect (60 Days) - Action Plan</t>
  </si>
  <si>
    <t>New Joiner Connect (90 Days) - Coverage</t>
  </si>
  <si>
    <t>New Joiner Connect (90 Days) - Key Insights</t>
  </si>
  <si>
    <t>New Joiner Connect (90 Days) - Action Plan</t>
  </si>
  <si>
    <t>ML Returnee Connect - Coverage</t>
  </si>
  <si>
    <t>ML Returnee Connect - Key Insights</t>
  </si>
  <si>
    <t>ML Returnee Connect - Action Plan</t>
  </si>
  <si>
    <t>Skip Meeting - Coverage</t>
  </si>
  <si>
    <t>Skip Meeting - Key Insights</t>
  </si>
  <si>
    <t>Skip Meeting - Action Plan</t>
  </si>
  <si>
    <t>Women Associate Connect - Coverage</t>
  </si>
  <si>
    <t>Women Associate Connect - Key Insights</t>
  </si>
  <si>
    <t>Women Associate Connect - Action Plan</t>
  </si>
  <si>
    <t>Band Specific FGD Connect - Coverage</t>
  </si>
  <si>
    <t>Band Specific FGD Connect - Key Insights</t>
  </si>
  <si>
    <t>Band Specific FGD Connect - Action Plan</t>
  </si>
  <si>
    <t>Leadership Connect - Coverage</t>
  </si>
  <si>
    <t>Leadership Connect - Key Insights</t>
  </si>
  <si>
    <t>Leadership Connect - Action Plan</t>
  </si>
  <si>
    <t>Josh (Fun Engagements) - Coverage</t>
  </si>
  <si>
    <t>Josh (Fun Engagements) - Key Insights</t>
  </si>
  <si>
    <t>Josh (Fun Engagements) - Action Plan</t>
  </si>
  <si>
    <t>Wellness Session - Coverage</t>
  </si>
  <si>
    <t>Wellness Session - Key Insights</t>
  </si>
  <si>
    <t>Wellness Session - Action Plan</t>
  </si>
  <si>
    <t>ISR Activity - Coverage</t>
  </si>
  <si>
    <t>ISR Activity - Key Insights</t>
  </si>
  <si>
    <t>ISR Activity - Action Plan</t>
  </si>
  <si>
    <t>Overall Sentiment</t>
  </si>
  <si>
    <t>Action Owner</t>
  </si>
  <si>
    <t>Engagement related Queries</t>
  </si>
  <si>
    <t>Severity</t>
  </si>
  <si>
    <t>Status</t>
  </si>
  <si>
    <t>IBU Level Connect (Points discussed if any)</t>
  </si>
  <si>
    <t>SL Level Connect (Points discussed if any)</t>
  </si>
  <si>
    <t>Practice Level Connect ( (Points discussed if any)</t>
  </si>
  <si>
    <t>PV001126529@techmahindra.com</t>
  </si>
  <si>
    <t>Preeti Verma3</t>
  </si>
  <si>
    <t>Preeti Verma</t>
  </si>
  <si>
    <t>1126529</t>
  </si>
  <si>
    <t>FGD</t>
  </si>
  <si>
    <t>MIX</t>
  </si>
  <si>
    <t>Virtual</t>
  </si>
  <si>
    <t>New Joiner Connect (60 Days)</t>
  </si>
  <si>
    <t>Feedback Mechanism;</t>
  </si>
  <si>
    <t>Not fully integrated with team collaboration channels;</t>
  </si>
  <si>
    <t>Include in team rituals (scrum, meetings, discussions);</t>
  </si>
  <si>
    <t>Mixed</t>
  </si>
  <si>
    <t>Supervisor</t>
  </si>
  <si>
    <t>High</t>
  </si>
  <si>
    <t>Open</t>
  </si>
  <si>
    <t>MM00584819@TechMahindra.com</t>
  </si>
  <si>
    <t>Monica Mary Arockiaraj</t>
  </si>
  <si>
    <t>Monica Mary Arockiraj</t>
  </si>
  <si>
    <t>584819</t>
  </si>
  <si>
    <t>Floor Connect</t>
  </si>
  <si>
    <t>In-person-Tech M </t>
  </si>
  <si>
    <t>HR Connect (General)</t>
  </si>
  <si>
    <t>Organization Policy Updates;Benefits, Insurance &amp; Wellbeing;On Hybrid/WFO Rules And Monthly Compliance Expectations;</t>
  </si>
  <si>
    <t>Need faster resolution for HR tickets and queries;Queries on performance cycle steps and deadlines;</t>
  </si>
  <si>
    <t>Send monthly HR bulletin with key updates and links;</t>
  </si>
  <si>
    <t>HRBP</t>
  </si>
  <si>
    <t>Low</t>
  </si>
  <si>
    <t>Closed</t>
  </si>
  <si>
    <t>SG00938882@techmahindra.com</t>
  </si>
  <si>
    <t>Samhitha Gudipudi</t>
  </si>
  <si>
    <t>Samhitha</t>
  </si>
  <si>
    <t>938882</t>
  </si>
  <si>
    <t>Large Connect</t>
  </si>
  <si>
    <t>DEA Service Line</t>
  </si>
  <si>
    <t>All SAP IBU's</t>
  </si>
  <si>
    <t>All</t>
  </si>
  <si>
    <t>SL Induction</t>
  </si>
  <si>
    <t xml:space="preserve"> Business &amp; Practice Awareness;HR / WFM / Training Communication Effectiveness;Engagement with Leadership &amp; Confidence Level;</t>
  </si>
  <si>
    <t>NA;</t>
  </si>
  <si>
    <t>Provide FAQs, guides, refresher sessions;</t>
  </si>
  <si>
    <t>Neutral</t>
  </si>
  <si>
    <t>HRBP;</t>
  </si>
  <si>
    <t xml:space="preserve">SAP Retail </t>
  </si>
  <si>
    <t>New Joiner Connect (30 Days)</t>
  </si>
  <si>
    <t>Initial Engagement Level;</t>
  </si>
  <si>
    <t>Most of the associates are undergoing trainings as there are FCTP's;</t>
  </si>
  <si>
    <t>Positive</t>
  </si>
  <si>
    <t>Delivery;</t>
  </si>
  <si>
    <t>Moderate</t>
  </si>
  <si>
    <t>TM00869991@techmahindra.com</t>
  </si>
  <si>
    <t>Tanay Malhotra</t>
  </si>
  <si>
    <t>869991</t>
  </si>
  <si>
    <t>DEA-D-4013</t>
  </si>
  <si>
    <t>Oracle HCM ¿ UKG &amp; Workday</t>
  </si>
  <si>
    <t>For Consolidated HR Communications Rather Than Scattered Upd;</t>
  </si>
  <si>
    <t>Request for consolidated HR communications rather than scattered updates;</t>
  </si>
  <si>
    <t>New IBU- Introduction to HR Team and new leadership;</t>
  </si>
  <si>
    <t>Location-Offshore</t>
  </si>
  <si>
    <t>IBU Specific Connect </t>
  </si>
  <si>
    <t>DEA - D - 4025</t>
  </si>
  <si>
    <t xml:space="preserve">BOSCH Rollout Project -  T&amp;M
</t>
  </si>
  <si>
    <t>Skip Meeting</t>
  </si>
  <si>
    <t>Recognition &amp; Motivation;Timely Policy/process Updates;Learning/cert Support Requests;</t>
  </si>
  <si>
    <t>Need more appreciation;</t>
  </si>
  <si>
    <t>Team recognition cadence;</t>
  </si>
  <si>
    <t>Team will start having SAP Syniti related training shortly</t>
  </si>
  <si>
    <t>In-progress</t>
  </si>
  <si>
    <t>SK001091747@techmahindra.com</t>
  </si>
  <si>
    <t>Sai Akshitha Kethumalla</t>
  </si>
  <si>
    <t>1091747</t>
  </si>
  <si>
    <t>Workshop/Session</t>
  </si>
  <si>
    <t>Practice Specific Connect (Across IBU)</t>
  </si>
  <si>
    <t>DEA-D-2006</t>
  </si>
  <si>
    <t>SAP</t>
  </si>
  <si>
    <t>Business Wait Connect</t>
  </si>
  <si>
    <t>Bench Policy &amp; Compliance Clarity;Allocation Visibility &amp; Process;Upskilling &amp; Deployment Readiness;Engagement During Bench;Rules On Working Without Formal Allocation/PID;Queries On Timesheet/attendance Compliance During Bench;Inconsistent Guidance Across Locations/units Creates Frustra;</t>
  </si>
  <si>
    <t>Confusion on WFO mandate and expectations during bench;Unclear rules on working without formal allocation/PID;</t>
  </si>
  <si>
    <t>Reiterate ‘no work without allocation’ rule with examples;</t>
  </si>
  <si>
    <t>No specific Action, Issue addressed in meeting;</t>
  </si>
  <si>
    <t>Queries related to WFO policy for bench associates and working without allocation.</t>
  </si>
  <si>
    <t>Project Allocation Clarity;Manager Connect Effectiveness;</t>
  </si>
  <si>
    <t xml:space="preserve">   Delay or lack of clarity in project onboarding;Limited structured interaction with reporting manager;</t>
  </si>
  <si>
    <t xml:space="preserve">   Define timeline for project allocation (max  0 days);</t>
  </si>
  <si>
    <t>NA</t>
  </si>
  <si>
    <t>Location Specific Connect</t>
  </si>
  <si>
    <t>Hyderabad</t>
  </si>
  <si>
    <t>DEA</t>
  </si>
  <si>
    <t>Leadership Connect</t>
  </si>
  <si>
    <t>AI Workshop By Natesh;</t>
  </si>
  <si>
    <t>Need AI/skill readiness;</t>
  </si>
  <si>
    <t>Define capability targets;</t>
  </si>
  <si>
    <t>Queries were related to AI being implemented in day-to-day projects practically to which leader had addressed that specific agents are identified at DEA level to work with and implement changes.</t>
  </si>
  <si>
    <t>1:1</t>
  </si>
  <si>
    <t>U</t>
  </si>
  <si>
    <t>DEA-D-4022</t>
  </si>
  <si>
    <t>SAP Manufacturing</t>
  </si>
  <si>
    <t>New Joinee Connect (7 Days)</t>
  </si>
  <si>
    <t>Induction Effectiveness;HR Process Clarity;Tool &amp; System Access;Buddy / Support System;Initial Organization Understanding;</t>
  </si>
  <si>
    <t>Delays in access to systems/tools required for work;</t>
  </si>
  <si>
    <t>Implement Day-1 access checklist tracking (IT + Admin);</t>
  </si>
  <si>
    <t>CS;</t>
  </si>
  <si>
    <t>Queries with regards with access card were raised.</t>
  </si>
  <si>
    <t>DEA-D-4028</t>
  </si>
  <si>
    <t>SAP MEA</t>
  </si>
  <si>
    <t>HR Process Clarity;Tool &amp; System Access;Buddy / Support System;Induction Effectiveness;Initial Organization Understanding;</t>
  </si>
  <si>
    <t>Limited clarity on policies (leave, WFO, reporting);</t>
  </si>
  <si>
    <t>Hybrid working policy was explained in detail;</t>
  </si>
  <si>
    <t>Query with regards to Hybrid working policy</t>
  </si>
  <si>
    <t xml:space="preserve">SAP </t>
  </si>
  <si>
    <t xml:space="preserve"> Business &amp; Practice Awareness;Alignment on Role in Business Context;Visibility on Allocation &amp; Demand;HR / WFM / Training Communication Effectiveness;Engagement with Leadership &amp; Confidence Level;</t>
  </si>
  <si>
    <t>HR/WFM/Training updates not actionable;</t>
  </si>
  <si>
    <t>TLS SPOC had cleared all the queries w.r.t learning;</t>
  </si>
  <si>
    <t>Queries related to Hybrid Working Policy, leave policy, and medical insurance were raised. All are cleared during Q&amp;A.</t>
  </si>
  <si>
    <t>Tanay</t>
  </si>
  <si>
    <t>DEA-D-2004</t>
  </si>
  <si>
    <t>Mix</t>
  </si>
  <si>
    <t>Associates lack clarity on practice goals and IBU priorities;HR/WFM/Training updates not actionable;</t>
  </si>
  <si>
    <t>Checked the action plan for pending allocation of new joiners and highlighted to IBU head and it was closed;</t>
  </si>
  <si>
    <t>P</t>
  </si>
  <si>
    <t>DEA-D-4008</t>
  </si>
  <si>
    <t>Monthly Cadence IBU Head coverage on HC, Attrition, eltp and Bench;</t>
  </si>
  <si>
    <t>detailed discussion on monthly cadence;</t>
  </si>
  <si>
    <t>Send monthly HR bulletin with key updates and links;Maintain a live FAQ for hybrid/WFO and exceptions;</t>
  </si>
  <si>
    <t>HRBP;Delivery;</t>
  </si>
  <si>
    <t>KA00759427@techmahindra.com</t>
  </si>
  <si>
    <t>Kovalam Lakshmi Alekya</t>
  </si>
  <si>
    <t>759427</t>
  </si>
  <si>
    <t>Bench Policy &amp; Compliance Clarity;Allocation Visibility &amp; Process;Upskilling &amp; Deployment Readiness;Rules On Working Without Formal Allocation/PID;Queries On Timesheet/attendance Compliance During Bench;</t>
  </si>
  <si>
    <t>Queries on timesheet/attendance compliance during bench;Unclear rules on working without formal allocation/PID;Bench associates lack visibility on how opportunities are matched and prioritized;</t>
  </si>
  <si>
    <t>Answered all the queries;</t>
  </si>
  <si>
    <t>WFM;</t>
  </si>
  <si>
    <t>Alekya Kovalam</t>
  </si>
  <si>
    <t>Project Allocation Clarity;Learning Curve Support;</t>
  </si>
  <si>
    <t xml:space="preserve">   Delay or lack of clarity in project onboarding;</t>
  </si>
  <si>
    <t xml:space="preserve">   Role Confidence Level;Workload Management;Feedback Mechanism;</t>
  </si>
  <si>
    <t>HK001060521@techmahindra.com</t>
  </si>
  <si>
    <t>Haripriya Keerthiraj</t>
  </si>
  <si>
    <t>1060521</t>
  </si>
  <si>
    <t>MFG Vertical</t>
  </si>
  <si>
    <t>MFG SL</t>
  </si>
  <si>
    <t>On Hybrid/WFO Rules And Monthly Compliance Expectations;</t>
  </si>
  <si>
    <t>Confusion on hybrid/WFO rules and monthly compliance expectations;</t>
  </si>
  <si>
    <t>Maintain a live FAQ for hybrid/WFO and exceptions;</t>
  </si>
  <si>
    <t>Improve Hybrid compliance, IBU heads need to validate the data and share action plan</t>
  </si>
  <si>
    <t>Monica</t>
  </si>
  <si>
    <t>Mix (Virtual &amp; In-person)</t>
  </si>
  <si>
    <t>DEA-D-4040</t>
  </si>
  <si>
    <t>Ahlstrom DEA SAP Support Svcs</t>
  </si>
  <si>
    <t>20 Years Long service anniversary celebration of Dharmateja Chava - 243623 at HYD location</t>
  </si>
  <si>
    <t>LSA Connect</t>
  </si>
  <si>
    <t>None</t>
  </si>
  <si>
    <t>Bengaluru</t>
  </si>
  <si>
    <t>DEA BLR (Women Associates)</t>
  </si>
  <si>
    <t>Josh (Fun Engagements)</t>
  </si>
  <si>
    <t>Collaboration &amp; Team Bonding;</t>
  </si>
  <si>
    <t>Mothers day celebration;</t>
  </si>
  <si>
    <t>none;</t>
  </si>
  <si>
    <t>DEA-D-4030</t>
  </si>
  <si>
    <t xml:space="preserve">SAP Sell To - Non PS </t>
  </si>
  <si>
    <t>Talent Pipeline &amp; Capability Building;</t>
  </si>
  <si>
    <t>Burnout signals;</t>
  </si>
  <si>
    <t>Monthly dashboard review;Finalize plan with owners/deadlines;</t>
  </si>
  <si>
    <t xml:space="preserve">Hyderabad Team Connect | SAP Sell To
Business &amp; Leadership Updates :
SAP Sell-To positioned as a high-growth IBU (~55% YoY growth) with ~1400+ global workforce (as shared in session).
Leadership emphasized fast-paced execution, ownership mindset, and adaptability.
Encouraged teams to proactively solve problems rather than escalate.
Capability &amp; Growth Focus :
Strong push on AI adoption and continuous upskilling.
Encouragement for certifications (Basis, HANA, ABAP, BTP, etc.) and soft skills.
Mentorship enablement via Career.NXT platform:
Log in → Mentors tab → Select mentor → Raise request
HR Updates : 
Reinforced DEI &amp; POSH policies (zero tolerance).
LOP window reduced to 2 months → strict timesheet compliance required.
Mandatory trainings → impact on variable pay if not completed.
WFH exceptions revised → applicable only for self, simplified approval flow.
Emphasis on employee wellbeing &amp; mental health.
</t>
  </si>
  <si>
    <t>SAP PE CSI Support</t>
  </si>
  <si>
    <t>Need simplified updates on policy changes and timelines;Queries on performance cycle steps and deadlines;</t>
  </si>
  <si>
    <t>CS;HRBP;</t>
  </si>
  <si>
    <t>1. Transport related queries were higher, had scheduled in-person meeting with CS team on floor &amp; addressed the issue.
2. Updates on increments were raised.
3. WFH exception bases the speculation as per govt norms were raised
4. Updates on Implementation of mensural leave were raised</t>
  </si>
  <si>
    <t>NK001109810@techmahindra.com</t>
  </si>
  <si>
    <t>Nandita Kothari</t>
  </si>
  <si>
    <t xml:space="preserve">Nandita Kothari </t>
  </si>
  <si>
    <t>1109810</t>
  </si>
  <si>
    <t>DEA-D-2007</t>
  </si>
  <si>
    <t>ServiceNow</t>
  </si>
  <si>
    <t>HR Process Clarity;</t>
  </si>
  <si>
    <t>Limited clarity on policies (leave, WFO, reporting);Delays in access to systems/tools required for work;New joiners feel overwhelmed or unclear post induction;</t>
  </si>
  <si>
    <t>Standardize induction deck + post-induction summary mail;</t>
  </si>
  <si>
    <t xml:space="preserve">Had a walkthrough of the DEA line and provided an overview of the following:
RTO (Return to Office) guidelines
Timesheet process
Training structure
Medical insurance details
</t>
  </si>
  <si>
    <t>Induction Effectiveness;</t>
  </si>
  <si>
    <t>New joiners feel overwhelmed or unclear post induction;Limited clarity on policies (leave, WFO, reporting);</t>
  </si>
  <si>
    <t>Standardize induction deck + post-induction summary mail;Assign buddy with defined responsibilities for 2 weeks;</t>
  </si>
  <si>
    <t xml:space="preserve">Had a walkthrough of the DEA line and provided an overview of the following:
RTO (Return to Office) guidelines
Timesheet process
Training structure
Medical insurance details
</t>
  </si>
  <si>
    <t>New joiners feel overwhelmed or unclear post induction;</t>
  </si>
  <si>
    <t>DEA- D-4023, DEA-D-4024, DEA-D-4025</t>
  </si>
  <si>
    <t>SAP Retail TL, SAP TME PS, SAP Communications</t>
  </si>
  <si>
    <t>Initial Organization Understanding;</t>
  </si>
  <si>
    <t>Limited understanding of organization structure and functions;</t>
  </si>
  <si>
    <t>Share org structure + “who does what” quick guide;</t>
  </si>
  <si>
    <t>HRBP;No specific Action, Issue addressed in meeting;</t>
  </si>
  <si>
    <t>na</t>
  </si>
  <si>
    <t>DEA-D-2026</t>
  </si>
  <si>
    <t>SAP HLS</t>
  </si>
  <si>
    <t>Induction Effectiveness;HR Process Clarity;Initial Organization Understanding;</t>
  </si>
  <si>
    <t>Share HR FAQ document + SPOC contact sheet;</t>
  </si>
  <si>
    <t>BT00759440@techmahindra.com</t>
  </si>
  <si>
    <t>Bhavishya Tripathi</t>
  </si>
  <si>
    <t>759440</t>
  </si>
  <si>
    <t>In-person-Client Location</t>
  </si>
  <si>
    <t>DEA-D-4019</t>
  </si>
  <si>
    <t>HAL</t>
  </si>
  <si>
    <t>Townhall</t>
  </si>
  <si>
    <t>Business &amp; Strategy Clarity;Leadership Communication &amp; Q&amp;A Effectiveness;Recognition Visibility;</t>
  </si>
  <si>
    <t>Need clearer articulation of business direction and priorities for the quarter;</t>
  </si>
  <si>
    <t>E</t>
  </si>
  <si>
    <t>DEA-N-4011</t>
  </si>
  <si>
    <t>Learning &amp; Career Enablement;On Hybrid/WFO Rules And Monthly Compliance Expectations;</t>
  </si>
  <si>
    <t>Others;</t>
  </si>
  <si>
    <t>No Action;</t>
  </si>
  <si>
    <t>Had an introductory call with PL Head - Ajay Chawla</t>
  </si>
  <si>
    <t>DEA-D-4031</t>
  </si>
  <si>
    <t>Guidance On Leave, Travel, And Exception Approvals;</t>
  </si>
  <si>
    <t>Need simplified updates on policy changes and timelines;</t>
  </si>
  <si>
    <t>Publish a calendar of HR deadlines (PMS, insurance, declarations);</t>
  </si>
  <si>
    <t>Streamline of WFH in ServiceNow</t>
  </si>
  <si>
    <t>Manager Connect Effectiveness;Initial Engagement Level;</t>
  </si>
  <si>
    <t>Limited structured interaction with reporting manager;</t>
  </si>
  <si>
    <t>Ensure weekly  :  connect with manager;</t>
  </si>
  <si>
    <t>Supervisor;</t>
  </si>
  <si>
    <t>the associates had queries related to timesheet which was cleared during the call</t>
  </si>
  <si>
    <t>New Joiner Connect (90 Days)</t>
  </si>
  <si>
    <t>Engagement &amp; Belonging;Internal Growth Opportunities;</t>
  </si>
  <si>
    <t>seat allocation;</t>
  </si>
  <si>
    <t>shared CS SPOC details;</t>
  </si>
  <si>
    <t>No specific Action, Issue addressed in meeting;Space Management;</t>
  </si>
  <si>
    <t>the associates had doubts related to the RTO guidelines and seat allocations</t>
  </si>
  <si>
    <t>DEA-D-4018</t>
  </si>
  <si>
    <t>Systra</t>
  </si>
  <si>
    <t>HR Connect (Project-Wise)</t>
  </si>
  <si>
    <t>Culture &amp; Engagement;</t>
  </si>
  <si>
    <t>Send monthly HR bulletin with key updates and links;It was a general discussion with the IBU Head on the pulse at ground level ; no specific requisites.;</t>
  </si>
  <si>
    <t>Queries On Performance Cycle Steps And Deadlines;</t>
  </si>
  <si>
    <t>Queries on performance cycle steps and deadlines;</t>
  </si>
  <si>
    <t>Host open house hour for Q&amp;A and log unanswered items;</t>
  </si>
  <si>
    <t>ZF Consultancy</t>
  </si>
  <si>
    <t>Survitec</t>
  </si>
  <si>
    <t>GS001126458@techmahindra.com</t>
  </si>
  <si>
    <t>Garima Singh32</t>
  </si>
  <si>
    <t>Garima Singh</t>
  </si>
  <si>
    <t>1126458</t>
  </si>
  <si>
    <t>Pune</t>
  </si>
  <si>
    <t>SAP product support</t>
  </si>
  <si>
    <t>HR Connect sessions organized for different bands to share and discuss key policies and practices.</t>
  </si>
  <si>
    <t>Most of the queries were related to salary hikes, band changes, and WFH approvals.</t>
  </si>
  <si>
    <t>AB00851695@techmahindra.com</t>
  </si>
  <si>
    <t>Aneela B R</t>
  </si>
  <si>
    <t>Aneela. BR</t>
  </si>
  <si>
    <t>851695</t>
  </si>
  <si>
    <t>DEA-D-2003</t>
  </si>
  <si>
    <t>-Queries raised on TS considerations &amp; payroll timelines
-showcased interest in the learning opportunities
-clarity asked regarding BU structure</t>
  </si>
  <si>
    <t>NY00775720@techmahindra.com</t>
  </si>
  <si>
    <t>Neha Yadav8</t>
  </si>
  <si>
    <t>Neha</t>
  </si>
  <si>
    <t>775720</t>
  </si>
  <si>
    <t>DEA-D-4020</t>
  </si>
  <si>
    <t>IFS project [bench guidelines policy, WFO GUIDLINES    ]</t>
  </si>
  <si>
    <t>Bench Policy &amp; Compliance Clarity;Queries On Timesheet/attendance Compliance During Bench;</t>
  </si>
  <si>
    <t>Bench associates lack visibility on how opportunities are matched and prioritized;Queries on timesheet/attendance compliance during bench;Associates request a single source of truth for bench guidelines;Associates need role-based upskilling guidance linked to actual open demands;</t>
  </si>
  <si>
    <t>Share a weekly allocation status (pipeline, interviews, feedback pending);Align messaging across BHR/WFM and standardize templates;</t>
  </si>
  <si>
    <t xml:space="preserve">All was resolved </t>
  </si>
  <si>
    <t>MFG-D-4003</t>
  </si>
  <si>
    <t>Ford</t>
  </si>
  <si>
    <t>Confusion on WFO mandate and expectations during bench;Bench associates lack visibility on how opportunities are matched and prioritized;Associates need role-based upskilling guidance linked to actual open demands;</t>
  </si>
  <si>
    <t>Share bench guidelines in a one-page FAQ and pin in Teams;Reiterate ‘no work without allocation’ rule with examples;Explain timesheet/swipe exceptions process and escalation SPOCs;</t>
  </si>
  <si>
    <t>Bench guidelines are explained</t>
  </si>
  <si>
    <t>DEA -D-4020</t>
  </si>
  <si>
    <t xml:space="preserve">IFS Project </t>
  </si>
  <si>
    <t xml:space="preserve"> Business &amp; Practice Awareness;</t>
  </si>
  <si>
    <t>Low interaction and hesitation in raising questions;</t>
  </si>
  <si>
    <t xml:space="preserve">org structure was explained, HR policy was explained ,Q/A </t>
  </si>
  <si>
    <t>DEA-D-4001</t>
  </si>
  <si>
    <t>Adani</t>
  </si>
  <si>
    <t>Define issue escalation ladder and response SLAs;Review workload hotspots with PGM/RM and rebalance capacity;Coach managers on feedback, delegation, and communication;Addressing concerns on allocation issues;</t>
  </si>
  <si>
    <t xml:space="preserve">Adani is under allocation issues, associates are expressing stress over the allocation issue.
IBU head has assured to sort the technicalities. </t>
  </si>
  <si>
    <t>Preeti verma</t>
  </si>
  <si>
    <t>DEA-D-4026</t>
  </si>
  <si>
    <t>Review Cadence;</t>
  </si>
  <si>
    <t>need to have diversity ;</t>
  </si>
  <si>
    <t>Identify hotspots;</t>
  </si>
  <si>
    <t xml:space="preserve">Have highlighted about the ARC and diversity ratio point </t>
  </si>
  <si>
    <t xml:space="preserve">Kolkata </t>
  </si>
  <si>
    <t>IFS Sell TO</t>
  </si>
  <si>
    <t>Organization Policy Updates;Guidance On Leave, Travel, And Exception Approvals;On Hybrid/WFO Rules And Monthly Compliance Expectations;</t>
  </si>
  <si>
    <t>Need guidance on leave, travel, and exception approvals;Need guidance on learning platforms and certification options;Need simplified updates on policy changes and timelines;Confusion on hybrid/WFO rules and monthly compliance expectations;Need clarity on role-based learning expectations;</t>
  </si>
  <si>
    <t xml:space="preserve">Leave encashment, Gratuity,Exit guidelines   </t>
  </si>
  <si>
    <t>Bench Policy &amp; Compliance Clarity;Upskilling &amp; Deployment Readiness;Rules On Working Without Formal Allocation/PID;</t>
  </si>
  <si>
    <t>Confusion on WFO mandate and expectations during bench;Bench associates lack visibility on how opportunities are matched and prioritized;</t>
  </si>
  <si>
    <t>Share bench guidelines in a one-page FAQ and pin in Teams;</t>
  </si>
  <si>
    <t>queries related top RTO guidelines and bench wait threshold.</t>
  </si>
  <si>
    <t xml:space="preserve">IFS </t>
  </si>
  <si>
    <t>Organization Policy Updates;On Hybrid/WFO Rules And Monthly Compliance Expectations;</t>
  </si>
  <si>
    <t>Need clarity on role-based learning expectations;Need faster resolution for HR tickets and queries;</t>
  </si>
  <si>
    <t>Exit guidelines ,Early release process</t>
  </si>
  <si>
    <t>DEA-D-4006</t>
  </si>
  <si>
    <t xml:space="preserve">Scotia </t>
  </si>
  <si>
    <t>Organization Policy Updates;</t>
  </si>
  <si>
    <t xml:space="preserve">Relocation policy </t>
  </si>
  <si>
    <t>SAP PS- Connect with P&amp;I team</t>
  </si>
  <si>
    <t>Project Connect</t>
  </si>
  <si>
    <t xml:space="preserve">Doubts on SAP calendar and leaves, Appraisal cycle, Hikes, Flexi declaration were taken and cleared </t>
  </si>
  <si>
    <t>SAP sell Tto(PS and non PS)</t>
  </si>
  <si>
    <t xml:space="preserve">   Role Confidence Level;Team Integration;Feedback Mechanism;</t>
  </si>
  <si>
    <t>The associates had questions around WFH and leaves.;</t>
  </si>
  <si>
    <t>The associates had queries mainly related to WFH and leaves.;</t>
  </si>
  <si>
    <t>Questions related to WFH and leaves</t>
  </si>
  <si>
    <t>Mixed-UKG project</t>
  </si>
  <si>
    <t>Timesheet Submission/approval Process Inconsistencies Create;Clarity On Appraisal/performance Timelines And Edge Cases;</t>
  </si>
  <si>
    <t>Seat availability and office logistics impact productivity;Recurring questions on WFO/WFH expectations and exception handling;</t>
  </si>
  <si>
    <t xml:space="preserve">Kovalam Lakshmi Alekya </t>
  </si>
  <si>
    <t xml:space="preserve">   Career Path Visibility;Internal Growth Opportunities;</t>
  </si>
  <si>
    <t>Lack of awareness of internal opportunities;</t>
  </si>
  <si>
    <t>Share internal job/cross-skill opportunities;</t>
  </si>
  <si>
    <t>BS001049279@techmahindra.com</t>
  </si>
  <si>
    <t>Bodduluri Saranya</t>
  </si>
  <si>
    <t>Saranya Bodduluri</t>
  </si>
  <si>
    <t>1049279</t>
  </si>
  <si>
    <t>Connect with Women Associates</t>
  </si>
  <si>
    <t>Salesforce Practice</t>
  </si>
  <si>
    <t>Women Associate Connect</t>
  </si>
  <si>
    <t>Learning &amp; Skill Building;Career Support &amp; Sponsorship;Recognition &amp; Visibility;Work-Life Balance &amp; Flexibility;</t>
  </si>
  <si>
    <t>Need equitable recognition;Upskilling for future roles;</t>
  </si>
  <si>
    <t>Leadership acknowledgment;Promote DEI initiatives;</t>
  </si>
  <si>
    <t xml:space="preserve">No specific queries - Associate participation HC was very low. </t>
  </si>
  <si>
    <t>MP00769662@techmahindra.com</t>
  </si>
  <si>
    <t>Mukta Pant</t>
  </si>
  <si>
    <t>769662</t>
  </si>
  <si>
    <t>Network Services Service Line</t>
  </si>
  <si>
    <t>NWS-D-4019 &amp; NWS-D-4020</t>
  </si>
  <si>
    <t>Business &amp; Strategy Clarity;</t>
  </si>
  <si>
    <t>Associates were curious to know about salary increments;</t>
  </si>
  <si>
    <t>Publish role-based learning paths (beginner/intermediate/advanced) with links;</t>
  </si>
  <si>
    <t>VC00721138@techmahindra.com</t>
  </si>
  <si>
    <t>Vijay Chakravarthi A</t>
  </si>
  <si>
    <t>Vijay Chakravarthi</t>
  </si>
  <si>
    <t>721138</t>
  </si>
  <si>
    <t>Location-Mixed</t>
  </si>
  <si>
    <t>DEA-D-4016</t>
  </si>
  <si>
    <t>Practice</t>
  </si>
  <si>
    <t xml:space="preserve"> Business &amp; Practice Awareness;Alignment on Role in Business Context;Visibility on Allocation &amp; Demand;HR / WFM / Training Communication Effectiveness;</t>
  </si>
  <si>
    <t>Associates lack clarity on practice goals and IBU priorities;Associates unclear how their role contributes to business;HR/WFM/Training updates not actionable;</t>
  </si>
  <si>
    <t>Create consistent onboarding framework across practice;Publish post-induction roadmap (Day 1–30);</t>
  </si>
  <si>
    <t>Delivery;HRBP;WFM;</t>
  </si>
  <si>
    <t>IBU</t>
  </si>
  <si>
    <t>Bench Policy &amp; Compliance Clarity;Allocation Visibility &amp; Process;Engagement During Bench;Upskilling &amp; Deployment Readiness;</t>
  </si>
  <si>
    <t>Confusion on WFO mandate and expectations during bench;Bench associates lack visibility on how opportunities are matched and prioritized;Associates need role-based upskilling guidance linked to actual open demands;Bench associates feel disconnected from teams and recognition cycles;</t>
  </si>
  <si>
    <t>Share bench guidelines in a one-page FAQ and pin in Teams;Share a weekly allocation status (pipeline, interviews, feedback pending);Assign curated learning paths per demand cluster (SAP/Cloud/QA etc.);Create cohort-based learning circles and weekly peer check-ins;</t>
  </si>
  <si>
    <t>WFM;HRBP;</t>
  </si>
  <si>
    <t>Bench Policy &amp; Compliance Clarity;Allocation Visibility &amp; Process;Queries On Timesheet/attendance Compliance During Bench;Upskilling &amp; Deployment Readiness;</t>
  </si>
  <si>
    <t>HRBP;WFM;</t>
  </si>
  <si>
    <t>WSS</t>
  </si>
  <si>
    <t>Wellness session</t>
  </si>
  <si>
    <t>Support Program Utilization;Participation &amp; Engagement;Stress &amp; Burnout Management;Flexibility Alignment;</t>
  </si>
  <si>
    <t>Workload stress;Flexibility alignment;Workload escalation guidance;</t>
  </si>
  <si>
    <t>Wellbeing check-ins;</t>
  </si>
  <si>
    <t>HRBP;Supervisor;Delivery;</t>
  </si>
  <si>
    <t>LSA of Prathap Chander Sampath who completed 25 years of service with Tech Mahindra. We celebrated it in Chennai office along with leaders, teams and associate's family members.</t>
  </si>
  <si>
    <t>CS00883622@techmahindra.com</t>
  </si>
  <si>
    <t>Chitra Sreedhar</t>
  </si>
  <si>
    <t>883622</t>
  </si>
  <si>
    <t>Engg Services Service Line</t>
  </si>
  <si>
    <t>ENS-D-4001</t>
  </si>
  <si>
    <t>Keysight</t>
  </si>
  <si>
    <t>Workload &amp; Work-Life Balance;Policy &amp; Process Clarity;Manager Support &amp; Local Leadership Effectiveness;</t>
  </si>
  <si>
    <t>Always-on expectations and tight timelines leading to fatigue;Need faster issue resolution and proactive manager check-ins;</t>
  </si>
  <si>
    <t>Define issue escalation ladder and response SLAs;Share project-specific policy FAQ (WFO, exceptions, leave, timesheet);Implement monthly recognition cadence (kudos, spotlight, customer praise);Coach managers on feedback, delegation, and communication;</t>
  </si>
  <si>
    <t>Delivery;Supervisor;</t>
  </si>
  <si>
    <t>Associate wanted a release from the project since he was unhappy in the current role.</t>
  </si>
  <si>
    <t>UT00626914@techmahindra.com</t>
  </si>
  <si>
    <t>Upasana Talukdar</t>
  </si>
  <si>
    <t>Upasana</t>
  </si>
  <si>
    <t>626914</t>
  </si>
  <si>
    <t>DIG Vertical</t>
  </si>
  <si>
    <t>DIG-D-4007</t>
  </si>
  <si>
    <t>EY</t>
  </si>
  <si>
    <t>Policy &amp; Process Clarity;Manager Support &amp; Local Leadership Effectiveness;Recognition &amp; Engagement within Project;</t>
  </si>
  <si>
    <t>Recurring questions on WFO/WFH expectations and exception handling;Generic discussion about the account with the leads;</t>
  </si>
  <si>
    <t>Share project-specific policy FAQ (WFO, exceptions, leave, timesheet);</t>
  </si>
  <si>
    <t>Delivery;HRBP;</t>
  </si>
  <si>
    <t>Account based</t>
  </si>
  <si>
    <t>DIG-D-4005</t>
  </si>
  <si>
    <t>Enbridge</t>
  </si>
  <si>
    <t>Collaboration &amp; Team Bonding;New Joiners Connect Better;Interest Mapping &amp; Relevance;</t>
  </si>
  <si>
    <t>Boosts morale;Social connection improves wellbeing;</t>
  </si>
  <si>
    <t>Quarterly calendar;</t>
  </si>
  <si>
    <t xml:space="preserve">Team was contented with the fun connect as it was a nice short break from work and the whole account was able to connect virtually </t>
  </si>
  <si>
    <t>DIG-D-4001, DIG-D-4005, DIG-D-4007</t>
  </si>
  <si>
    <t>USA Retail &amp; CPG, Energy and Utilities, Professional services</t>
  </si>
  <si>
    <t>On Hybrid/WFO Rules And Monthly Compliance Expectations;Guidance on timesheet;</t>
  </si>
  <si>
    <t>Need forums that make associates feel heard and included;Confusion on hybrid/WFO rules and monthly compliance expectations;</t>
  </si>
  <si>
    <t>New Joiner Induction</t>
  </si>
  <si>
    <t xml:space="preserve">USA Retail, USA E&amp;U, USA Professional Services </t>
  </si>
  <si>
    <t>HR Process Clarity;Initial Organization Understanding;Tool &amp; System Access;</t>
  </si>
  <si>
    <t>New joiners feel overwhelmed or unclear post induction;Limited clarity on policies (leave, WFO, reporting);Delays in access to systems/tools required for work;</t>
  </si>
  <si>
    <t>Share HR FAQ document + SPOC contact sheet;Assign buddy with defined responsibilities for 2 weeks;Share org structure + “who does what” quick guide;</t>
  </si>
  <si>
    <t>KS001150985@techmahindra.com</t>
  </si>
  <si>
    <t>Kavita Sadhu</t>
  </si>
  <si>
    <t>1150985</t>
  </si>
  <si>
    <t>CIS Service Line</t>
  </si>
  <si>
    <t>BU head connect</t>
  </si>
  <si>
    <t>Proactive inputs from HR</t>
  </si>
  <si>
    <t>SC00759506@techmahindra.com</t>
  </si>
  <si>
    <t>Shreetika Choudhary</t>
  </si>
  <si>
    <t>759506</t>
  </si>
  <si>
    <t>TMC-D-1001</t>
  </si>
  <si>
    <t>TMC Service Line</t>
  </si>
  <si>
    <t xml:space="preserve">TMC-D-1001- TMC ALL 
</t>
  </si>
  <si>
    <t>Share HR FAQ document + SPOC contact sheet;Share org structure + “who does what” quick guide;</t>
  </si>
  <si>
    <t>Questions on team formation , Timesheet related queries etc</t>
  </si>
  <si>
    <t xml:space="preserve">TMC-D-1001
</t>
  </si>
  <si>
    <t xml:space="preserve">Distributed TMC specific Swag Kit </t>
  </si>
  <si>
    <t>Exclusive Award Ceremony (Not part of Townhall)</t>
  </si>
  <si>
    <t xml:space="preserve">This was more of a TMC location council connect </t>
  </si>
  <si>
    <t>PG001126472@techmahindra.com</t>
  </si>
  <si>
    <t>Poushali Ghosh2</t>
  </si>
  <si>
    <t>Poushali Ghosh</t>
  </si>
  <si>
    <t>1126472</t>
  </si>
  <si>
    <t>DIG-D-4003</t>
  </si>
  <si>
    <t>USA TTLH</t>
  </si>
  <si>
    <t>Work-Life Balance &amp; Flexibility;</t>
  </si>
  <si>
    <t>Need flexible arrangements during caregiving;Inclusive team practices;Grievance/speak-up clarity;Need empathy and communication;</t>
  </si>
  <si>
    <t>Reinforce speak-up channels;Leadership acknowledgment;</t>
  </si>
  <si>
    <t>DIG-D-4002, 4003, 4007,4009</t>
  </si>
  <si>
    <t>USA Retail, cpg, ttlh</t>
  </si>
  <si>
    <t>ELTP Connect - Practice Level</t>
  </si>
  <si>
    <t>Engagement &amp; Motivation Across Stages;</t>
  </si>
  <si>
    <t>Inconsistent visibility on allocation timelines and decision-making creates confusion across all ELTP groups;</t>
  </si>
  <si>
    <t>Introduce ELTP engagement framework by stage: 0–6M → onboarding support, 6–M → performance alignment, –M → growth &amp; retention;</t>
  </si>
  <si>
    <t>Clarity on Performance cycle</t>
  </si>
  <si>
    <t>MJ001049220@techmahindra.com</t>
  </si>
  <si>
    <t>Mrunal Shridhar Jadhav</t>
  </si>
  <si>
    <t>1049220</t>
  </si>
  <si>
    <t>NWS-D-1001</t>
  </si>
  <si>
    <t>NS MT Interns connect with Abhishek Malhotra (SL Head)</t>
  </si>
  <si>
    <t>HR Process Clarity;Tool &amp; System Access;Buddy / Support System;Initial Organization Understanding;</t>
  </si>
  <si>
    <t>Limited clarity on policies (leave, WFO, reporting);Limited understanding of organization structure and functions;</t>
  </si>
  <si>
    <t>Assign buddy with defined responsibilities for 2 weeks;Share HR FAQ document + SPOC contact sheet;Share org structure + “who does what” quick guide;</t>
  </si>
  <si>
    <t>Top Talent Connect (One to One) (Exclusives/Ascend/WLP/Mentor))</t>
  </si>
  <si>
    <t>Aspirations &amp; Role Enhancement;Manager/Leadership Support;Recognition Equity &amp; Visibility;Compensation &amp; Retention Risk;For Role Rotation (PM/PGM/architect);</t>
  </si>
  <si>
    <t>No hike/VP alignment with performance;</t>
  </si>
  <si>
    <t>Run quarterly nominations;</t>
  </si>
  <si>
    <t>No proper communication on hike and No hike since 2 years</t>
  </si>
  <si>
    <t>Manager Effectiveness &amp; Delegation;Communication &amp; Transparency;Recognition &amp; Motivation;</t>
  </si>
  <si>
    <t>Mixed stakeholder messages;</t>
  </si>
  <si>
    <t>Standardize messaging;</t>
  </si>
  <si>
    <t>Engagement &amp; Belonging;</t>
  </si>
  <si>
    <t>Negative</t>
  </si>
  <si>
    <t xml:space="preserve">No Projects for New Joiners in Bench </t>
  </si>
  <si>
    <t>NS MT Intern connect with Ahmed Bilal</t>
  </si>
  <si>
    <t>GR001086539@techmahindra.com</t>
  </si>
  <si>
    <t>Gauri Rao</t>
  </si>
  <si>
    <t>Gauri - Test case</t>
  </si>
  <si>
    <t>1086539</t>
  </si>
  <si>
    <t>Comms Vertical</t>
  </si>
  <si>
    <t>COM D 4018</t>
  </si>
  <si>
    <t>Need forums that make associates feel heard and included;</t>
  </si>
  <si>
    <t>MJ00874976@techmahindra.com</t>
  </si>
  <si>
    <t>Mansi Joshi</t>
  </si>
  <si>
    <t>874976</t>
  </si>
  <si>
    <t>CIS-D-4007</t>
  </si>
  <si>
    <t>Stress &amp; Burnout Management;</t>
  </si>
  <si>
    <t>Low awareness;</t>
  </si>
  <si>
    <t>Workshops;</t>
  </si>
  <si>
    <t>Space Management;</t>
  </si>
  <si>
    <t xml:space="preserve">tracker </t>
  </si>
  <si>
    <t>SS001060522@techmahindra.com</t>
  </si>
  <si>
    <t>Sai Venkata Sitaram Vandanapu</t>
  </si>
  <si>
    <t>Sai Venkata</t>
  </si>
  <si>
    <t>1060522</t>
  </si>
  <si>
    <t>CIS-D-4022</t>
  </si>
  <si>
    <t>The connect was celebrate the success of a senior leader where even the SL head joined for the celebrations</t>
  </si>
  <si>
    <t>Connect for recognition;</t>
  </si>
  <si>
    <t>Overall feedback from all the employees was good</t>
  </si>
  <si>
    <t>Organization Policy Updates;Benefits, Insurance &amp; Wellbeing;On Hybrid/WFO Rules And Monthly Compliance Expectations;Guidance On Leave, Travel, And Exception Approvals;Queries On Performance Cycle Steps And Deadlines;</t>
  </si>
  <si>
    <t>Queries on medical insurance options, premium deductions, lock-in rules;Need simplified updates on policy changes and timelines;</t>
  </si>
  <si>
    <t>Send monthly HR bulletin with key updates and links;Host open house hour for Q&amp;A and log unanswered items;</t>
  </si>
  <si>
    <t>Open house connect for offshore</t>
  </si>
  <si>
    <t>DIG-D-4001</t>
  </si>
  <si>
    <t>Kimberly Clark</t>
  </si>
  <si>
    <t>Celebrating Small Wins;Wellbeing via Social Connection;Morale &amp; Energy;</t>
  </si>
  <si>
    <t>Need small win celebrations;Need interest-based events;Low relevance reduces participation;</t>
  </si>
  <si>
    <t>Small win shoutouts;</t>
  </si>
  <si>
    <t>Induction</t>
  </si>
  <si>
    <t>DIG</t>
  </si>
  <si>
    <t>Induction Effectiveness;HR Process Clarity;Tool &amp; System Access;Initial Organization Understanding;</t>
  </si>
  <si>
    <t>MFG-N-4007</t>
  </si>
  <si>
    <t>MFG SL interns</t>
  </si>
  <si>
    <t>Culture &amp; Engagement;SL org structure;</t>
  </si>
  <si>
    <t>General HR connect;</t>
  </si>
  <si>
    <t>Communication &amp; Transparency;Learning/cert Support Requests;</t>
  </si>
  <si>
    <t>Need clarity on growth opportunities;Need timely policy/process updates;</t>
  </si>
  <si>
    <t>Set comms cadence;</t>
  </si>
  <si>
    <t>DN00757470@techmahindra.com</t>
  </si>
  <si>
    <t>Divya Madhavi Nanduri</t>
  </si>
  <si>
    <t>Divya Nanduri</t>
  </si>
  <si>
    <t>757470</t>
  </si>
  <si>
    <t>BFSI Vertical</t>
  </si>
  <si>
    <t>BFS-D-4001</t>
  </si>
  <si>
    <t>Mastercard</t>
  </si>
  <si>
    <t>Policy &amp; Process Clarity;Clarity On Appraisal/performance Timelines And Edge Cases;Recognition &amp; Engagement within Project;Timesheet Submission/approval Process Inconsistencies Create;On Leave/comp-off Due To Client Calendar Mismatches;</t>
  </si>
  <si>
    <t>Need clarity on appraisal/performance timelines and edge cases;Recurring questions on WFO/WFH expectations and exception handling;</t>
  </si>
  <si>
    <t>HR and Delivery Head clarified on org level communication on appraisals;</t>
  </si>
  <si>
    <t>Appraisals, WFO, Leave and Timesheet, Variable Pay</t>
  </si>
  <si>
    <t>DIG-D-1001</t>
  </si>
  <si>
    <t>Bench Policy &amp; Compliance Clarity;Allocation Visibility &amp; Process;Engagement During Bench;Queries On Timesheet/attendance Compliance During Bench;Rules On Working Without Formal Allocation/PID;</t>
  </si>
  <si>
    <t>Confusion on WFO mandate and expectations during bench;Prolonged bench duration triggers anxiety about future within the org;Bench associates lack visibility on how opportunities are matched and prioritized;Inconsistent guidance across locations/units creates frustration;</t>
  </si>
  <si>
    <t>Delivery;WFM;HRBP;</t>
  </si>
  <si>
    <t>EY Project</t>
  </si>
  <si>
    <t>Celebrating Small Wins;Wellbeing via Social Connection;Potluck;</t>
  </si>
  <si>
    <t>Need interest-based events;Boosts morale;Social connection improves wellbeing;</t>
  </si>
  <si>
    <t>Monthly calendar;</t>
  </si>
  <si>
    <t>DIG USA Minus TTLH</t>
  </si>
  <si>
    <t>Organization Policy Updates;Learning &amp; Career Enablement;Self-Service &amp; Issue Resolution;On Hybrid/WFO Rules And Monthly Compliance Expectations;Guidance On Leave, Travel, And Exception Approvals;Queries On Performance Cycle Steps And Deadlines;Benefits, Insurance &amp; Wellbeing;Generic Queries;</t>
  </si>
  <si>
    <t>Need simplified updates on policy changes and timelines;Need forums that make associates feel heard and included;Confusion on hybrid/WFO rules and monthly compliance expectations;Need guidance on leave, travel, and exception approvals;Queries on medical insurance options, premium deductions, lock-in rules;</t>
  </si>
  <si>
    <t>DIG-D-4005, DIG-D-4008, DIG-D-4009</t>
  </si>
  <si>
    <t>Business &amp; Strategy Clarity;Leadership Communication &amp; Q&amp;A Effectiveness;AI/future Readiness Messaging Is High-level;</t>
  </si>
  <si>
    <t>Associates seek clarity on role progression and career paths within the unit;Associates are unsure how unit goals translate into day-to-day delivery expectations;Org/structural updates are heard but not fully understood (what changes for me?);AI/future readiness messaging is high-level; associates seek practical relevance;</t>
  </si>
  <si>
    <t>Add ‘Wall of Fame’ segment: delivery wins, customer shoutouts, milestone highlights;</t>
  </si>
  <si>
    <t xml:space="preserve">Oracle HCM – UKG &amp; Workday
</t>
  </si>
  <si>
    <t>Manager Support &amp; Local Leadership Effectiveness;Timesheet Submission/approval Process Inconsistencies Create;Clarity On Appraisal/performance Timelines And Edge Cases;</t>
  </si>
  <si>
    <t>Recurring questions on WFO/WFH expectations and exception handling;Need clarity on appraisal/performance timelines and edge cases;</t>
  </si>
  <si>
    <t>DEA-D-4015</t>
  </si>
  <si>
    <t>OPTUS</t>
  </si>
  <si>
    <t>Policy &amp; Process Clarity;On Leave/comp-off Due To Client Calendar Mismatches;</t>
  </si>
  <si>
    <t>Issues with respect to applying leaves and communication regarding leaves to the managers;</t>
  </si>
  <si>
    <t>Communicated to the teams on the importance of communication and transparency ;</t>
  </si>
  <si>
    <t>Queries on Increments</t>
  </si>
  <si>
    <t>DEA-D-2005</t>
  </si>
  <si>
    <t>Career Support &amp; Sponsorship;Recognition &amp; Visibility;Work-Life Balance &amp; Flexibility;</t>
  </si>
  <si>
    <t>Need equitable recognition;Inclusive team practices;Upskilling for future roles;</t>
  </si>
  <si>
    <t>Promote DEI initiatives;</t>
  </si>
  <si>
    <t>Upskilling, promotions and support related queries</t>
  </si>
  <si>
    <t>Digital Enterprise Applications</t>
  </si>
  <si>
    <t>Know your Service Line 'AI Strategy &amp; Business Vision' from Mr. Natesh P;</t>
  </si>
  <si>
    <t>PUNE</t>
  </si>
  <si>
    <t>Engagement Plan Alignment;Action Closure Discipline;</t>
  </si>
  <si>
    <t>Practice Head Connect with P1 and Above at Pune;</t>
  </si>
  <si>
    <t>Finalize plan with owners/deadlines;</t>
  </si>
  <si>
    <t>Queries related to Increments and Work from home exceptions</t>
  </si>
  <si>
    <t>Salesforce practice</t>
  </si>
  <si>
    <t>25 Years Long Service Anniversary for Pushkaraj Sathaye. Session was a great success, associate and his family really appreciated our efforts in conducting the connect seamlessly</t>
  </si>
  <si>
    <t>No Queries Asked</t>
  </si>
  <si>
    <t xml:space="preserve">   Career Path Visibility;Long-Term Role Alignment;Internal Growth Opportunities;Engagement &amp; Belonging;</t>
  </si>
  <si>
    <t>Connect with Practice head, associates were happy with the session and interaction opportunity with practice head.;</t>
  </si>
  <si>
    <t>Align role expectations vs aspiration through discussion;Improve team engagement (inclusion, recognition);</t>
  </si>
  <si>
    <t>Queries regarding payslips, work from office and PF</t>
  </si>
  <si>
    <t>Salesforce Comms</t>
  </si>
  <si>
    <t>Bench Policy &amp; Compliance Clarity;Upskilling &amp; Deployment Readiness;</t>
  </si>
  <si>
    <t>Associate not willing to work in the project after allocation is completed;</t>
  </si>
  <si>
    <t>No specific action, discussion closed during the connect;</t>
  </si>
  <si>
    <t>No specific Action, Issue addressed in meeting</t>
  </si>
  <si>
    <t>Upskilling &amp; Deployment Readiness;Bench Policy &amp; Compliance Clarity;</t>
  </si>
  <si>
    <t>Bench associates lack visibility on how opportunities are matched and prioritized;No specific Action, Issue addressed in meeting;</t>
  </si>
  <si>
    <t xml:space="preserve">No specific Action, Issue addressed in meeting
</t>
  </si>
  <si>
    <t>Monthly Cadence</t>
  </si>
  <si>
    <t>SALESFORCE PRACTICE</t>
  </si>
  <si>
    <t>IBU Cadence Connect</t>
  </si>
  <si>
    <t>No Specific Queries</t>
  </si>
  <si>
    <t>Allocation &amp; Deployment Transparency;Career Clarity &amp; Growth Continuity;</t>
  </si>
  <si>
    <t xml:space="preserve"> Variation in how learning is translating into actual delivery readiness across different ELTP stages (early-stage ready, mid-stage struggling, late-stage stagnation);Lack of continuous career communication leads to: confusion in early stage, direction gap in mid-stage, retention risk in later stage;</t>
  </si>
  <si>
    <t>Work with work force management and delivery closely to ensure the ELTP associates are mapped to projects once their trainings are completed;</t>
  </si>
  <si>
    <t>WFM;Delivery;</t>
  </si>
  <si>
    <t>Queries on Bench Guidelines, Timesheets, Leave Management, Trainings, and Project allocation</t>
  </si>
  <si>
    <t>Bench Policy &amp; Compliance Clarity;Upskilling &amp; Deployment Readiness;Engagement During Bench;Job Security &amp; Anxiety Management;Rules On Working Without Formal Allocation/PID;Queries On Timesheet/attendance Compliance During Bench;Delay In Interview Feedback Creates Uncertainty And Repeated;</t>
  </si>
  <si>
    <t>Confusion on WFO mandate and expectations during bench;Queries on timesheet/attendance compliance during bench;Prolonged bench duration triggers anxiety about future within the org;Delay in interview feedback creates uncertainty and repeated follow-ups;</t>
  </si>
  <si>
    <t>Explain timesheet/swipe exceptions process and escalation SPOCs;Reiterate ‘no work without allocation’ rule with examples;</t>
  </si>
  <si>
    <t>No specific queries</t>
  </si>
  <si>
    <t xml:space="preserve">   Delay or lack of clarity in project onboarding;Difficulty in understanding tools/processes;</t>
  </si>
  <si>
    <t>Policy and Project allocation relates queries</t>
  </si>
  <si>
    <t>Mandate structured monthly feedback from manager;</t>
  </si>
  <si>
    <t xml:space="preserve">
No specific Action, Issue addressed in meeting</t>
  </si>
  <si>
    <t xml:space="preserve">IIGA </t>
  </si>
  <si>
    <t>BESCOM</t>
  </si>
  <si>
    <t>Policy &amp; Process Clarity;Recognition &amp; Engagement within Project;Timesheet Submission/approval Process Inconsistencies Create;</t>
  </si>
  <si>
    <t>Recurring questions on WFO/WFH expectations and exception handling;Escalation handling is inconsistent; associates want clear routes;</t>
  </si>
  <si>
    <t>WFH queries</t>
  </si>
  <si>
    <t>DEA-D-4009</t>
  </si>
  <si>
    <t>DEA-D-4009, RAMKI, Discussed on Bench cased, HC optimization band wise and RTO</t>
  </si>
  <si>
    <t>DEA-D-4011</t>
  </si>
  <si>
    <t>Monthly Cadence DEA-D-4011</t>
  </si>
  <si>
    <t>RTO management and Bench</t>
  </si>
  <si>
    <t>DEA-D-4011, Suresh Boddu</t>
  </si>
  <si>
    <t>DEA-D-4023</t>
  </si>
  <si>
    <t>Multiple projects</t>
  </si>
  <si>
    <t>Associates undergoing project training;</t>
  </si>
  <si>
    <t>DEA - D- 4024</t>
  </si>
  <si>
    <t>PureStorage</t>
  </si>
  <si>
    <t>Culture &amp; Engagement;Organization Policy Updates;</t>
  </si>
  <si>
    <t>Feedback to be shared with IBU head;</t>
  </si>
  <si>
    <t>Associate is looking for promotion and stated that there needs to be a forum for connecting with competency groups</t>
  </si>
  <si>
    <t>DEA-D-4024</t>
  </si>
  <si>
    <t>Culture &amp; Engagement;Learning &amp; Career Enablement;Queries On Performance Cycle Steps And Deadlines;</t>
  </si>
  <si>
    <t>Compensation concerns and wants to move to middle east</t>
  </si>
  <si>
    <t>DEA-D-4023,DEA-D-4024, DEA-D-4025</t>
  </si>
  <si>
    <t>Various Projects</t>
  </si>
  <si>
    <t>HR Process Clarity;Initial Organization Understanding;</t>
  </si>
  <si>
    <t>aNA</t>
  </si>
  <si>
    <t>all</t>
  </si>
  <si>
    <t>ELTP Connect</t>
  </si>
  <si>
    <t>Organization Policy Updates;Learning &amp; Career Enablement;Clarity On Role-based Learning Expectations;</t>
  </si>
  <si>
    <t>na;</t>
  </si>
  <si>
    <t>Share role-based learning pathways and recommended certifications;</t>
  </si>
  <si>
    <t>QUERIES ON Travel post allocation</t>
  </si>
  <si>
    <t>Bench associates lack visibility on how opportunities are matched and prioritized;Associates need role-based upskilling guidance linked to actual open demands;Unclear rules on working without formal allocation/PID;</t>
  </si>
  <si>
    <t>Share a weekly allocation status (pipeline, interviews, feedback pending);</t>
  </si>
  <si>
    <t>ELTP Connect (12-24m)</t>
  </si>
  <si>
    <t xml:space="preserve"> Career Progression &amp; Next-Level Readiness;</t>
  </si>
  <si>
    <t xml:space="preserve"> ELTPs want clarity on progression timelines and competencies for the next band/role;Rotation/mobility interest is high but process and eligibility are unclear;</t>
  </si>
  <si>
    <t>Highlight ELTP success stories + learning milestones in leadership forums/townhalls;Run structured mobility/rotation sessions with examples and process FAQs;</t>
  </si>
  <si>
    <t>Delivery;No specific Action, Issue addressed in meeting;</t>
  </si>
  <si>
    <t>No Queries</t>
  </si>
  <si>
    <t>DEA-D-4021</t>
  </si>
  <si>
    <t>Bench</t>
  </si>
  <si>
    <t>Induction Effectiveness;HR Process Clarity;Buddy / Support System;</t>
  </si>
  <si>
    <t>Assign buddy with defined responsibilities for 2 weeks;</t>
  </si>
  <si>
    <t>none</t>
  </si>
  <si>
    <t>Initial Organization Understanding;Buddy / Support System;Tool &amp; System Access;</t>
  </si>
  <si>
    <t>Implement Day-1 access checklist tracking (IT + Admin);Assign buddy with defined responsibilities for 2 weeks;</t>
  </si>
  <si>
    <t>neha</t>
  </si>
  <si>
    <t>IFS SELL TO</t>
  </si>
  <si>
    <t>Bench Policy &amp; Compliance Clarity;Rules On Working Without Formal Allocation/PID;Upskilling &amp; Deployment Readiness;Queries On Timesheet/attendance Compliance During Bench;Engagement During Bench;</t>
  </si>
  <si>
    <t>Confusion on WFO mandate and expectations during bench;Queries on timesheet/attendance compliance during bench;Delay in interview feedback creates uncertainty and repeated follow-ups;Unclear rules on working without formal allocation/PID;</t>
  </si>
  <si>
    <t>Reiterate ‘no work without allocation’ rule with examples;Share bench guidelines in a one-page FAQ and pin in Teams;</t>
  </si>
  <si>
    <t>All were resolved</t>
  </si>
  <si>
    <t>DEA-D-4032</t>
  </si>
  <si>
    <t>IBU Head of SNOW Europe</t>
  </si>
  <si>
    <t>Had one on one with IBU head first time of SNOW Europe;</t>
  </si>
  <si>
    <t>Discussed on how to simply WFH exception requests and about various projects;</t>
  </si>
  <si>
    <t>-</t>
  </si>
  <si>
    <t>ServiceNow Practice</t>
  </si>
  <si>
    <t xml:space="preserve"> Business &amp; Practice Awareness;Alignment on Role in Business Context;HR / WFM / Training Communication Effectiveness;Engagement with Leadership &amp; Confidence Level;</t>
  </si>
  <si>
    <t>HR/WFM/Training updates not actionable;All the queries were answered in the sessions;</t>
  </si>
  <si>
    <t>All the queries were answered in the sessions</t>
  </si>
  <si>
    <t>DEA-D-3027</t>
  </si>
  <si>
    <t>Bench Policy &amp; Compliance Clarity;</t>
  </si>
  <si>
    <t>Confusion on WFO mandate and expectations during bench;</t>
  </si>
  <si>
    <t>no plan;</t>
  </si>
  <si>
    <t>All the queries were answered in the session</t>
  </si>
  <si>
    <t xml:space="preserve"> DEA Ops</t>
  </si>
  <si>
    <t>Celebrated Priyanka Das’s 20th LSA in the Hyderabad location. We organized a virtual session as well where everyone appreciated her, followed by a cake-cutting ceremony and presentation of a memento. Overall, the associate was very happy and expressed her gratitude to the BHR team.</t>
  </si>
  <si>
    <t>SAP Sellto</t>
  </si>
  <si>
    <t>Policy &amp; Process Clarity;</t>
  </si>
  <si>
    <t>All the queries were resolved in the ODC Connect ;</t>
  </si>
  <si>
    <t xml:space="preserve">Queries like WFH, timesheet, guidance on ML </t>
  </si>
  <si>
    <t>Hyderbad</t>
  </si>
  <si>
    <t>SAP SellTo</t>
  </si>
  <si>
    <t>Everything was fine, people were having general queries;</t>
  </si>
  <si>
    <t>All were resolved in the ODC connect;</t>
  </si>
  <si>
    <t>All the queries were resolved in the ODC COnnect ;</t>
  </si>
  <si>
    <t>Haleon</t>
  </si>
  <si>
    <t>Inclusive Team Practices;Work-Life Balance &amp; Flexibility;Empathy And Communication;Grievance/speak-up Clarity;</t>
  </si>
  <si>
    <t>Female assocaites in Haleon office are quite happy with the setup ;</t>
  </si>
  <si>
    <t>There werenot much queries ;</t>
  </si>
  <si>
    <t xml:space="preserve">Haleon </t>
  </si>
  <si>
    <t>Aspirations &amp; Role Enhancement;Compensation &amp; Retention Risk;</t>
  </si>
  <si>
    <t>Not happy with no hike;</t>
  </si>
  <si>
    <t xml:space="preserve">Not happy with the inconsistent hike, but happy with the project as he is learning new technologies like S4 HANA </t>
  </si>
  <si>
    <t>Recurring questions on WFO/WFH expectations and exception handling;</t>
  </si>
  <si>
    <t>All the queries were resolved in the session;</t>
  </si>
  <si>
    <t>GJ00586392@techmahindra.com</t>
  </si>
  <si>
    <t>Gunjan Joshi</t>
  </si>
  <si>
    <t>586392</t>
  </si>
  <si>
    <t>NWS-D-4001</t>
  </si>
  <si>
    <t>Business &amp; Strategy Clarity;Leadership Communication &amp; Q&amp;A Effectiveness;</t>
  </si>
  <si>
    <t>Need clearer articulation of business direction and priorities for the quarter;AI/future readiness messaging is high-level; associates seek practical relevance;</t>
  </si>
  <si>
    <t>Share a 1-page business snapshot (targets, priorities, key wins) post townhall;</t>
  </si>
  <si>
    <t xml:space="preserve">Not specific queries. </t>
  </si>
  <si>
    <t>SK00466599@techmahindra.com</t>
  </si>
  <si>
    <t>Smriti Khanna</t>
  </si>
  <si>
    <t>Smriti Khanna Nagpal</t>
  </si>
  <si>
    <t>466599</t>
  </si>
  <si>
    <t>NGS-D-2004</t>
  </si>
  <si>
    <t>NGS Service Line</t>
  </si>
  <si>
    <t>it was a Connect with SL Head</t>
  </si>
  <si>
    <t>queries related to Comp restructure were raised</t>
  </si>
  <si>
    <t>AR001049196@techmahindra.com</t>
  </si>
  <si>
    <t>Anupama Rout</t>
  </si>
  <si>
    <t>1049196</t>
  </si>
  <si>
    <t>Suncorp AHM</t>
  </si>
  <si>
    <t>Strategic Connect;</t>
  </si>
  <si>
    <t>Run a monthly policy + compliance refresher for the project;</t>
  </si>
  <si>
    <t>Bench Connect</t>
  </si>
  <si>
    <t>NGS,D-4013, NGS-D-4014</t>
  </si>
  <si>
    <t>Bench connect for the IBUs</t>
  </si>
  <si>
    <t>Bench Policy &amp; Compliance Clarity;Allocation Visibility &amp; Process;Upskilling &amp; Deployment Readiness;Rules On Working Without Formal Allocation/PID;</t>
  </si>
  <si>
    <t>Confusion on WFO mandate and expectations during bench;Bench associates feel disconnected from teams and recognition cycles;Bench associates lack visibility on how opportunities are matched and prioritized;Unclear rules on working without formal allocation/PID;</t>
  </si>
  <si>
    <t>Share bench guidelines in a one-page FAQ and pin in Teams;Set realistic milestones (profile update, learning, interviews) per associate;</t>
  </si>
  <si>
    <t>NEHA</t>
  </si>
  <si>
    <t>DEA -D-4006</t>
  </si>
  <si>
    <t xml:space="preserve">Emerging BPM Lowcode </t>
  </si>
  <si>
    <t>Clarity on Org Changes &amp; Priorities;Recognition Equity &amp; Visibility;Manager/Leadership Support;</t>
  </si>
  <si>
    <t>Answer FAQs in next connect;</t>
  </si>
  <si>
    <t>discussed regarding hike and increments, training and certification program, additional roles and responsibilities if they are looking .</t>
  </si>
  <si>
    <t xml:space="preserve">Chennai </t>
  </si>
  <si>
    <t>PEGA</t>
  </si>
  <si>
    <t xml:space="preserve">20th LSA celebration in Chennai along with IBU head  </t>
  </si>
  <si>
    <t xml:space="preserve">LSA Celebration </t>
  </si>
  <si>
    <t>DS00549059@TechMahindra.com</t>
  </si>
  <si>
    <t>Debasish Samal</t>
  </si>
  <si>
    <t>Debasish</t>
  </si>
  <si>
    <t>549059</t>
  </si>
  <si>
    <t>DAI-D-2005</t>
  </si>
  <si>
    <t>ABCD</t>
  </si>
  <si>
    <t>Business &amp; Strategy Clarity;Career Visibility &amp; Skill Roadmap;</t>
  </si>
  <si>
    <t>Share a 1-page business snapshot (targets, priorities, key wins) post townhall;Capture workload hotspots and review with delivery leads for rebalancing;</t>
  </si>
  <si>
    <t xml:space="preserve">DEA -D-4020 </t>
  </si>
  <si>
    <t>Bench Policy &amp; Compliance Clarity;Rules On Working Without Formal Allocation/PID;Engagement During Bench;</t>
  </si>
  <si>
    <t>Queries on timesheet/attendance compliance during bench;Inconsistent guidance across locations/units creates frustration;Bench associates lack visibility on how opportunities are matched and prioritized;</t>
  </si>
  <si>
    <t>Explain timesheet/swipe exceptions process and escalation SPOCs;Share bench guidelines in a one-page FAQ and pin in Teams;</t>
  </si>
  <si>
    <t>Work from office policy, timesheet filling query, project allocation update ,</t>
  </si>
  <si>
    <t>IFS</t>
  </si>
  <si>
    <t>Policy &amp; Process Clarity;Workload &amp; Work-Life Balance;</t>
  </si>
  <si>
    <t>Timesheet submission/approval process inconsistencies create compliance risk;</t>
  </si>
  <si>
    <t xml:space="preserve">Resignation during bench, seat issue in Hyderabad </t>
  </si>
  <si>
    <t>Organization Policy Updates;Guidance On Leave, Travel, And Exception Approvals;</t>
  </si>
  <si>
    <t>Need faster resolution for HR tickets and queries;Confusion on hybrid/WFO rules and monthly compliance expectations;</t>
  </si>
  <si>
    <t xml:space="preserve">Timesheet queries, shift allowance  </t>
  </si>
  <si>
    <t>SS001126494@techmahindra.com</t>
  </si>
  <si>
    <t>Shurti Singh</t>
  </si>
  <si>
    <t>1126494</t>
  </si>
  <si>
    <t>NGS-D-4037</t>
  </si>
  <si>
    <t xml:space="preserve">NGS-D-4037
</t>
  </si>
  <si>
    <t>Leadership Communication &amp; Q&amp;A Effectiveness;</t>
  </si>
  <si>
    <t>AI/future readiness messaging is high-level; associates seek practical relevance;</t>
  </si>
  <si>
    <t>Add a ‘What changes for teams’ section with 3–5 concrete takeaways;</t>
  </si>
  <si>
    <t>RR00956912@TechMahindra.com</t>
  </si>
  <si>
    <t>Rakesh Kumar Rout3</t>
  </si>
  <si>
    <t>Rakesh Rout</t>
  </si>
  <si>
    <t>956912</t>
  </si>
  <si>
    <t>NGS-D-4038</t>
  </si>
  <si>
    <t>GSK</t>
  </si>
  <si>
    <t>Policy &amp; Process Clarity;Infrastructure / Workplace Enablement;Manager Support &amp; Local Leadership Effectiveness;Timesheet Submission/approval Process Inconsistencies Create;</t>
  </si>
  <si>
    <t>Need faster issue resolution and proactive manager check-ins;Seat availability and office logistics impact productivity;Timesheet submission/approval process inconsistencies create compliance risk;</t>
  </si>
  <si>
    <t>Share project-specific policy FAQ (WFO, exceptions, leave, timesheet);Run a monthly policy + compliance refresher for the project;Review workload hotspots with PGM/RM and rebalance capacity;</t>
  </si>
  <si>
    <t>Queries on Timesheet, Leaves and Staff welfare budget</t>
  </si>
  <si>
    <t>Bhubaneswar</t>
  </si>
  <si>
    <t>GE</t>
  </si>
  <si>
    <t>ISR Activity</t>
  </si>
  <si>
    <t>CSR Alignment;Volunteer Enablement;Pride &amp; Purpose;</t>
  </si>
  <si>
    <t>Pride in social impact;Need structured roles;Align with company values;</t>
  </si>
  <si>
    <t>CSR champions;Skill volunteering catalog;</t>
  </si>
  <si>
    <t xml:space="preserve"> Career Progression &amp; Next-Level Readiness;Recognition &amp; Visibility of Growth;Internal Mobility / Rotation Opportunities;</t>
  </si>
  <si>
    <t>Run structured mobility/rotation sessions with examples and process FAQs;</t>
  </si>
  <si>
    <t>the queries were addressed in the call</t>
  </si>
  <si>
    <t>HR Process Clarity;Induction Effectiveness;Tool &amp; System Access;Initial Organization Understanding;</t>
  </si>
  <si>
    <t>Limited clarity on policies (leave, WFO, reporting);Delays in access to systems/tools required for work;</t>
  </si>
  <si>
    <t>Queries related to policies and the SPOC details</t>
  </si>
  <si>
    <t>DEA-D-40026</t>
  </si>
  <si>
    <t xml:space="preserve">Satish Atyam's LSA for 25 years work anniversary </t>
  </si>
  <si>
    <t>Bench Policy &amp; Compliance Clarity;Upskilling &amp; Deployment Readiness;Allocation Visibility &amp; Process;Engagement During Bench;Queries On Timesheet/attendance Compliance During Bench;Rules On Working Without Formal Allocation/PID;</t>
  </si>
  <si>
    <t>Confusion on WFO mandate and expectations during bench;Bench associates lack visibility on how opportunities are matched and prioritized;Unclear rules on working without formal allocation/PID;Queries on timesheet/attendance compliance during bench;</t>
  </si>
  <si>
    <t>Share bench guidelines in a one-page FAQ and pin in Teams;Reiterate ‘no work without allocation’ rule with examples;</t>
  </si>
  <si>
    <t>Paragon Project</t>
  </si>
  <si>
    <t>Manager Support &amp; Local Leadership Effectiveness;Timesheet Submission/approval Process Inconsistencies Create;Policy &amp; Process Clarity;</t>
  </si>
  <si>
    <t>Recurring questions on WFO/WFH expectations and exception handling;Need faster issue resolution and proactive manager check-ins;</t>
  </si>
  <si>
    <t>1. Client Calendar query to be validated</t>
  </si>
  <si>
    <t>monica</t>
  </si>
  <si>
    <t>Paragon</t>
  </si>
  <si>
    <t>mmmm</t>
  </si>
  <si>
    <t>SAP Sell To</t>
  </si>
  <si>
    <t>IBU Level Connect</t>
  </si>
  <si>
    <t>SAP Sell To NON PS</t>
  </si>
  <si>
    <t>Need faster issue resolution and proactive manager check-ins;</t>
  </si>
  <si>
    <t>MMMM</t>
  </si>
  <si>
    <t>Cadence with IBU Head.</t>
  </si>
  <si>
    <t>IBU Head liked the concept of Cadence and appreciated the efforts we are putting into publishing this data. He also wanted to work on retention strategies and diversity going forward.</t>
  </si>
  <si>
    <t xml:space="preserve">Cadence </t>
  </si>
  <si>
    <t>Discussed regarding MCares Dissemination, attrition and diversity. IBU Head was happy with progress made so far.</t>
  </si>
  <si>
    <t>Location connect with DEA team. AI session by Natesh.</t>
  </si>
  <si>
    <t>AI Session;</t>
  </si>
  <si>
    <t>Work with AI Agents;</t>
  </si>
  <si>
    <t>New Joiner 30 Day Connect</t>
  </si>
  <si>
    <t>Project Allocation Clarity;Manager Connect Effectiveness;Role Expectation Clarity;Initial Engagement Level;</t>
  </si>
  <si>
    <t>New Joiners Connect - 30 Days</t>
  </si>
  <si>
    <t>Project Allocation Clarity;Learning Curve Support;Initial Engagement Level;</t>
  </si>
  <si>
    <t>Nothing</t>
  </si>
  <si>
    <t>New Joiners Connect - 60 Days</t>
  </si>
  <si>
    <t>Queries related to BGV check;</t>
  </si>
  <si>
    <t>BGV related queries;</t>
  </si>
  <si>
    <t>Explained the complete process to associates;</t>
  </si>
  <si>
    <t>New Joiner Connect - 60 days</t>
  </si>
  <si>
    <t>Team Integration;BGV queries;</t>
  </si>
  <si>
    <t>Skill gaps becoming visible during execution;BGV;</t>
  </si>
  <si>
    <t>BGV ;</t>
  </si>
  <si>
    <t>Rating Calibration call with IBU Head</t>
  </si>
  <si>
    <t>Rating Calibration Call;</t>
  </si>
  <si>
    <t>Rating Calibration Call</t>
  </si>
  <si>
    <t>BB00759439@techmahindra.com</t>
  </si>
  <si>
    <t>Bhanupriya Behera</t>
  </si>
  <si>
    <t>Bhanupriya</t>
  </si>
  <si>
    <t>759439</t>
  </si>
  <si>
    <t>LSA</t>
  </si>
  <si>
    <t>CIS D 4021</t>
  </si>
  <si>
    <t>20 yrs LSA GB</t>
  </si>
  <si>
    <t xml:space="preserve">Bhanupriya </t>
  </si>
  <si>
    <t>CIS D 4001,4004,4025,4026</t>
  </si>
  <si>
    <t>Allocation Visibility &amp; Process;Bench Policy &amp; Compliance Clarity;Upskilling &amp; Deployment Readiness;</t>
  </si>
  <si>
    <t>Explain timesheet/swipe exceptions process and escalation SPOCs;</t>
  </si>
  <si>
    <t xml:space="preserve">No response on IJP applied on Rapid </t>
  </si>
  <si>
    <t xml:space="preserve">20 Yrs LSA Yogesh Rane </t>
  </si>
  <si>
    <t>Monthly cadence review call</t>
  </si>
  <si>
    <t>CIS D 4001,4004,4021,4025,4026</t>
  </si>
  <si>
    <t>Need budget clarity;</t>
  </si>
  <si>
    <t>Publish budget guidelines;</t>
  </si>
  <si>
    <t xml:space="preserve">Need budget clarity </t>
  </si>
  <si>
    <t>BW</t>
  </si>
  <si>
    <t>Bench Policy &amp; Compliance Clarity;Allocation Visibility &amp; Process;Upskilling &amp; Deployment Readiness;Queries On Timesheet/attendance Compliance During Bench;</t>
  </si>
  <si>
    <t>Confusion on WFO mandate and expectations during bench;Queries on timesheet/attendance compliance during bench;</t>
  </si>
  <si>
    <t>Share a weekly allocation status (pipeline, interviews, feedback pending);Explain timesheet/swipe exceptions process and escalation SPOCs;</t>
  </si>
  <si>
    <t>Queries on timesheet/attendance compliance during bench</t>
  </si>
  <si>
    <t>CIS D 4002,4005,4024</t>
  </si>
  <si>
    <t>ELTP Connect (6-12m)</t>
  </si>
  <si>
    <t>Business Context &amp; Org Awareness;</t>
  </si>
  <si>
    <t>Feedback is irregular or not tied to a rubric; slows improvement;</t>
  </si>
  <si>
    <t>Run fortnightly utilization reviews with WFM + delivery owners to rebalance work;</t>
  </si>
  <si>
    <t>HRBP;Delivery;WFM;</t>
  </si>
  <si>
    <t xml:space="preserve">Allocation related queries and opportunities </t>
  </si>
  <si>
    <t>CIS D 2001</t>
  </si>
  <si>
    <t>Project Allocation Clarity;Manager Connect Effectiveness;Initial Engagement Level;</t>
  </si>
  <si>
    <t xml:space="preserve">Policy and claims related queries 
Allocation and TS related queries </t>
  </si>
  <si>
    <t>NGS-D-4018</t>
  </si>
  <si>
    <t>Suncorp Bank</t>
  </si>
  <si>
    <t>Business &amp; Strategy Clarity;Recognition Visibility;AI/future Readiness Messaging Is High-level;</t>
  </si>
  <si>
    <t>Run a follow-up FAQ mailer and route unanswered questions to SPOCs;Share a 1-page business snapshot (targets, priorities, key wins) post townhall;</t>
  </si>
  <si>
    <t>Queries related to compensation.</t>
  </si>
  <si>
    <t>Chennai</t>
  </si>
  <si>
    <t>D&amp;AI BFSI IBG</t>
  </si>
  <si>
    <t>Business &amp; Strategy Clarity;Leadership Communication &amp; Q&amp;A Effectiveness;Work-Life &amp; Sustainability Signals;</t>
  </si>
  <si>
    <t>Share a 1-page business snapshot (targets, priorities, key wins) post townhall;Add ‘Wall of Fame’ segment: delivery wins, customer shoutouts, milestone highlights;</t>
  </si>
  <si>
    <t>Queries on compensation revision and hikes</t>
  </si>
  <si>
    <t>KPI FORMULAS</t>
  </si>
  <si>
    <t>ENGAGEMENT TYPE</t>
  </si>
  <si>
    <t>SL x SEVERITY</t>
  </si>
  <si>
    <t>COVERAGE ISSUES (self-populating from Data_Summary)</t>
  </si>
  <si>
    <t>COVERAGE BREAKDOWN</t>
  </si>
  <si>
    <t>SESSION DISTRIBUTION BY COHORT</t>
  </si>
  <si>
    <t>TOP ORGANIZATIONAL CONCERNS (chart feed)</t>
  </si>
  <si>
    <t>ENGAGEMENT TYPE (sorted feed)</t>
  </si>
  <si>
    <t>COVERAGE STATEMENT FREQ</t>
  </si>
  <si>
    <t>KPI</t>
  </si>
  <si>
    <t>Value</t>
  </si>
  <si>
    <t>Type</t>
  </si>
  <si>
    <t>Count</t>
  </si>
  <si>
    <t>Total</t>
  </si>
  <si>
    <t>Coverage Issue</t>
  </si>
  <si>
    <t>BHR Count</t>
  </si>
  <si>
    <t>% of Sessions</t>
  </si>
  <si>
    <t>Top Engagement Type</t>
  </si>
  <si>
    <t>Engagement / Coverage Area</t>
  </si>
  <si>
    <t>Sessions Covered</t>
  </si>
  <si>
    <t>Cohort</t>
  </si>
  <si>
    <t>Sessions</t>
  </si>
  <si>
    <t>Concern</t>
  </si>
  <si>
    <t>Mentions</t>
  </si>
  <si>
    <t>Statement</t>
  </si>
  <si>
    <t>Total Sessions</t>
  </si>
  <si>
    <t>Open Concerns</t>
  </si>
  <si>
    <t>In Progress</t>
  </si>
  <si>
    <t>Closed Actions</t>
  </si>
  <si>
    <t>High Severity</t>
  </si>
  <si>
    <t>Moderate Severity</t>
  </si>
  <si>
    <t>Low Severity</t>
  </si>
  <si>
    <t>Positive Sentiment</t>
  </si>
  <si>
    <t>Mixed Sentiment</t>
  </si>
  <si>
    <t>Account Based</t>
  </si>
  <si>
    <t>Neutral Sentiment</t>
  </si>
  <si>
    <t>Action Closure %</t>
  </si>
  <si>
    <t>Top Talent Connect (One to One) (Exclusives/Ascend/WLP/Mentor)</t>
  </si>
  <si>
    <t>Sentiment Score</t>
  </si>
  <si>
    <t>Top Talent FGD Connect (Exclusives/Ascend/WLP/Mentor)</t>
  </si>
  <si>
    <t>Total BHRs</t>
  </si>
  <si>
    <t>Total SLs</t>
  </si>
  <si>
    <t>Exclusives Award Ceremony (Not part of Townhall)</t>
  </si>
  <si>
    <t>Most Active SL</t>
  </si>
  <si>
    <t>ELTP Connect (&lt;6m)</t>
  </si>
  <si>
    <t>Top CARES Lever</t>
  </si>
  <si>
    <t>ELTP Connect (6- 12m)</t>
  </si>
  <si>
    <t>Open+InProgress</t>
  </si>
  <si>
    <t>ML Returnee Connect</t>
  </si>
  <si>
    <t>SENTIMENT</t>
  </si>
  <si>
    <t>Label</t>
  </si>
  <si>
    <t>Top Talent FGD Connect (Ascend/WLP/Mentor)</t>
  </si>
  <si>
    <t>Wellness Session</t>
  </si>
  <si>
    <t>SEVERITY</t>
  </si>
  <si>
    <t>STATUS</t>
  </si>
  <si>
    <t>CARES</t>
  </si>
  <si>
    <t>ENGAGEMENT MODE</t>
  </si>
  <si>
    <t>Mode</t>
  </si>
  <si>
    <t>Raw</t>
  </si>
  <si>
    <t>In-person (Tech/Office)</t>
  </si>
  <si>
    <t>Virtual + In-person</t>
  </si>
  <si>
    <t>In-person (Client)</t>
  </si>
  <si>
    <t>ACTION ITEMS STATUS × SEVERITY  |  Data for Dashboard Chart</t>
  </si>
  <si>
    <t>TOP 10 OPEN + HIGH SEVERITY ISSUES  |  Dynamic — Auto-updates from SummaryData</t>
  </si>
  <si>
    <t>#</t>
  </si>
  <si>
    <t>Engagement Cohort</t>
  </si>
  <si>
    <t>Key Issue / Query</t>
  </si>
  <si>
    <t>EMPLOYEE PULSE  &amp;  ENGAGEMENT DASHBOARD</t>
  </si>
  <si>
    <t>May 2026  |  IBU: All</t>
  </si>
  <si>
    <t>Monthly HRBP–Business Cadence  |  Action-Oriented People Review</t>
  </si>
  <si>
    <t>TOTAL SESSIONS</t>
  </si>
  <si>
    <t>OPEN CONCERNS</t>
  </si>
  <si>
    <t>HIGH SEVERITY</t>
  </si>
  <si>
    <t>IN-PROGRESS</t>
  </si>
  <si>
    <t>ACTION CLOSURE %</t>
  </si>
  <si>
    <t>SENTIMENT SCORE</t>
  </si>
  <si>
    <t>ACTIVE BHRs</t>
  </si>
  <si>
    <t>SLs COVERED</t>
  </si>
  <si>
    <t>f</t>
  </si>
  <si>
    <t>MOST ACTIVE SERVICE LINE</t>
  </si>
  <si>
    <t>TOP CARES LEVER</t>
  </si>
  <si>
    <t>OPEN + IN-PROGRESS</t>
  </si>
  <si>
    <t xml:space="preserve">  ENGAGEMENT OVERVIEW</t>
  </si>
  <si>
    <t xml:space="preserve">  ENGAGEMENT MIX  |  Mode · Connect Type · Service-Line Risk</t>
  </si>
  <si>
    <t xml:space="preserve">  SERVICE LINE RISK HEATMAP  |  Severity by SL </t>
  </si>
  <si>
    <t>🍩  SESSION DISTRIBUTION  |  Share of sessions across engagement cohorts</t>
  </si>
  <si>
    <t>🚨  TOP 10 PRIORITY ISSUES  |  Ranked: High→Moderate→Low  ×  Open→In-Progress</t>
  </si>
  <si>
    <t>Key Issue / Engagement Query</t>
  </si>
  <si>
    <t>📊  ACTION ITEMS STATUS  |  Open · In-Progress · Closed  ×  Severity Level</t>
  </si>
  <si>
    <t>🔴 High</t>
  </si>
  <si>
    <t>🟡 Moderate</t>
  </si>
  <si>
    <t>🟢 Low</t>
  </si>
  <si>
    <t>🔍  TOP 10 COVERAGE ISSUES  |  Organization-wide discussion themes ranked by BHR coverage</t>
  </si>
  <si>
    <t>Coverage Area</t>
  </si>
  <si>
    <t>Associated Engagement Type</t>
  </si>
  <si>
    <t>🗣️  TOP ORGANIZATIONAL CONCERNS  |  What employees are talking about (top 10 recurring themes)</t>
  </si>
  <si>
    <t>⚖️  CARES LEVER BREAKDOWN  |  Sessions by Framework Pillar  ×  Severity + Action Owner</t>
  </si>
  <si>
    <t>CARES Lever</t>
  </si>
  <si>
    <t>High Sev</t>
  </si>
  <si>
    <t>Mod Sev</t>
  </si>
  <si>
    <t>Low Sev</t>
  </si>
  <si>
    <t>% of Total</t>
  </si>
  <si>
    <t>📍  ENGAGEMENT MODE &amp; TYPE  |  How and through what formats engagement happens</t>
  </si>
  <si>
    <t>Location Mentioned</t>
  </si>
  <si>
    <t>Practice Code</t>
  </si>
  <si>
    <t>Employee IBU Code</t>
  </si>
  <si>
    <t>Project Description</t>
  </si>
  <si>
    <t>Record Type</t>
  </si>
  <si>
    <t>Statement Order</t>
  </si>
  <si>
    <t>Description</t>
  </si>
  <si>
    <t>Action Plan</t>
  </si>
  <si>
    <t>Provide FAQs, guides, refresher sessions</t>
  </si>
  <si>
    <t>Coverage</t>
  </si>
  <si>
    <t>Business &amp; Practice Awareness</t>
  </si>
  <si>
    <t>Key Insight</t>
  </si>
  <si>
    <t>Low interaction and hesitation in raising questions</t>
  </si>
  <si>
    <t>Share project-specific policy FAQ (WFO, exceptions, leave, timesheet)</t>
  </si>
  <si>
    <t>Policy &amp; Process Clarity</t>
  </si>
  <si>
    <t>Manager Support &amp; Local Leadership Effectiveness</t>
  </si>
  <si>
    <t>Recognition &amp; Engagement within Project</t>
  </si>
  <si>
    <t>Recurring questions on WFO/WFH expectations and exception handling</t>
  </si>
  <si>
    <t>Generic discussion about the account with the leads</t>
  </si>
  <si>
    <t>Quarterly calendar</t>
  </si>
  <si>
    <t>Collaboration &amp; Team Bonding</t>
  </si>
  <si>
    <t>New Joiners Connect Better</t>
  </si>
  <si>
    <t>Interest Mapping &amp; Relevance</t>
  </si>
  <si>
    <t>Boosts morale</t>
  </si>
  <si>
    <t>Social connection improves wellbeing</t>
  </si>
  <si>
    <t>Send monthly HR bulletin with key updates and links</t>
  </si>
  <si>
    <t>On Hybrid/WFO Rules And Monthly Compliance Expectations</t>
  </si>
  <si>
    <t>Guidance on timesheet</t>
  </si>
  <si>
    <t>Need forums that make associates feel heard and included</t>
  </si>
  <si>
    <t>Confusion on hybrid/WFO rules and monthly compliance expectations</t>
  </si>
  <si>
    <t>Talent Pipeline &amp; Capability Building</t>
  </si>
  <si>
    <t>Need AI/skill readiness</t>
  </si>
  <si>
    <t>Define issue escalation ladder and response SLAs</t>
  </si>
  <si>
    <t>Review workload hotspots with PGM/RM and rebalance capacity</t>
  </si>
  <si>
    <t>Coach managers on feedback, delegation, and communication</t>
  </si>
  <si>
    <t>Addressing concerns on allocation issues</t>
  </si>
  <si>
    <t>Distributed TMC specific Swag Kit</t>
  </si>
  <si>
    <t>HR / WFM / Training Communication Effectiveness</t>
  </si>
  <si>
    <t>Engagement with Leadership &amp; Confidence Level</t>
  </si>
  <si>
    <t>No Action</t>
  </si>
  <si>
    <t>Learning &amp; Career Enablement</t>
  </si>
  <si>
    <t>Others</t>
  </si>
  <si>
    <t>Wellbeing check-ins</t>
  </si>
  <si>
    <t>Support Program Utilization</t>
  </si>
  <si>
    <t>Participation &amp; Engagement</t>
  </si>
  <si>
    <t>Stress &amp; Burnout Management</t>
  </si>
  <si>
    <t>Flexibility Alignment</t>
  </si>
  <si>
    <t>Workload stress</t>
  </si>
  <si>
    <t>Flexibility alignment</t>
  </si>
  <si>
    <t>Workload escalation guidance</t>
  </si>
  <si>
    <t>HR and Delivery Head clarified on org level communication on appraisals</t>
  </si>
  <si>
    <t>Clarity On Appraisal/performance Timelines And Edge Cases</t>
  </si>
  <si>
    <t>Timesheet Submission/approval Process Inconsistencies Create</t>
  </si>
  <si>
    <t>On Leave/comp-off Due To Client Calendar Mismatches</t>
  </si>
  <si>
    <t>Need clarity on appraisal/performance timelines and edge cases</t>
  </si>
  <si>
    <t>Assign buddy with defined responsibilities for 2 weeks</t>
  </si>
  <si>
    <t>Initial Organization Understanding</t>
  </si>
  <si>
    <t>Buddy / Support System</t>
  </si>
  <si>
    <t>Tool &amp; System Access</t>
  </si>
  <si>
    <t>Business &amp; Strategy Clarity</t>
  </si>
  <si>
    <t>Leadership Communication &amp; Q&amp;A Effectiveness</t>
  </si>
  <si>
    <t>Recognition Visibility</t>
  </si>
  <si>
    <t>Need clearer articulation of business direction and priorities for the quarter</t>
  </si>
  <si>
    <t>Alignment on Role in Business Context</t>
  </si>
  <si>
    <t>Visibility on Allocation &amp; Demand</t>
  </si>
  <si>
    <t>Associates lack clarity on practice goals and IBU priorities</t>
  </si>
  <si>
    <t>HR/WFM/Training updates not actionable</t>
  </si>
  <si>
    <t>Share bench guidelines in a one-page FAQ and pin in Teams</t>
  </si>
  <si>
    <t>Share a weekly allocation status (pipeline, interviews, feedback pending)</t>
  </si>
  <si>
    <t>Assign curated learning paths per demand cluster (SAP/Cloud/QA etc.)</t>
  </si>
  <si>
    <t>Create cohort-based learning circles and weekly peer check-ins</t>
  </si>
  <si>
    <t>Bench Policy &amp; Compliance Clarity</t>
  </si>
  <si>
    <t>Allocation Visibility &amp; Process</t>
  </si>
  <si>
    <t>Engagement During Bench</t>
  </si>
  <si>
    <t>Upskilling &amp; Deployment Readiness</t>
  </si>
  <si>
    <t>Confusion on WFO mandate and expectations during bench</t>
  </si>
  <si>
    <t>Bench associates lack visibility on how opportunities are matched and prioritized</t>
  </si>
  <si>
    <t>Associates need role-based upskilling guidance linked to actual open demands</t>
  </si>
  <si>
    <t>Bench associates feel disconnected from teams and recognition cycles</t>
  </si>
  <si>
    <t>Initial Engagement Level</t>
  </si>
  <si>
    <t>Associates undergoing project training</t>
  </si>
  <si>
    <t>All the queries were resolved in the ODC Connect</t>
  </si>
  <si>
    <t>Most of the associates are undergoing trainings as there are FCTP's</t>
  </si>
  <si>
    <t>Mothers day celebration</t>
  </si>
  <si>
    <t>Share org structure + “who does what” quick guide</t>
  </si>
  <si>
    <t>Limited understanding of organization structure and functions</t>
  </si>
  <si>
    <t>Share HR FAQ document + SPOC contact sheet</t>
  </si>
  <si>
    <t>HR Process Clarity</t>
  </si>
  <si>
    <t>New joiners feel overwhelmed or unclear post induction</t>
  </si>
  <si>
    <t>Limited clarity on policies (leave, WFO, reporting)</t>
  </si>
  <si>
    <t>Delays in access to systems/tools required for work</t>
  </si>
  <si>
    <t>Host open house hour for Q&amp;A and log unanswered items</t>
  </si>
  <si>
    <t>Organization Policy Updates</t>
  </si>
  <si>
    <t>Benefits, Insurance &amp; Wellbeing</t>
  </si>
  <si>
    <t>Guidance On Leave, Travel, And Exception Approvals</t>
  </si>
  <si>
    <t>Queries On Performance Cycle Steps And Deadlines</t>
  </si>
  <si>
    <t>Queries on medical insurance options, premium deductions, lock-in rules</t>
  </si>
  <si>
    <t>Need simplified updates on policy changes and timelines</t>
  </si>
  <si>
    <t>Small win shoutouts</t>
  </si>
  <si>
    <t>Celebrating Small Wins</t>
  </si>
  <si>
    <t>Wellbeing via Social Connection</t>
  </si>
  <si>
    <t>Morale &amp; Energy</t>
  </si>
  <si>
    <t>Need small win celebrations</t>
  </si>
  <si>
    <t>Need interest-based events</t>
  </si>
  <si>
    <t>Low relevance reduces participation</t>
  </si>
  <si>
    <t>Define timeline for project allocation (max 0 days)</t>
  </si>
  <si>
    <t>Project Allocation Clarity</t>
  </si>
  <si>
    <t>Manager Connect Effectiveness</t>
  </si>
  <si>
    <t>Delay or lack of clarity in project onboarding</t>
  </si>
  <si>
    <t>Limited structured interaction with reporting manager</t>
  </si>
  <si>
    <t>Checked the action plan for pending allocation of new joiners and highlighted to IBU head and it was closed</t>
  </si>
  <si>
    <t>It was a general discussion with the IBU Head on the pulse at ground level</t>
  </si>
  <si>
    <t>no specific requisites.</t>
  </si>
  <si>
    <t>Culture &amp; Engagement</t>
  </si>
  <si>
    <t>Queries on performance cycle steps and deadlines</t>
  </si>
  <si>
    <t>Create consistent onboarding framework across practice</t>
  </si>
  <si>
    <t>Publish post-induction roadmap (Day 1–30)</t>
  </si>
  <si>
    <t>Associates unclear how their role contributes to business</t>
  </si>
  <si>
    <t>Role Confidence Level</t>
  </si>
  <si>
    <t>Workload Management</t>
  </si>
  <si>
    <t>Feedback Mechanism</t>
  </si>
  <si>
    <t>Align messaging across BHR/WFM and standardize templates</t>
  </si>
  <si>
    <t>Queries On Timesheet/attendance Compliance During Bench</t>
  </si>
  <si>
    <t>Associates request a single source of truth for bench guidelines</t>
  </si>
  <si>
    <t>Publish role-based learning paths (beginner/intermediate/advanced) with links</t>
  </si>
  <si>
    <t>Associates were curious to know about salary increments</t>
  </si>
  <si>
    <t>Highlight ELTP success stories + learning milestones in leadership forums/townhalls</t>
  </si>
  <si>
    <t>Run structured mobility/rotation sessions with examples and process FAQs</t>
  </si>
  <si>
    <t>Career Progression &amp; Next-Level Readiness</t>
  </si>
  <si>
    <t>ELTPs want clarity on progression timelines and competencies for the next band/role</t>
  </si>
  <si>
    <t>Rotation/mobility interest is high but process and eligibility are unclear</t>
  </si>
  <si>
    <t>Add a ‘What changes for teams’ section with 3–5 concrete takeaways</t>
  </si>
  <si>
    <t>AI/future readiness messaging is high-level</t>
  </si>
  <si>
    <t>associates seek practical relevance</t>
  </si>
  <si>
    <t>Team recognition cadence</t>
  </si>
  <si>
    <t>Recognition &amp; Motivation</t>
  </si>
  <si>
    <t>Timely Policy/process Updates</t>
  </si>
  <si>
    <t>Learning/cert Support Requests</t>
  </si>
  <si>
    <t>Need more appreciation</t>
  </si>
  <si>
    <t>Answered all the queries</t>
  </si>
  <si>
    <t>Rules On Working Without Formal Allocation/PID</t>
  </si>
  <si>
    <t>Unclear rules on working without formal allocation/PID</t>
  </si>
  <si>
    <t>Learning Curve Support</t>
  </si>
  <si>
    <t>Publish a calendar of HR deadlines (PMS, insurance, declarations)</t>
  </si>
  <si>
    <t>Maintain a live FAQ for hybrid/WFO and exceptions</t>
  </si>
  <si>
    <t>Need clarity on role-based learning expectations</t>
  </si>
  <si>
    <t>Need faster resolution for HR tickets and queries</t>
  </si>
  <si>
    <t>Reinforce speak-up channels</t>
  </si>
  <si>
    <t>Leadership acknowledgment</t>
  </si>
  <si>
    <t>Work-Life Balance &amp; Flexibility</t>
  </si>
  <si>
    <t>Need flexible arrangements during caregiving</t>
  </si>
  <si>
    <t>Inclusive team practices</t>
  </si>
  <si>
    <t>Grievance/speak-up clarity</t>
  </si>
  <si>
    <t>Need empathy and communication</t>
  </si>
  <si>
    <t>Connect for recognition</t>
  </si>
  <si>
    <t>Had one on one with IBU head first time of SNOW Europe</t>
  </si>
  <si>
    <t>Discussed on how to simply WFH exception requests and about various projects</t>
  </si>
  <si>
    <t>TLS SPOC had cleared all the queries w.r.t learning</t>
  </si>
  <si>
    <t>Monthly dashboard review</t>
  </si>
  <si>
    <t>Finalize plan with owners/deadlines</t>
  </si>
  <si>
    <t>Burnout signals</t>
  </si>
  <si>
    <t>All were resolved in the ODC connect</t>
  </si>
  <si>
    <t>Everything was fine, people were having general queries</t>
  </si>
  <si>
    <t>Run a monthly policy + compliance refresher for the project</t>
  </si>
  <si>
    <t>Infrastructure / Workplace Enablement</t>
  </si>
  <si>
    <t>Need faster issue resolution and proactive manager check-ins</t>
  </si>
  <si>
    <t>Seat availability and office logistics impact productivity</t>
  </si>
  <si>
    <t>Timesheet submission/approval process inconsistencies create compliance risk</t>
  </si>
  <si>
    <t>Reiterate ‘no work without allocation’ rule with examples</t>
  </si>
  <si>
    <t>Inconsistent Guidance Across Locations/units Creates Frustra</t>
  </si>
  <si>
    <t>Standardize induction deck + post-induction summary mail</t>
  </si>
  <si>
    <t>Induction Effectiveness</t>
  </si>
  <si>
    <t>Prolonged bench duration triggers anxiety about future within the org</t>
  </si>
  <si>
    <t>Inconsistent guidance across locations/units creates frustration</t>
  </si>
  <si>
    <t>Implement Day-1 access checklist tracking (IT + Admin)</t>
  </si>
  <si>
    <t>no plan</t>
  </si>
  <si>
    <t>New IBU- Introduction to HR Team and new leadership</t>
  </si>
  <si>
    <t>For Consolidated HR Communications Rather Than Scattered Upd</t>
  </si>
  <si>
    <t>Request for consolidated HR communications rather than scattered updates</t>
  </si>
  <si>
    <t>20th LSA celebration in Chennai along with IBU head</t>
  </si>
  <si>
    <t>Work with AI Agents</t>
  </si>
  <si>
    <t>AI Session</t>
  </si>
  <si>
    <t>Explain timesheet/swipe exceptions process and escalation SPOCs</t>
  </si>
  <si>
    <t>Identify hotspots</t>
  </si>
  <si>
    <t>Review Cadence</t>
  </si>
  <si>
    <t>need to have diversity</t>
  </si>
  <si>
    <t>Communicated to the teams on the importance of communication and transparency</t>
  </si>
  <si>
    <t>Issues with respect to applying leaves and communication regarding leaves to the managers</t>
  </si>
  <si>
    <t>Define capability targets</t>
  </si>
  <si>
    <t>AI Workshop By Natesh</t>
  </si>
  <si>
    <t>Monthly Cadence IBU Head coverage on HC, Attrition, eltp and Bench</t>
  </si>
  <si>
    <t>detailed discussion on monthly cadence</t>
  </si>
  <si>
    <t>Need guidance on leave, travel, and exception approvals</t>
  </si>
  <si>
    <t>Need guidance on learning platforms and certification options</t>
  </si>
  <si>
    <t>Promote DEI initiatives</t>
  </si>
  <si>
    <t>Learning &amp; Skill Building</t>
  </si>
  <si>
    <t>Career Support &amp; Sponsorship</t>
  </si>
  <si>
    <t>Recognition &amp; Visibility</t>
  </si>
  <si>
    <t>Need equitable recognition</t>
  </si>
  <si>
    <t>Upskilling for future roles</t>
  </si>
  <si>
    <t>Introduce ELTP engagement framework by stage: 0–6M → onboarding support, 6–M → performance alignment, –M → growth &amp; retention</t>
  </si>
  <si>
    <t>Engagement &amp; Motivation Across Stages</t>
  </si>
  <si>
    <t>Inconsistent visibility on allocation timelines and decision-making creates confusion across all ELTP groups</t>
  </si>
  <si>
    <t>Monthly calendar</t>
  </si>
  <si>
    <t>Potluck</t>
  </si>
  <si>
    <t>Know your Service Line 'AI Strategy &amp; Business Vision' from Mr. Natesh P</t>
  </si>
  <si>
    <t>Share role-based learning pathways and recommended certifications</t>
  </si>
  <si>
    <t>Clarity On Role-based Learning Expectations</t>
  </si>
  <si>
    <t>Share internal job/cross-skill opportunities</t>
  </si>
  <si>
    <t>Career Path Visibility</t>
  </si>
  <si>
    <t>Internal Growth Opportunities</t>
  </si>
  <si>
    <t>Lack of awareness of internal opportunities</t>
  </si>
  <si>
    <t>Engagement Plan Alignment</t>
  </si>
  <si>
    <t>Action Closure Discipline</t>
  </si>
  <si>
    <t>Practice Head Connect with P1 and Above at Pune</t>
  </si>
  <si>
    <t>All the queries were resolved in the ODC COnnect</t>
  </si>
  <si>
    <t>CSR champions</t>
  </si>
  <si>
    <t>Skill volunteering catalog</t>
  </si>
  <si>
    <t>CSR Alignment</t>
  </si>
  <si>
    <t>Volunteer Enablement</t>
  </si>
  <si>
    <t>Pride &amp; Purpose</t>
  </si>
  <si>
    <t>Pride in social impact</t>
  </si>
  <si>
    <t>Need structured roles</t>
  </si>
  <si>
    <t>Align with company values</t>
  </si>
  <si>
    <t>Include in team rituals (scrum, meetings, discussions)</t>
  </si>
  <si>
    <t>Not fully integrated with team collaboration channels</t>
  </si>
  <si>
    <t>Hybrid working policy was explained in detail</t>
  </si>
  <si>
    <t>Ensure weekly : connect with manager</t>
  </si>
  <si>
    <t>shared CS SPOC details</t>
  </si>
  <si>
    <t>Engagement &amp; Belonging</t>
  </si>
  <si>
    <t>seat allocation</t>
  </si>
  <si>
    <t>Self-Service &amp; Issue Resolution</t>
  </si>
  <si>
    <t>Generic Queries</t>
  </si>
  <si>
    <t>Implement monthly recognition cadence (kudos, spotlight, customer praise)</t>
  </si>
  <si>
    <t>Workload &amp; Work-Life Balance</t>
  </si>
  <si>
    <t>Always-on expectations and tight timelines leading to fatigue</t>
  </si>
  <si>
    <t>Align role expectations vs aspiration through discussion</t>
  </si>
  <si>
    <t>Improve team engagement (inclusion, recognition)</t>
  </si>
  <si>
    <t>Long-Term Role Alignment</t>
  </si>
  <si>
    <t>Connect with Practice head, associates were happy with the session and interaction opportunity with practice head.</t>
  </si>
  <si>
    <t>Add ‘Wall of Fame’ segment: delivery wins, customer shoutouts, milestone highlights</t>
  </si>
  <si>
    <t>AI/future Readiness Messaging Is High-level</t>
  </si>
  <si>
    <t>Associates seek clarity on role progression and career paths within the unit</t>
  </si>
  <si>
    <t>Associates are unsure how unit goals translate into day-to-day delivery expectations</t>
  </si>
  <si>
    <t>Org/structural updates are heard but not fully understood (what changes for me?)</t>
  </si>
  <si>
    <t>No specific action, discussion closed during the connect</t>
  </si>
  <si>
    <t>Associate not willing to work in the project after allocation is completed</t>
  </si>
  <si>
    <t>Delay in interview feedback creates uncertainty and repeated follow-ups</t>
  </si>
  <si>
    <t>20 Yrs LSA Yogesh Rane</t>
  </si>
  <si>
    <t>Publish budget guidelines</t>
  </si>
  <si>
    <t>Need budget clarity</t>
  </si>
  <si>
    <t>There werenot much queries</t>
  </si>
  <si>
    <t>Inclusive Team Practices</t>
  </si>
  <si>
    <t>Empathy And Communication</t>
  </si>
  <si>
    <t>Grievance/speak-up Clarity</t>
  </si>
  <si>
    <t>Female assocaites in Haleon office are quite happy with the setup</t>
  </si>
  <si>
    <t>All the queries were resolved in the session</t>
  </si>
  <si>
    <t>Share a 1-page business snapshot (targets, priorities, key wins) post townhall</t>
  </si>
  <si>
    <t>Set realistic milestones (profile update, learning, interviews) per associate</t>
  </si>
  <si>
    <t>Explained the complete process to associates</t>
  </si>
  <si>
    <t>Queries related to BGV check</t>
  </si>
  <si>
    <t>BGV related queries</t>
  </si>
  <si>
    <t>BGV</t>
  </si>
  <si>
    <t>Team Integration</t>
  </si>
  <si>
    <t>BGV queries</t>
  </si>
  <si>
    <t>Skill gaps becoming visible during execution</t>
  </si>
  <si>
    <t>The associates had queries mainly related to WFH and leaves.</t>
  </si>
  <si>
    <t>The associates had questions around WFH and leaves.</t>
  </si>
  <si>
    <t>Work with work force management and delivery closely to ensure the ELTP associates are mapped to projects once their trainings are completed</t>
  </si>
  <si>
    <t>Allocation &amp; Deployment Transparency</t>
  </si>
  <si>
    <t>Career Clarity &amp; Growth Continuity</t>
  </si>
  <si>
    <t>Variation in how learning is translating into actual delivery readiness across different ELTP stages (early-stage ready, mid-stage struggling, late-stage stagnation)</t>
  </si>
  <si>
    <t>Lack of continuous career communication leads to: confusion in early stage, direction gap in mid-stage, retention risk in later stage</t>
  </si>
  <si>
    <t>Job Security &amp; Anxiety Management</t>
  </si>
  <si>
    <t>Delay In Interview Feedback Creates Uncertainty And Repeated</t>
  </si>
  <si>
    <t>Difficulty in understanding tools/processes</t>
  </si>
  <si>
    <t>Mandate structured monthly feedback from manager</t>
  </si>
  <si>
    <t>Escalation handling is inconsistent</t>
  </si>
  <si>
    <t>associates want clear routes</t>
  </si>
  <si>
    <t>Recognition &amp; Visibility of Growth</t>
  </si>
  <si>
    <t>Internal Mobility / Rotation Opportunities</t>
  </si>
  <si>
    <t>Role Expectation Clarity</t>
  </si>
  <si>
    <t>Run fortnightly utilization reviews with WFM + delivery owners to rebalance work</t>
  </si>
  <si>
    <t>Business Context &amp; Org Awareness</t>
  </si>
  <si>
    <t>Feedback is irregular or not tied to a rubric</t>
  </si>
  <si>
    <t>slows improvement</t>
  </si>
  <si>
    <t>SL org structure</t>
  </si>
  <si>
    <t>General HR connect</t>
  </si>
  <si>
    <t>Set comms cadence</t>
  </si>
  <si>
    <t>Communication &amp; Transparency</t>
  </si>
  <si>
    <t>Need clarity on growth opportunities</t>
  </si>
  <si>
    <t>Need timely policy/process updates</t>
  </si>
  <si>
    <t>Workshops</t>
  </si>
  <si>
    <t>Low awareness</t>
  </si>
  <si>
    <t>Capture workload hotspots and review with delivery leads for rebalancing</t>
  </si>
  <si>
    <t>Career Visibility &amp; Skill Roadmap</t>
  </si>
  <si>
    <t>Strategic Connect</t>
  </si>
  <si>
    <t>Satish Atyam's LSA for 25 years work anniversary</t>
  </si>
  <si>
    <t>Feedback to be shared with IBU head</t>
  </si>
  <si>
    <t>Work-Life &amp; Sustainability Signals</t>
  </si>
  <si>
    <t>Run a follow-up FAQ mailer and route unanswered questions to SPOCs</t>
  </si>
  <si>
    <t>Standardize messaging</t>
  </si>
  <si>
    <t>Manager Effectiveness &amp; Delegation</t>
  </si>
  <si>
    <t>Mixed stakeholder messages</t>
  </si>
  <si>
    <t>Selected Connect</t>
  </si>
  <si>
    <t>Matched Connect Name</t>
  </si>
  <si>
    <t>Coverage 2</t>
  </si>
  <si>
    <t>Coverage 3</t>
  </si>
  <si>
    <t>Coverage 4</t>
  </si>
  <si>
    <t>Coverage 5</t>
  </si>
  <si>
    <t>Coverage 6</t>
  </si>
  <si>
    <t>Coverage 7</t>
  </si>
  <si>
    <t>Action Plan 2</t>
  </si>
  <si>
    <t>Action Plan 3</t>
  </si>
  <si>
    <t>Action Plan 4</t>
  </si>
  <si>
    <t>Column1</t>
  </si>
  <si>
    <t xml:space="preserve"> Business &amp; Practice Awareness</t>
  </si>
  <si>
    <t xml:space="preserve">   Define timeline for project allocation (max  0 days)</t>
  </si>
  <si>
    <t>New Joiner Connect (7 Days)</t>
  </si>
  <si>
    <t>Ensure weekly  :  connect with manager</t>
  </si>
  <si>
    <t>HR Connect (Project Wise)</t>
  </si>
  <si>
    <t xml:space="preserve">It was a general discussion with the IBU Head on the pulse at ground level </t>
  </si>
  <si>
    <t xml:space="preserve"> no specific requisites.</t>
  </si>
  <si>
    <t xml:space="preserve">   Role Confidence Level</t>
  </si>
  <si>
    <t xml:space="preserve">   Career Path Visibility</t>
  </si>
  <si>
    <t>ELTP Connect (Practice Level)</t>
  </si>
  <si>
    <t>nan</t>
  </si>
  <si>
    <t>Delivery</t>
  </si>
  <si>
    <t>WFM</t>
  </si>
  <si>
    <t>Delivery;HRBP</t>
  </si>
  <si>
    <t xml:space="preserve"> Career Progression &amp; Next-Level Readiness</t>
  </si>
  <si>
    <t>Define timeline for project allocation (max 0 days);</t>
  </si>
  <si>
    <t>Ensure weekly : connect with manager;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</si>
</sst>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yyyy\-mm\-dd\ hh:mm:ss"/>
  </numFmts>
  <fonts count="61">
    <font>
      <sz val="11"/>
      <color theme="1"/>
      <name val="Calibri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theme="0"/>
      <name val="Arial"/>
      <family val="2"/>
      <charset val="1"/>
    </font>
    <font>
      <sz val="10"/>
      <color theme="1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1A1A2E"/>
      <name val="Arial"/>
      <family val="2"/>
    </font>
    <font>
      <b/>
      <sz val="9"/>
      <color rgb="FFFFFFFF"/>
      <name val="Arial"/>
      <family val="2"/>
    </font>
    <font>
      <b/>
      <sz val="10"/>
      <color rgb="FF1A1A2E"/>
      <name val="Calibri"/>
      <family val="2"/>
      <charset val="1"/>
    </font>
    <font>
      <sz val="10"/>
      <color rgb="FF0070C0"/>
      <name val="Calibri"/>
      <family val="2"/>
      <charset val="1"/>
    </font>
    <font>
      <sz val="10"/>
      <color rgb="FF1A1A2E"/>
      <name val="Calibri"/>
      <family val="2"/>
      <charset val="1"/>
    </font>
    <font>
      <b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999999"/>
      <name val="Calibri"/>
      <family val="2"/>
      <charset val="1"/>
    </font>
    <font>
      <sz val="10"/>
      <color rgb="FFBFBFBF"/>
      <name val="Calibri"/>
      <family val="2"/>
      <charset val="1"/>
    </font>
    <font>
      <b/>
      <sz val="10"/>
      <color rgb="FFC00000"/>
      <name val="Calibri"/>
      <family val="2"/>
      <charset val="1"/>
    </font>
    <font>
      <b/>
      <sz val="10"/>
      <color rgb="FFFF9900"/>
      <name val="Calibri"/>
      <family val="2"/>
      <charset val="1"/>
    </font>
    <font>
      <b/>
      <sz val="10"/>
      <color rgb="FF375623"/>
      <name val="Calibri"/>
      <family val="2"/>
      <charset val="1"/>
    </font>
    <font>
      <i/>
      <sz val="10"/>
      <color rgb="FF595959"/>
      <name val="Calibri"/>
      <family val="2"/>
      <charset val="1"/>
    </font>
    <font>
      <sz val="10"/>
      <color rgb="FF7B3F00"/>
      <name val="Calibri"/>
      <family val="2"/>
      <charset val="1"/>
    </font>
    <font>
      <b/>
      <sz val="20"/>
      <color rgb="FFFFFFFF"/>
      <name val="Arial"/>
      <family val="2"/>
    </font>
    <font>
      <sz val="9"/>
      <color rgb="FF9999BB"/>
      <name val="Arial"/>
      <family val="2"/>
    </font>
    <font>
      <i/>
      <sz val="10"/>
      <color rgb="FFBBBBDD"/>
      <name val="Arial"/>
      <family val="2"/>
    </font>
    <font>
      <sz val="8"/>
      <color rgb="FF70C070"/>
      <name val="Arial"/>
      <family val="2"/>
    </font>
    <font>
      <b/>
      <sz val="26"/>
      <color rgb="FF1A1A2E"/>
      <name val="Arial"/>
      <family val="2"/>
    </font>
    <font>
      <b/>
      <sz val="26"/>
      <color rgb="FFE31837"/>
      <name val="Arial"/>
      <family val="2"/>
    </font>
    <font>
      <b/>
      <sz val="26"/>
      <color rgb="FFF5A623"/>
      <name val="Arial"/>
      <family val="2"/>
    </font>
    <font>
      <b/>
      <sz val="26"/>
      <color rgb="FF27AE60"/>
      <name val="Arial"/>
      <family val="2"/>
    </font>
    <font>
      <b/>
      <sz val="26"/>
      <color rgb="FF2980B9"/>
      <name val="Arial"/>
      <family val="2"/>
    </font>
    <font>
      <b/>
      <sz val="10"/>
      <color rgb="FF4A4A6A"/>
      <name val="Arial"/>
      <family val="2"/>
      <charset val="1"/>
    </font>
    <font>
      <b/>
      <sz val="11"/>
      <color rgb="FFC00000"/>
      <name val="Arial"/>
      <family val="2"/>
      <charset val="1"/>
    </font>
    <font>
      <b/>
      <sz val="11"/>
      <color rgb="FFE31837"/>
      <name val="Arial"/>
      <family val="2"/>
    </font>
    <font>
      <b/>
      <sz val="16"/>
      <color rgb="FFE31837"/>
      <name val="Arial"/>
      <family val="2"/>
    </font>
    <font>
      <b/>
      <sz val="10"/>
      <color rgb="FFFFFFFF"/>
      <name val="Arial"/>
      <family val="2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C0392B"/>
      <name val="Arial"/>
      <family val="2"/>
    </font>
    <font>
      <sz val="8"/>
      <color rgb="FF999999"/>
      <name val="Arial"/>
      <family val="2"/>
    </font>
    <font>
      <b/>
      <sz val="9"/>
      <color rgb="FFFFFFFF"/>
      <name val="Cambria"/>
      <family val="1"/>
    </font>
    <font>
      <b/>
      <sz val="11"/>
      <name val="Cambria"/>
      <family val="1"/>
    </font>
    <font>
      <b/>
      <sz val="11"/>
      <color rgb="FFC00000"/>
      <name val="Cambria"/>
      <family val="1"/>
    </font>
    <font>
      <sz val="11"/>
      <color rgb="FF7B3F00"/>
      <name val="Cambria"/>
      <family val="1"/>
    </font>
    <font>
      <sz val="11"/>
      <name val="Cambria"/>
      <family val="1"/>
      <charset val="1"/>
    </font>
    <font>
      <b/>
      <sz val="10"/>
      <color rgb="FFFFFFFF"/>
      <name val="Cambria"/>
      <family val="1"/>
    </font>
    <font>
      <sz val="9"/>
      <color rgb="FF1A1A2E"/>
      <name val="Arial"/>
      <family val="2"/>
    </font>
    <font>
      <i/>
      <sz val="9"/>
      <color rgb="FF595959"/>
      <name val="Cambria"/>
      <family val="1"/>
    </font>
    <font>
      <b/>
      <sz val="11"/>
      <color rgb="FF4472C4"/>
      <name val="Cambria"/>
      <family val="1"/>
    </font>
    <font>
      <sz val="11"/>
      <color rgb="FFC00000"/>
      <name val="Cambria"/>
      <family val="1"/>
    </font>
    <font>
      <sz val="11"/>
      <color rgb="FFFF9900"/>
      <name val="Cambria"/>
      <family val="1"/>
    </font>
    <font>
      <sz val="11"/>
      <color rgb="FF375623"/>
      <name val="Cambria"/>
      <family val="1"/>
    </font>
    <font>
      <b/>
      <sz val="11"/>
      <color rgb="FF70AD47"/>
      <name val="Cambria"/>
      <family val="1"/>
    </font>
    <font>
      <b/>
      <sz val="11"/>
      <color rgb="FFFF9900"/>
      <name val="Cambria"/>
      <family val="1"/>
    </font>
    <font>
      <b/>
      <sz val="11"/>
      <color rgb="FFED7D31"/>
      <name val="Cambria"/>
      <family val="1"/>
    </font>
    <font>
      <b/>
      <sz val="11"/>
      <color rgb="FFFF0000"/>
      <name val="Cambria"/>
      <family val="1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A1A2E"/>
        <bgColor rgb="FF1D3664"/>
      </patternFill>
    </fill>
    <fill>
      <patternFill patternType="solid">
        <fgColor theme="0"/>
        <bgColor rgb="FFF9FAFB"/>
      </patternFill>
    </fill>
    <fill>
      <patternFill patternType="solid">
        <fgColor rgb="FF484868"/>
        <bgColor rgb="FF5A595B"/>
      </patternFill>
    </fill>
    <fill>
      <patternFill patternType="solid">
        <fgColor rgb="FFE1EAF1"/>
        <bgColor rgb="FFEAE8F3"/>
      </patternFill>
    </fill>
    <fill>
      <patternFill patternType="solid">
        <fgColor rgb="FFE2EFDA"/>
        <bgColor rgb="FFD9ECD4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DECEA"/>
      </patternFill>
    </fill>
    <fill>
      <patternFill patternType="solid">
        <fgColor rgb="FF375623"/>
        <bgColor rgb="FF1A5C1A"/>
      </patternFill>
    </fill>
    <fill>
      <patternFill patternType="solid">
        <fgColor rgb="FFF0FFF0"/>
        <bgColor rgb="FFF9FAFB"/>
      </patternFill>
    </fill>
    <fill>
      <patternFill patternType="solid">
        <fgColor rgb="FFBC0001"/>
        <bgColor rgb="FFC00000"/>
      </patternFill>
    </fill>
    <fill>
      <patternFill patternType="solid">
        <fgColor rgb="FFE31837"/>
        <bgColor rgb="FFFF0000"/>
      </patternFill>
    </fill>
    <fill>
      <patternFill patternType="solid">
        <fgColor rgb="FFBF3B2E"/>
        <bgColor rgb="FFE31837"/>
      </patternFill>
    </fill>
    <fill>
      <patternFill patternType="solid">
        <fgColor rgb="FFF9AB13"/>
        <bgColor rgb="FFF6A424"/>
      </patternFill>
    </fill>
    <fill>
      <patternFill patternType="solid">
        <fgColor rgb="FF27AE60"/>
        <bgColor rgb="FF3A86B8"/>
      </patternFill>
    </fill>
    <fill>
      <patternFill patternType="mediumGray">
        <fgColor rgb="FF3C7EBB"/>
        <bgColor rgb="FF3A86B8"/>
      </patternFill>
    </fill>
    <fill>
      <patternFill patternType="solid">
        <fgColor rgb="FFF5F5F7"/>
        <bgColor rgb="FFEFF5FB"/>
      </patternFill>
    </fill>
    <fill>
      <patternFill patternType="solid">
        <fgColor rgb="FF1D3664"/>
        <bgColor rgb="FF264478"/>
      </patternFill>
    </fill>
    <fill>
      <patternFill patternType="solid">
        <fgColor rgb="FFF9FAFB"/>
        <bgColor rgb="FFF5F5F7"/>
      </patternFill>
    </fill>
    <fill>
      <patternFill patternType="solid">
        <fgColor rgb="FFFDECEA"/>
        <bgColor rgb="FFF3E5F5"/>
      </patternFill>
    </fill>
    <fill>
      <patternFill patternType="solid">
        <fgColor rgb="FF4A77C4"/>
        <bgColor rgb="FF3C7EBB"/>
      </patternFill>
    </fill>
    <fill>
      <patternFill patternType="solid">
        <fgColor rgb="FFEFF5FB"/>
        <bgColor rgb="FFF5F5F7"/>
      </patternFill>
    </fill>
    <fill>
      <patternFill patternType="solid">
        <fgColor rgb="FF6A0572"/>
        <bgColor rgb="FF1A1A2E"/>
      </patternFill>
    </fill>
    <fill>
      <patternFill patternType="solid">
        <fgColor rgb="FFF3E5F5"/>
        <bgColor rgb="FFEAE8F3"/>
      </patternFill>
    </fill>
    <fill>
      <patternFill patternType="solid">
        <fgColor rgb="FF264478"/>
        <bgColor rgb="FF1F4E78"/>
      </patternFill>
    </fill>
    <fill>
      <patternFill patternType="solid">
        <fgColor rgb="FF1F4E78"/>
        <bgColor rgb="FF264478"/>
      </patternFill>
    </fill>
    <fill>
      <patternFill patternType="solid">
        <fgColor theme="0"/>
        <bgColor indexed="64"/>
      </patternFill>
    </fill>
    <fill>
      <patternFill patternType="darkGray">
        <fgColor rgb="FF1D3664"/>
        <bgColor rgb="FF002060"/>
      </patternFill>
    </fill>
  </fills>
  <borders count="1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C6"/>
      </left>
      <right style="thin">
        <color rgb="FFBFBFC6"/>
      </right>
      <top style="thin">
        <color rgb="FFBFBFC6"/>
      </top>
      <bottom style="thin">
        <color rgb="FFBFBFC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0E0E1"/>
      </left>
      <right style="thin">
        <color rgb="FFE0E0E1"/>
      </right>
      <top style="thin">
        <color rgb="FFE0E0E1"/>
      </top>
      <bottom style="thin">
        <color rgb="FFE0E0E1"/>
      </bottom>
      <diagonal/>
    </border>
    <border>
      <left style="thin">
        <color rgb="FFD7D8D8"/>
      </left>
      <right style="thin">
        <color rgb="FFD7D8D8"/>
      </right>
      <top style="thin">
        <color rgb="FFD7D8D8"/>
      </top>
      <bottom style="thin">
        <color rgb="FFD7D8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E0E0E1"/>
      </left>
      <right/>
      <top style="thin">
        <color rgb="FFE0E0E1"/>
      </top>
      <bottom style="thin">
        <color rgb="FFE0E0E1"/>
      </bottom>
      <diagonal/>
    </border>
    <border>
      <left/>
      <right/>
      <top style="thin">
        <color rgb="FFE0E0E1"/>
      </top>
      <bottom style="thin">
        <color rgb="FFE0E0E1"/>
      </bottom>
      <diagonal/>
    </border>
    <border>
      <left/>
      <right style="thin">
        <color rgb="FFE0E0E1"/>
      </right>
      <top style="thin">
        <color rgb="FFE0E0E1"/>
      </top>
      <bottom style="thin">
        <color rgb="FFE0E0E1"/>
      </bottom>
      <diagonal/>
    </border>
  </borders>
  <cellStyleXfs count="2">
    <xf numFmtId="0" fontId="0" fillId="0" borderId="0"/>
    <xf numFmtId="0" fontId="59" fillId="0" borderId="0"/>
  </cellStyleXfs>
  <cellXfs count="199">
    <xf numFmtId="0" fontId="0" fillId="0" borderId="0" xfId="0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1" fillId="3" borderId="0" xfId="0" applyFont="1" applyFill="1" applyAlignment="1">
      <alignment horizontal="left" vertical="top"/>
    </xf>
    <xf numFmtId="14" fontId="1" fillId="3" borderId="0" xfId="0" applyNumberFormat="1" applyFont="1" applyFill="1" applyAlignment="1">
      <alignment horizontal="left" vertical="top"/>
    </xf>
    <xf numFmtId="0" fontId="1" fillId="3" borderId="0" xfId="0" applyFont="1" applyFill="1" applyAlignment="1">
      <alignment horizontal="left"/>
    </xf>
    <xf numFmtId="14" fontId="1" fillId="3" borderId="0" xfId="0" applyNumberFormat="1" applyFont="1" applyFill="1" applyAlignment="1">
      <alignment horizontal="left"/>
    </xf>
    <xf numFmtId="0" fontId="5" fillId="0" borderId="0" xfId="0" applyFont="1"/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6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0" xfId="0" applyFont="1"/>
    <xf numFmtId="0" fontId="12" fillId="7" borderId="2" xfId="0" applyFont="1" applyFill="1" applyBorder="1" applyAlignment="1">
      <alignment horizontal="center" vertical="center"/>
    </xf>
    <xf numFmtId="9" fontId="11" fillId="0" borderId="0" xfId="0" applyNumberFormat="1" applyFont="1"/>
    <xf numFmtId="10" fontId="11" fillId="0" borderId="0" xfId="0" applyNumberFormat="1" applyFont="1"/>
    <xf numFmtId="0" fontId="14" fillId="0" borderId="0" xfId="0" applyFont="1"/>
    <xf numFmtId="0" fontId="11" fillId="0" borderId="3" xfId="0" applyFont="1" applyBorder="1"/>
    <xf numFmtId="0" fontId="11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/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0" borderId="4" xfId="0" applyFont="1" applyBorder="1"/>
    <xf numFmtId="0" fontId="15" fillId="0" borderId="0" xfId="0" applyFont="1"/>
    <xf numFmtId="0" fontId="6" fillId="9" borderId="0" xfId="0" applyFont="1" applyFill="1" applyAlignment="1">
      <alignment horizontal="center"/>
    </xf>
    <xf numFmtId="0" fontId="16" fillId="10" borderId="2" xfId="0" applyFont="1" applyFill="1" applyBorder="1"/>
    <xf numFmtId="0" fontId="5" fillId="10" borderId="2" xfId="0" applyFont="1" applyFill="1" applyBorder="1" applyAlignment="1">
      <alignment horizontal="center"/>
    </xf>
    <xf numFmtId="0" fontId="17" fillId="3" borderId="2" xfId="0" applyFont="1" applyFill="1" applyBorder="1"/>
    <xf numFmtId="0" fontId="5" fillId="3" borderId="2" xfId="0" applyFont="1" applyFill="1" applyBorder="1" applyAlignment="1">
      <alignment horizontal="center"/>
    </xf>
    <xf numFmtId="0" fontId="18" fillId="10" borderId="2" xfId="0" applyFont="1" applyFill="1" applyBorder="1"/>
    <xf numFmtId="0" fontId="6" fillId="11" borderId="0" xfId="0" applyFont="1" applyFill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vertical="top" wrapText="1"/>
    </xf>
    <xf numFmtId="0" fontId="16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vertical="top" wrapText="1"/>
    </xf>
    <xf numFmtId="0" fontId="16" fillId="7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0" fillId="2" borderId="0" xfId="0" applyFill="1"/>
    <xf numFmtId="0" fontId="0" fillId="12" borderId="0" xfId="0" applyFill="1"/>
    <xf numFmtId="0" fontId="0" fillId="12" borderId="5" xfId="0" applyFill="1" applyBorder="1"/>
    <xf numFmtId="0" fontId="0" fillId="13" borderId="5" xfId="0" applyFill="1" applyBorder="1"/>
    <xf numFmtId="0" fontId="0" fillId="14" borderId="5" xfId="0" applyFill="1" applyBorder="1"/>
    <xf numFmtId="0" fontId="0" fillId="15" borderId="5" xfId="0" applyFill="1" applyBorder="1"/>
    <xf numFmtId="0" fontId="0" fillId="16" borderId="5" xfId="0" applyFill="1" applyBorder="1"/>
    <xf numFmtId="0" fontId="0" fillId="4" borderId="5" xfId="0" applyFill="1" applyBorder="1"/>
    <xf numFmtId="0" fontId="35" fillId="0" borderId="0" xfId="0" applyFont="1"/>
    <xf numFmtId="0" fontId="37" fillId="18" borderId="6" xfId="0" applyFont="1" applyFill="1" applyBorder="1" applyAlignment="1">
      <alignment horizontal="center" vertical="center" wrapText="1"/>
    </xf>
    <xf numFmtId="0" fontId="38" fillId="19" borderId="6" xfId="0" applyFont="1" applyFill="1" applyBorder="1"/>
    <xf numFmtId="0" fontId="38" fillId="19" borderId="6" xfId="0" applyFont="1" applyFill="1" applyBorder="1" applyAlignment="1">
      <alignment horizontal="center" vertical="center" wrapText="1"/>
    </xf>
    <xf numFmtId="0" fontId="39" fillId="20" borderId="6" xfId="0" applyFont="1" applyFill="1" applyBorder="1" applyAlignment="1">
      <alignment horizontal="center" vertical="center" wrapText="1"/>
    </xf>
    <xf numFmtId="0" fontId="38" fillId="3" borderId="6" xfId="0" applyFont="1" applyFill="1" applyBorder="1"/>
    <xf numFmtId="0" fontId="38" fillId="3" borderId="6" xfId="0" applyFont="1" applyFill="1" applyBorder="1" applyAlignment="1">
      <alignment horizontal="center" vertical="center" wrapText="1"/>
    </xf>
    <xf numFmtId="0" fontId="40" fillId="3" borderId="6" xfId="0" applyFont="1" applyFill="1" applyBorder="1" applyAlignment="1">
      <alignment horizontal="center" vertical="center" wrapText="1"/>
    </xf>
    <xf numFmtId="0" fontId="40" fillId="19" borderId="6" xfId="0" applyFont="1" applyFill="1" applyBorder="1" applyAlignment="1">
      <alignment horizontal="center" vertical="center" wrapText="1"/>
    </xf>
    <xf numFmtId="0" fontId="41" fillId="11" borderId="3" xfId="0" applyFont="1" applyFill="1" applyBorder="1" applyAlignment="1">
      <alignment horizontal="center" vertical="center" wrapText="1"/>
    </xf>
    <xf numFmtId="0" fontId="42" fillId="3" borderId="3" xfId="0" applyFont="1" applyFill="1" applyBorder="1" applyAlignment="1">
      <alignment horizontal="center" vertical="center"/>
    </xf>
    <xf numFmtId="0" fontId="35" fillId="3" borderId="3" xfId="0" applyFont="1" applyFill="1" applyBorder="1" applyAlignment="1">
      <alignment vertical="top" wrapText="1"/>
    </xf>
    <xf numFmtId="0" fontId="42" fillId="7" borderId="3" xfId="0" applyFont="1" applyFill="1" applyBorder="1" applyAlignment="1">
      <alignment horizontal="center" vertical="center"/>
    </xf>
    <xf numFmtId="0" fontId="35" fillId="7" borderId="3" xfId="0" applyFont="1" applyFill="1" applyBorder="1" applyAlignment="1">
      <alignment vertical="top" wrapText="1"/>
    </xf>
    <xf numFmtId="0" fontId="0" fillId="7" borderId="3" xfId="0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0" fillId="0" borderId="0" xfId="0" applyAlignment="1">
      <alignment wrapText="1"/>
    </xf>
    <xf numFmtId="0" fontId="46" fillId="9" borderId="1" xfId="0" applyFont="1" applyFill="1" applyBorder="1" applyAlignment="1">
      <alignment horizontal="center" wrapText="1"/>
    </xf>
    <xf numFmtId="0" fontId="42" fillId="8" borderId="1" xfId="0" applyFont="1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42" fillId="7" borderId="1" xfId="0" applyFont="1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42" fillId="6" borderId="1" xfId="0" applyFont="1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8" fillId="2" borderId="7" xfId="0" applyFont="1" applyFill="1" applyBorder="1" applyAlignment="1">
      <alignment horizontal="center" vertical="center" wrapText="1"/>
    </xf>
    <xf numFmtId="0" fontId="47" fillId="17" borderId="7" xfId="0" applyFont="1" applyFill="1" applyBorder="1" applyAlignment="1">
      <alignment horizontal="center" vertical="center"/>
    </xf>
    <xf numFmtId="0" fontId="47" fillId="3" borderId="7" xfId="0" applyFont="1" applyFill="1" applyBorder="1" applyAlignment="1">
      <alignment horizontal="center" vertical="center"/>
    </xf>
    <xf numFmtId="0" fontId="46" fillId="23" borderId="1" xfId="0" applyFont="1" applyFill="1" applyBorder="1" applyAlignment="1">
      <alignment horizontal="center" wrapText="1"/>
    </xf>
    <xf numFmtId="0" fontId="49" fillId="24" borderId="1" xfId="0" applyFont="1" applyFill="1" applyBorder="1"/>
    <xf numFmtId="0" fontId="42" fillId="24" borderId="1" xfId="0" applyFont="1" applyFill="1" applyBorder="1" applyAlignment="1">
      <alignment horizontal="center"/>
    </xf>
    <xf numFmtId="0" fontId="50" fillId="24" borderId="1" xfId="0" applyFont="1" applyFill="1" applyBorder="1" applyAlignment="1">
      <alignment horizontal="center"/>
    </xf>
    <xf numFmtId="0" fontId="51" fillId="24" borderId="1" xfId="0" applyFont="1" applyFill="1" applyBorder="1" applyAlignment="1">
      <alignment horizontal="center"/>
    </xf>
    <xf numFmtId="0" fontId="52" fillId="24" borderId="1" xfId="0" applyFont="1" applyFill="1" applyBorder="1" applyAlignment="1">
      <alignment horizontal="center"/>
    </xf>
    <xf numFmtId="164" fontId="0" fillId="24" borderId="1" xfId="0" applyNumberFormat="1" applyFill="1" applyBorder="1" applyAlignment="1">
      <alignment horizontal="center"/>
    </xf>
    <xf numFmtId="0" fontId="53" fillId="3" borderId="1" xfId="0" applyFont="1" applyFill="1" applyBorder="1"/>
    <xf numFmtId="0" fontId="42" fillId="3" borderId="1" xfId="0" applyFont="1" applyFill="1" applyBorder="1" applyAlignment="1">
      <alignment horizontal="center"/>
    </xf>
    <xf numFmtId="0" fontId="50" fillId="3" borderId="1" xfId="0" applyFont="1" applyFill="1" applyBorder="1" applyAlignment="1">
      <alignment horizontal="center"/>
    </xf>
    <xf numFmtId="0" fontId="51" fillId="3" borderId="1" xfId="0" applyFont="1" applyFill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54" fillId="24" borderId="1" xfId="0" applyFont="1" applyFill="1" applyBorder="1"/>
    <xf numFmtId="0" fontId="55" fillId="3" borderId="1" xfId="0" applyFont="1" applyFill="1" applyBorder="1"/>
    <xf numFmtId="0" fontId="56" fillId="24" borderId="1" xfId="0" applyFont="1" applyFill="1" applyBorder="1"/>
    <xf numFmtId="0" fontId="36" fillId="25" borderId="0" xfId="0" applyFont="1" applyFill="1" applyAlignment="1">
      <alignment horizontal="left" vertical="center" indent="1"/>
    </xf>
    <xf numFmtId="0" fontId="48" fillId="0" borderId="0" xfId="0" applyFont="1"/>
    <xf numFmtId="0" fontId="36" fillId="25" borderId="1" xfId="0" applyFont="1" applyFill="1" applyBorder="1" applyAlignment="1">
      <alignment horizontal="center"/>
    </xf>
    <xf numFmtId="0" fontId="36" fillId="25" borderId="1" xfId="0" applyFont="1" applyFill="1" applyBorder="1" applyAlignment="1">
      <alignment horizontal="center" wrapText="1"/>
    </xf>
    <xf numFmtId="0" fontId="0" fillId="5" borderId="1" xfId="0" applyFill="1" applyBorder="1"/>
    <xf numFmtId="0" fontId="42" fillId="5" borderId="1" xfId="0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22" borderId="1" xfId="0" applyFill="1" applyBorder="1"/>
    <xf numFmtId="0" fontId="42" fillId="22" borderId="1" xfId="0" applyFont="1" applyFill="1" applyBorder="1" applyAlignment="1">
      <alignment horizontal="center"/>
    </xf>
    <xf numFmtId="164" fontId="0" fillId="22" borderId="1" xfId="0" applyNumberFormat="1" applyFill="1" applyBorder="1" applyAlignment="1">
      <alignment horizontal="center"/>
    </xf>
    <xf numFmtId="14" fontId="0" fillId="0" borderId="0" xfId="0" applyNumberFormat="1"/>
    <xf numFmtId="0" fontId="57" fillId="26" borderId="3" xfId="0" applyFont="1" applyFill="1" applyBorder="1" applyAlignment="1">
      <alignment horizontal="center" vertical="center" wrapText="1"/>
    </xf>
    <xf numFmtId="14" fontId="57" fillId="26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57" fillId="26" borderId="8" xfId="0" applyFont="1" applyFill="1" applyBorder="1" applyAlignment="1">
      <alignment horizontal="center" vertical="center" wrapText="1"/>
    </xf>
    <xf numFmtId="14" fontId="57" fillId="26" borderId="9" xfId="0" applyNumberFormat="1" applyFont="1" applyFill="1" applyBorder="1" applyAlignment="1">
      <alignment horizontal="center" vertical="center" wrapText="1"/>
    </xf>
    <xf numFmtId="0" fontId="57" fillId="26" borderId="9" xfId="0" applyFont="1" applyFill="1" applyBorder="1" applyAlignment="1">
      <alignment horizontal="center" vertical="center" wrapText="1"/>
    </xf>
    <xf numFmtId="0" fontId="57" fillId="26" borderId="10" xfId="0" applyFont="1" applyFill="1" applyBorder="1" applyAlignment="1">
      <alignment horizontal="center" vertical="center" wrapText="1"/>
    </xf>
    <xf numFmtId="20" fontId="0" fillId="0" borderId="0" xfId="0" applyNumberFormat="1"/>
    <xf numFmtId="0" fontId="58" fillId="26" borderId="3" xfId="0" applyFont="1" applyFill="1" applyBorder="1" applyAlignment="1">
      <alignment horizontal="center" vertical="center" wrapText="1"/>
    </xf>
    <xf numFmtId="0" fontId="47" fillId="3" borderId="0" xfId="0" applyFont="1" applyFill="1" applyAlignment="1">
      <alignment horizontal="center" vertical="center"/>
    </xf>
    <xf numFmtId="0" fontId="47" fillId="3" borderId="0" xfId="0" applyFont="1" applyFill="1" applyAlignment="1">
      <alignment horizontal="left" vertical="center" wrapText="1"/>
    </xf>
    <xf numFmtId="164" fontId="47" fillId="3" borderId="0" xfId="0" applyNumberFormat="1" applyFont="1" applyFill="1" applyAlignment="1">
      <alignment horizontal="center" vertical="center"/>
    </xf>
    <xf numFmtId="0" fontId="0" fillId="27" borderId="0" xfId="0" applyFill="1"/>
    <xf numFmtId="0" fontId="36" fillId="27" borderId="0" xfId="0" applyFont="1" applyFill="1" applyAlignment="1">
      <alignment horizontal="left" vertical="center" indent="1"/>
    </xf>
    <xf numFmtId="0" fontId="34" fillId="27" borderId="0" xfId="0" applyFont="1" applyFill="1" applyAlignment="1">
      <alignment horizontal="left" vertical="center"/>
    </xf>
    <xf numFmtId="0" fontId="12" fillId="27" borderId="11" xfId="0" applyFont="1" applyFill="1" applyBorder="1" applyAlignment="1">
      <alignment horizontal="center" vertical="center"/>
    </xf>
    <xf numFmtId="164" fontId="5" fillId="27" borderId="11" xfId="0" applyNumberFormat="1" applyFont="1" applyFill="1" applyBorder="1" applyAlignment="1">
      <alignment horizontal="center" vertical="center"/>
    </xf>
    <xf numFmtId="0" fontId="5" fillId="27" borderId="11" xfId="0" applyFont="1" applyFill="1" applyBorder="1" applyAlignment="1">
      <alignment horizontal="center" vertical="center" wrapText="1"/>
    </xf>
    <xf numFmtId="0" fontId="5" fillId="27" borderId="11" xfId="0" applyFont="1" applyFill="1" applyBorder="1" applyAlignment="1">
      <alignment horizontal="center" vertical="center"/>
    </xf>
    <xf numFmtId="0" fontId="5" fillId="27" borderId="11" xfId="0" applyFont="1" applyFill="1" applyBorder="1" applyAlignment="1">
      <alignment horizontal="center"/>
    </xf>
    <xf numFmtId="0" fontId="5" fillId="27" borderId="11" xfId="0" applyFont="1" applyFill="1" applyBorder="1" applyAlignment="1">
      <alignment horizontal="left" vertical="center" wrapText="1"/>
    </xf>
    <xf numFmtId="0" fontId="12" fillId="27" borderId="11" xfId="0" applyFont="1" applyFill="1" applyBorder="1" applyAlignment="1">
      <alignment horizontal="left" vertical="center" wrapText="1"/>
    </xf>
    <xf numFmtId="0" fontId="5" fillId="27" borderId="11" xfId="0" applyFont="1" applyFill="1" applyBorder="1" applyAlignment="1">
      <alignment horizontal="left"/>
    </xf>
    <xf numFmtId="166" fontId="0" fillId="0" borderId="0" xfId="0" applyNumberFormat="1"/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0" borderId="0" xfId="0" applyFont="1"/>
    <xf numFmtId="0" fontId="1" fillId="0" borderId="0" xfId="0" applyFont="1"/>
    <xf numFmtId="0" fontId="1" fillId="3" borderId="0" xfId="0" applyFont="1" applyFill="1"/>
    <xf numFmtId="0" fontId="2" fillId="3" borderId="0" xfId="0" applyFont="1" applyFill="1"/>
    <xf numFmtId="0" fontId="36" fillId="23" borderId="1" xfId="0" applyFont="1" applyFill="1" applyBorder="1" applyAlignment="1">
      <alignment horizontal="left" vertical="center" indent="1"/>
    </xf>
    <xf numFmtId="0" fontId="36" fillId="23" borderId="0" xfId="0" applyFont="1" applyFill="1" applyAlignment="1">
      <alignment horizontal="left" vertical="center" indent="1"/>
    </xf>
    <xf numFmtId="0" fontId="36" fillId="25" borderId="0" xfId="0" applyFont="1" applyFill="1" applyAlignment="1">
      <alignment horizontal="left" vertical="center" indent="1"/>
    </xf>
    <xf numFmtId="0" fontId="47" fillId="3" borderId="7" xfId="0" applyFont="1" applyFill="1" applyBorder="1" applyAlignment="1">
      <alignment horizontal="left" vertical="center" wrapText="1"/>
    </xf>
    <xf numFmtId="0" fontId="47" fillId="3" borderId="7" xfId="0" applyFont="1" applyFill="1" applyBorder="1" applyAlignment="1">
      <alignment horizontal="center" vertical="center"/>
    </xf>
    <xf numFmtId="164" fontId="47" fillId="3" borderId="7" xfId="0" applyNumberFormat="1" applyFont="1" applyFill="1" applyBorder="1" applyAlignment="1">
      <alignment horizontal="center" vertical="center"/>
    </xf>
    <xf numFmtId="0" fontId="47" fillId="17" borderId="7" xfId="0" applyFont="1" applyFill="1" applyBorder="1" applyAlignment="1">
      <alignment horizontal="left" vertical="center" wrapText="1"/>
    </xf>
    <xf numFmtId="0" fontId="47" fillId="17" borderId="7" xfId="0" applyFont="1" applyFill="1" applyBorder="1" applyAlignment="1">
      <alignment horizontal="center" vertical="center"/>
    </xf>
    <xf numFmtId="164" fontId="47" fillId="17" borderId="7" xfId="0" applyNumberFormat="1" applyFont="1" applyFill="1" applyBorder="1" applyAlignment="1">
      <alignment horizontal="center" vertical="center"/>
    </xf>
    <xf numFmtId="0" fontId="36" fillId="9" borderId="0" xfId="0" applyFont="1" applyFill="1" applyAlignment="1">
      <alignment horizontal="left" vertical="center" indent="1"/>
    </xf>
    <xf numFmtId="0" fontId="36" fillId="21" borderId="0" xfId="0" applyFont="1" applyFill="1" applyAlignment="1">
      <alignment horizontal="left" vertical="center" indent="1"/>
    </xf>
    <xf numFmtId="0" fontId="8" fillId="2" borderId="7" xfId="0" applyFont="1" applyFill="1" applyBorder="1" applyAlignment="1">
      <alignment horizontal="left" vertical="center" indent="1"/>
    </xf>
    <xf numFmtId="0" fontId="8" fillId="2" borderId="7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top" wrapText="1"/>
    </xf>
    <xf numFmtId="0" fontId="35" fillId="7" borderId="3" xfId="0" applyFont="1" applyFill="1" applyBorder="1" applyAlignment="1">
      <alignment horizontal="center" vertical="top" wrapText="1"/>
    </xf>
    <xf numFmtId="0" fontId="43" fillId="3" borderId="3" xfId="0" applyFont="1" applyFill="1" applyBorder="1" applyAlignment="1">
      <alignment horizontal="center" vertical="center"/>
    </xf>
    <xf numFmtId="0" fontId="44" fillId="3" borderId="3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top" wrapText="1"/>
    </xf>
    <xf numFmtId="0" fontId="43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35" fillId="3" borderId="3" xfId="0" applyFont="1" applyFill="1" applyBorder="1" applyAlignment="1">
      <alignment horizontal="center" vertical="top" wrapText="1"/>
    </xf>
    <xf numFmtId="0" fontId="45" fillId="3" borderId="3" xfId="0" applyFont="1" applyFill="1" applyBorder="1" applyAlignment="1">
      <alignment horizontal="center" vertical="top" wrapText="1"/>
    </xf>
    <xf numFmtId="0" fontId="34" fillId="2" borderId="0" xfId="0" applyFont="1" applyFill="1" applyAlignment="1">
      <alignment horizontal="center" vertical="center"/>
    </xf>
    <xf numFmtId="0" fontId="34" fillId="1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 indent="1"/>
    </xf>
    <xf numFmtId="0" fontId="36" fillId="11" borderId="0" xfId="0" applyFont="1" applyFill="1" applyAlignment="1">
      <alignment horizontal="left" vertical="center" indent="1"/>
    </xf>
    <xf numFmtId="0" fontId="41" fillId="11" borderId="3" xfId="0" applyFont="1" applyFill="1" applyBorder="1" applyAlignment="1">
      <alignment horizontal="center" vertical="center" wrapText="1"/>
    </xf>
    <xf numFmtId="0" fontId="30" fillId="17" borderId="5" xfId="0" applyFont="1" applyFill="1" applyBorder="1" applyAlignment="1">
      <alignment horizontal="center" vertical="center"/>
    </xf>
    <xf numFmtId="0" fontId="31" fillId="17" borderId="5" xfId="0" applyFont="1" applyFill="1" applyBorder="1" applyAlignment="1">
      <alignment horizontal="center" vertical="center"/>
    </xf>
    <xf numFmtId="0" fontId="32" fillId="17" borderId="5" xfId="0" applyFont="1" applyFill="1" applyBorder="1" applyAlignment="1">
      <alignment horizontal="center" vertical="center"/>
    </xf>
    <xf numFmtId="1" fontId="33" fillId="17" borderId="5" xfId="0" applyNumberFormat="1" applyFont="1" applyFill="1" applyBorder="1" applyAlignment="1">
      <alignment horizontal="center" vertical="center"/>
    </xf>
    <xf numFmtId="0" fontId="34" fillId="2" borderId="0" xfId="0" applyFont="1" applyFill="1" applyAlignment="1">
      <alignment horizontal="left" vertical="center"/>
    </xf>
    <xf numFmtId="0" fontId="30" fillId="3" borderId="5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1" fontId="25" fillId="3" borderId="5" xfId="0" applyNumberFormat="1" applyFont="1" applyFill="1" applyBorder="1" applyAlignment="1">
      <alignment horizontal="center" vertical="center"/>
    </xf>
    <xf numFmtId="1" fontId="26" fillId="3" borderId="12" xfId="0" applyNumberFormat="1" applyFont="1" applyFill="1" applyBorder="1" applyAlignment="1">
      <alignment horizontal="center" vertical="center"/>
    </xf>
    <xf numFmtId="1" fontId="26" fillId="3" borderId="13" xfId="0" applyNumberFormat="1" applyFont="1" applyFill="1" applyBorder="1" applyAlignment="1">
      <alignment horizontal="center" vertical="center"/>
    </xf>
    <xf numFmtId="1" fontId="26" fillId="3" borderId="14" xfId="0" applyNumberFormat="1" applyFont="1" applyFill="1" applyBorder="1" applyAlignment="1">
      <alignment horizontal="center" vertical="center"/>
    </xf>
    <xf numFmtId="1" fontId="26" fillId="3" borderId="5" xfId="0" applyNumberFormat="1" applyFont="1" applyFill="1" applyBorder="1" applyAlignment="1">
      <alignment horizontal="center" vertical="center"/>
    </xf>
    <xf numFmtId="1" fontId="27" fillId="3" borderId="5" xfId="0" applyNumberFormat="1" applyFont="1" applyFill="1" applyBorder="1" applyAlignment="1">
      <alignment horizontal="center" vertical="center"/>
    </xf>
    <xf numFmtId="165" fontId="28" fillId="3" borderId="5" xfId="0" applyNumberFormat="1" applyFont="1" applyFill="1" applyBorder="1" applyAlignment="1">
      <alignment horizontal="center" vertical="center"/>
    </xf>
    <xf numFmtId="165" fontId="29" fillId="3" borderId="5" xfId="0" applyNumberFormat="1" applyFont="1" applyFill="1" applyBorder="1" applyAlignment="1">
      <alignment horizontal="center" vertical="center"/>
    </xf>
    <xf numFmtId="0" fontId="60" fillId="28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6" fillId="9" borderId="0" xfId="0" applyFont="1" applyFill="1" applyAlignment="1">
      <alignment horizontal="left" vertical="center"/>
    </xf>
    <xf numFmtId="0" fontId="6" fillId="11" borderId="0" xfId="0" applyFont="1" applyFill="1" applyAlignment="1">
      <alignment horizontal="left" vertical="center"/>
    </xf>
    <xf numFmtId="0" fontId="19" fillId="0" borderId="0" xfId="0" applyFont="1" applyAlignment="1"/>
    <xf numFmtId="0" fontId="0" fillId="3" borderId="5" xfId="0" applyFill="1" applyBorder="1" applyAlignment="1"/>
    <xf numFmtId="0" fontId="48" fillId="0" borderId="0" xfId="0" applyFont="1" applyAlignment="1"/>
  </cellXfs>
  <cellStyles count="2">
    <cellStyle name="Normal" xfId="0" builtinId="0"/>
    <cellStyle name="Normal 2" xfId="1" xr:uid="{00000000-0005-0000-0000-000006000000}"/>
  </cellStyles>
  <dxfs count="105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sz val="8"/>
        <color rgb="FF000000"/>
        <name val="Arial"/>
        <family val="2"/>
        <charset val="1"/>
      </font>
      <alignment horizontal="left" vertical="bottom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AE8F3"/>
      <rgbColor rgb="FFEFF5FB"/>
      <rgbColor rgb="FFFFE599"/>
      <rgbColor rgb="FFFCE4D6"/>
      <rgbColor rgb="FFE2EFDA"/>
      <rgbColor rgb="FFBC0001"/>
      <rgbColor rgb="FF1A5C1A"/>
      <rgbColor rgb="FFF0FFF0"/>
      <rgbColor rgb="FF7B4F00"/>
      <rgbColor rgb="FFE31837"/>
      <rgbColor rgb="FF3A86B8"/>
      <rgbColor rgb="FFBFBFC6"/>
      <rgbColor rgb="FFD9D9D9"/>
      <rgbColor rgb="FFD7D8D8"/>
      <rgbColor rgb="FFBF3B2E"/>
      <rgbColor rgb="FFFCF8E3"/>
      <rgbColor rgb="FFE8F4F8"/>
      <rgbColor rgb="FF6A0572"/>
      <rgbColor rgb="FFF6A424"/>
      <rgbColor rgb="FF0B79BD"/>
      <rgbColor rgb="FFC9DAF8"/>
      <rgbColor rgb="FFF9FAFB"/>
      <rgbColor rgb="FFF3E5F5"/>
      <rgbColor rgb="FFFFF0CC"/>
      <rgbColor rgb="FFE0E0E1"/>
      <rgbColor rgb="FFFDECEA"/>
      <rgbColor rgb="FFC00000"/>
      <rgbColor rgb="FF3C7EBB"/>
      <rgbColor rgb="FFF5F5F7"/>
      <rgbColor rgb="FFCFE2F3"/>
      <rgbColor rgb="FFE1EAF1"/>
      <rgbColor rgb="FFD9ECD4"/>
      <rgbColor rgb="FFFFF2CC"/>
      <rgbColor rgb="FFD0D0D0"/>
      <rgbColor rgb="FFEAD1DC"/>
      <rgbColor rgb="FFD9D2E9"/>
      <rgbColor rgb="FFF4CCCC"/>
      <rgbColor rgb="FF4A77C4"/>
      <rgbColor rgb="FFD0E0E3"/>
      <rgbColor rgb="FF77B356"/>
      <rgbColor rgb="FFF9AB13"/>
      <rgbColor rgb="FFFD9204"/>
      <rgbColor rgb="FFFFD6D6"/>
      <rgbColor rgb="FF5A595B"/>
      <rgbColor rgb="FF95939F"/>
      <rgbColor rgb="FF1D3664"/>
      <rgbColor rgb="FF27AE60"/>
      <rgbColor rgb="FF1F4E78"/>
      <rgbColor rgb="FF375623"/>
      <rgbColor rgb="FF7B3F00"/>
      <rgbColor rgb="FF484868"/>
      <rgbColor rgb="FF264478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Feedback by IBU — Total vs Open &amp; High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Total Feedback</c:v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Calc!#REF!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Calc!#REF!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35D-014B-9511-2C32F85BC204}"/>
            </c:ext>
          </c:extLst>
        </c:ser>
        <c:ser>
          <c:idx val="1"/>
          <c:order val="1"/>
          <c:tx>
            <c:v>Open &amp; High Severity</c:v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Calc!#REF!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Calc!#REF!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35D-014B-9511-2C32F85BC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4604879"/>
        <c:axId val="22829376"/>
      </c:barChart>
      <c:catAx>
        <c:axId val="3460487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latin typeface="Calibri"/>
                  </a:rPr>
                  <a:t>Number of Sessions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2829376"/>
        <c:crosses val="autoZero"/>
        <c:auto val="1"/>
        <c:lblAlgn val="ctr"/>
        <c:lblOffset val="100"/>
        <c:noMultiLvlLbl val="0"/>
      </c:catAx>
      <c:valAx>
        <c:axId val="2282937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latin typeface="Calibri"/>
                  </a:rPr>
                  <a:t>IBU Code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46048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Engagement Type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Calc!$AH$2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Calc!$AG$3:$AG$15</c:f>
              <c:strCache>
                <c:ptCount val="13"/>
                <c:pt idx="0">
                  <c:v>Large Connect</c:v>
                </c:pt>
                <c:pt idx="1">
                  <c:v>FGD</c:v>
                </c:pt>
                <c:pt idx="2">
                  <c:v>1:1</c:v>
                </c:pt>
                <c:pt idx="3">
                  <c:v>Floor Connect</c:v>
                </c:pt>
                <c:pt idx="4">
                  <c:v>Location-Offshore</c:v>
                </c:pt>
                <c:pt idx="5">
                  <c:v>Workshop/Session</c:v>
                </c:pt>
                <c:pt idx="6">
                  <c:v>Location-Mixed</c:v>
                </c:pt>
                <c:pt idx="7">
                  <c:v>Leadership Connect</c:v>
                </c:pt>
                <c:pt idx="8">
                  <c:v>Connect with Women Associates</c:v>
                </c:pt>
                <c:pt idx="9">
                  <c:v>Account Based</c:v>
                </c:pt>
                <c:pt idx="10">
                  <c:v>Induction</c:v>
                </c:pt>
                <c:pt idx="11">
                  <c:v>New Joiner Induction</c:v>
                </c:pt>
                <c:pt idx="12">
                  <c:v>Monthly Cadence</c:v>
                </c:pt>
              </c:strCache>
            </c:strRef>
          </c:cat>
          <c:val>
            <c:numRef>
              <c:f>Calc!$AH$3:$AH$15</c:f>
              <c:numCache>
                <c:formatCode>General</c:formatCode>
                <c:ptCount val="13"/>
                <c:pt idx="0">
                  <c:v>46</c:v>
                </c:pt>
                <c:pt idx="1">
                  <c:v>37</c:v>
                </c:pt>
                <c:pt idx="2">
                  <c:v>30</c:v>
                </c:pt>
                <c:pt idx="3">
                  <c:v>22</c:v>
                </c:pt>
                <c:pt idx="4">
                  <c:v>10</c:v>
                </c:pt>
                <c:pt idx="5">
                  <c:v>6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8-D042-9E7B-C15FDA42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043371"/>
        <c:axId val="81289097"/>
      </c:barChart>
      <c:catAx>
        <c:axId val="74043371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289097"/>
        <c:crosses val="autoZero"/>
        <c:auto val="1"/>
        <c:lblAlgn val="ctr"/>
        <c:lblOffset val="100"/>
        <c:noMultiLvlLbl val="0"/>
      </c:catAx>
      <c:valAx>
        <c:axId val="8128909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40433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Session Distribution by Cohort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Calc!$AB$2</c:f>
              <c:strCache>
                <c:ptCount val="1"/>
                <c:pt idx="0">
                  <c:v>Sessions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FF3-454B-9312-03DE16A9B9CD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FF3-454B-9312-03DE16A9B9CD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FF3-454B-9312-03DE16A9B9CD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9FF3-454B-9312-03DE16A9B9CD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9FF3-454B-9312-03DE16A9B9CD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9FF3-454B-9312-03DE16A9B9CD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9FF3-454B-9312-03DE16A9B9CD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9FF3-454B-9312-03DE16A9B9CD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FF3-454B-9312-03DE16A9B9CD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FF3-454B-9312-03DE16A9B9CD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9FF3-454B-9312-03DE16A9B9CD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9FF3-454B-9312-03DE16A9B9CD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9-9FF3-454B-9312-03DE16A9B9CD}"/>
              </c:ext>
            </c:extLst>
          </c:dPt>
          <c:dPt>
            <c:idx val="13"/>
            <c:bubble3D val="0"/>
            <c:spPr>
              <a:solidFill>
                <a:srgbClr val="D8AA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B-9FF3-454B-9312-03DE16A9B9CD}"/>
              </c:ext>
            </c:extLst>
          </c:dPt>
          <c:dPt>
            <c:idx val="14"/>
            <c:bubble3D val="0"/>
            <c:spPr>
              <a:solidFill>
                <a:srgbClr val="C5D6A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D-9FF3-454B-9312-03DE16A9B9CD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F3-454B-9312-03DE16A9B9CD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FF3-454B-9312-03DE16A9B9CD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FF3-454B-9312-03DE16A9B9CD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FF3-454B-9312-03DE16A9B9CD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FF3-454B-9312-03DE16A9B9CD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FF3-454B-9312-03DE16A9B9C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FF3-454B-9312-03DE16A9B9CD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FF3-454B-9312-03DE16A9B9C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F3-454B-9312-03DE16A9B9C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FF3-454B-9312-03DE16A9B9C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FF3-454B-9312-03DE16A9B9CD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FF3-454B-9312-03DE16A9B9C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FF3-454B-9312-03DE16A9B9CD}"/>
                </c:ext>
              </c:extLst>
            </c:dLbl>
            <c:dLbl>
              <c:idx val="13"/>
              <c:layout>
                <c:manualLayout>
                  <c:x val="-2.7884635875605364E-2"/>
                  <c:y val="-4.7916029987134359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FF3-454B-9312-03DE16A9B9CD}"/>
                </c:ext>
              </c:extLst>
            </c:dLbl>
            <c:dLbl>
              <c:idx val="14"/>
              <c:layout>
                <c:manualLayout>
                  <c:x val="6.561090794260079E-3"/>
                  <c:y val="-9.2837308100072846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FF3-454B-9312-03DE16A9B9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1"/>
            <c:separator>: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Calc!$AA$3:$AA$17</c:f>
              <c:strCache>
                <c:ptCount val="15"/>
                <c:pt idx="0">
                  <c:v>HR Connect (General)</c:v>
                </c:pt>
                <c:pt idx="1">
                  <c:v>HR Connect (Project-Wise)</c:v>
                </c:pt>
                <c:pt idx="2">
                  <c:v>New Joinee Connect (7 Days)</c:v>
                </c:pt>
                <c:pt idx="3">
                  <c:v>Business Wait Connect</c:v>
                </c:pt>
                <c:pt idx="4">
                  <c:v>SL Induction</c:v>
                </c:pt>
                <c:pt idx="5">
                  <c:v>Leadership Connect</c:v>
                </c:pt>
                <c:pt idx="6">
                  <c:v>New Joiner Connect (30 Days)</c:v>
                </c:pt>
                <c:pt idx="7">
                  <c:v>New Joiner Connect (60 Days)</c:v>
                </c:pt>
                <c:pt idx="8">
                  <c:v>LSA Connect</c:v>
                </c:pt>
                <c:pt idx="9">
                  <c:v>Josh (Fun Engagements)</c:v>
                </c:pt>
                <c:pt idx="10">
                  <c:v>Townhall</c:v>
                </c:pt>
                <c:pt idx="11">
                  <c:v>New Joiner Connect (90 Days)</c:v>
                </c:pt>
                <c:pt idx="12">
                  <c:v>Women Associate Connect</c:v>
                </c:pt>
                <c:pt idx="13">
                  <c:v>Skip Meeting</c:v>
                </c:pt>
                <c:pt idx="14">
                  <c:v>IBU Cadence Connect</c:v>
                </c:pt>
              </c:strCache>
            </c:strRef>
          </c:cat>
          <c:val>
            <c:numRef>
              <c:f>Calc!$AB$3:$AB$17</c:f>
              <c:numCache>
                <c:formatCode>General</c:formatCode>
                <c:ptCount val="15"/>
                <c:pt idx="0">
                  <c:v>22</c:v>
                </c:pt>
                <c:pt idx="1">
                  <c:v>8</c:v>
                </c:pt>
                <c:pt idx="2">
                  <c:v>8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FF3-454B-9312-03DE16A9B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Sentiment Mix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Calc!$B$23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7AE6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5C8B-EA43-8766-94177C8F7FD2}"/>
              </c:ext>
            </c:extLst>
          </c:dPt>
          <c:dPt>
            <c:idx val="1"/>
            <c:bubble3D val="0"/>
            <c:spPr>
              <a:solidFill>
                <a:srgbClr val="31859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8B-EA43-8766-94177C8F7FD2}"/>
              </c:ext>
            </c:extLst>
          </c:dPt>
          <c:dPt>
            <c:idx val="2"/>
            <c:bubble3D val="0"/>
            <c:spPr>
              <a:solidFill>
                <a:srgbClr val="F5A62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5C8B-EA43-8766-94177C8F7FD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8B-EA43-8766-94177C8F7FD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8B-EA43-8766-94177C8F7FD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C8B-EA43-8766-94177C8F7F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Calc!$A$24:$A$26</c:f>
              <c:strCache>
                <c:ptCount val="3"/>
                <c:pt idx="0">
                  <c:v>Positive</c:v>
                </c:pt>
                <c:pt idx="1">
                  <c:v>Neutral</c:v>
                </c:pt>
                <c:pt idx="2">
                  <c:v>Mixed</c:v>
                </c:pt>
              </c:strCache>
            </c:strRef>
          </c:cat>
          <c:val>
            <c:numRef>
              <c:f>Calc!$B$24:$B$26</c:f>
              <c:numCache>
                <c:formatCode>General</c:formatCode>
                <c:ptCount val="3"/>
                <c:pt idx="0">
                  <c:v>102</c:v>
                </c:pt>
                <c:pt idx="1">
                  <c:v>50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C8B-EA43-8766-94177C8F7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Calc!$B$29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183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461-6046-8DB5-DE92A368855A}"/>
              </c:ext>
            </c:extLst>
          </c:dPt>
          <c:dPt>
            <c:idx val="1"/>
            <c:invertIfNegative val="0"/>
            <c:bubble3D val="0"/>
            <c:spPr>
              <a:solidFill>
                <a:srgbClr val="F5A62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461-6046-8DB5-DE92A368855A}"/>
              </c:ext>
            </c:extLst>
          </c:dPt>
          <c:dPt>
            <c:idx val="2"/>
            <c:invertIfNegative val="0"/>
            <c:bubble3D val="0"/>
            <c:spPr>
              <a:solidFill>
                <a:srgbClr val="27AE6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461-6046-8DB5-DE92A368855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61-6046-8DB5-DE92A368855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61-6046-8DB5-DE92A368855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461-6046-8DB5-DE92A36885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Calc!$A$30:$A$32</c:f>
              <c:strCache>
                <c:ptCount val="3"/>
                <c:pt idx="0">
                  <c:v>High</c:v>
                </c:pt>
                <c:pt idx="1">
                  <c:v>Moderate</c:v>
                </c:pt>
                <c:pt idx="2">
                  <c:v>Low</c:v>
                </c:pt>
              </c:strCache>
            </c:strRef>
          </c:cat>
          <c:val>
            <c:numRef>
              <c:f>Calc!$B$30:$B$32</c:f>
              <c:numCache>
                <c:formatCode>0%</c:formatCode>
                <c:ptCount val="3"/>
                <c:pt idx="0">
                  <c:v>0.2</c:v>
                </c:pt>
                <c:pt idx="1">
                  <c:v>0.45</c:v>
                </c:pt>
                <c:pt idx="2" formatCode="0.00%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61-6046-8DB5-DE92A3688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487139"/>
        <c:axId val="76116888"/>
      </c:barChart>
      <c:catAx>
        <c:axId val="5548713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116888"/>
        <c:crosses val="autoZero"/>
        <c:auto val="1"/>
        <c:lblAlgn val="ctr"/>
        <c:lblOffset val="100"/>
        <c:noMultiLvlLbl val="0"/>
      </c:catAx>
      <c:valAx>
        <c:axId val="7611688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54871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4387219088868262"/>
          <c:y val="0.41178272175671771"/>
          <c:w val="0.23194942211433967"/>
          <c:h val="0.22118173938168159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CARES Levers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Calc!$B$41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183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C3B5-FE4A-BC5B-A9FB5EFC6840}"/>
              </c:ext>
            </c:extLst>
          </c:dPt>
          <c:dPt>
            <c:idx val="1"/>
            <c:invertIfNegative val="0"/>
            <c:bubble3D val="0"/>
            <c:spPr>
              <a:solidFill>
                <a:srgbClr val="2980B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3B5-FE4A-BC5B-A9FB5EFC6840}"/>
              </c:ext>
            </c:extLst>
          </c:dPt>
          <c:dPt>
            <c:idx val="2"/>
            <c:invertIfNegative val="0"/>
            <c:bubble3D val="0"/>
            <c:spPr>
              <a:solidFill>
                <a:srgbClr val="27AE6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3B5-FE4A-BC5B-A9FB5EFC6840}"/>
              </c:ext>
            </c:extLst>
          </c:dPt>
          <c:dPt>
            <c:idx val="3"/>
            <c:invertIfNegative val="0"/>
            <c:bubble3D val="0"/>
            <c:spPr>
              <a:solidFill>
                <a:srgbClr val="F5A62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C3B5-FE4A-BC5B-A9FB5EFC6840}"/>
              </c:ext>
            </c:extLst>
          </c:dPt>
          <c:dPt>
            <c:idx val="4"/>
            <c:invertIfNegative val="0"/>
            <c:bubble3D val="0"/>
            <c:spPr>
              <a:solidFill>
                <a:srgbClr val="4A4A6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C3B5-FE4A-BC5B-A9FB5EFC684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3B5-FE4A-BC5B-A9FB5EFC684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B5-FE4A-BC5B-A9FB5EFC684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3B5-FE4A-BC5B-A9FB5EFC6840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3B5-FE4A-BC5B-A9FB5EFC6840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3B5-FE4A-BC5B-A9FB5EFC68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Calc!$A$42:$A$46</c:f>
              <c:strCache>
                <c:ptCount val="5"/>
                <c:pt idx="0">
                  <c:v>Alignment</c:v>
                </c:pt>
                <c:pt idx="1">
                  <c:v>Career</c:v>
                </c:pt>
                <c:pt idx="2">
                  <c:v>Empowerment</c:v>
                </c:pt>
                <c:pt idx="3">
                  <c:v>Recognition</c:v>
                </c:pt>
                <c:pt idx="4">
                  <c:v>Strive</c:v>
                </c:pt>
              </c:strCache>
            </c:strRef>
          </c:cat>
          <c:val>
            <c:numRef>
              <c:f>Calc!$B$42:$B$46</c:f>
              <c:numCache>
                <c:formatCode>General</c:formatCode>
                <c:ptCount val="5"/>
                <c:pt idx="0">
                  <c:v>97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3B5-FE4A-BC5B-A9FB5EFC6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09273"/>
        <c:axId val="19701933"/>
      </c:barChart>
      <c:catAx>
        <c:axId val="693092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701933"/>
        <c:crosses val="autoZero"/>
        <c:auto val="1"/>
        <c:lblAlgn val="ctr"/>
        <c:lblOffset val="100"/>
        <c:noMultiLvlLbl val="0"/>
      </c:catAx>
      <c:valAx>
        <c:axId val="197019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3092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600" b="1" strike="noStrike" spc="-1">
                <a:solidFill>
                  <a:srgbClr val="000000"/>
                </a:solidFill>
                <a:latin typeface="Calibri"/>
              </a:rPr>
              <a:t>Engagement Mode</a:t>
            </a:r>
          </a:p>
        </c:rich>
      </c:tx>
      <c:layout>
        <c:manualLayout>
          <c:xMode val="edge"/>
          <c:yMode val="edge"/>
          <c:x val="0.21930508621436601"/>
          <c:y val="1.26109294722092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59899488779101E-2"/>
          <c:y val="0.170364315740308"/>
          <c:w val="0.57741963434710997"/>
          <c:h val="0.54950957496496999"/>
        </c:manualLayout>
      </c:layout>
      <c:doughnutChart>
        <c:varyColors val="1"/>
        <c:ser>
          <c:idx val="0"/>
          <c:order val="0"/>
          <c:tx>
            <c:strRef>
              <c:f>Calc!$B$49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E3183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1CB-524E-8B89-35F440894E43}"/>
              </c:ext>
            </c:extLst>
          </c:dPt>
          <c:dPt>
            <c:idx val="1"/>
            <c:bubble3D val="0"/>
            <c:spPr>
              <a:solidFill>
                <a:srgbClr val="77933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1CB-524E-8B89-35F440894E43}"/>
              </c:ext>
            </c:extLst>
          </c:dPt>
          <c:dPt>
            <c:idx val="2"/>
            <c:bubble3D val="0"/>
            <c:spPr>
              <a:solidFill>
                <a:srgbClr val="F5A62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1CB-524E-8B89-35F440894E43}"/>
              </c:ext>
            </c:extLst>
          </c:dPt>
          <c:dPt>
            <c:idx val="3"/>
            <c:bubble3D val="0"/>
            <c:spPr>
              <a:solidFill>
                <a:srgbClr val="2980B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1CB-524E-8B89-35F440894E4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8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1CB-524E-8B89-35F440894E4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8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1CB-524E-8B89-35F440894E4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8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1CB-524E-8B89-35F440894E43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800" b="1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1CB-524E-8B89-35F440894E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8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Calc!$A$50:$A$53</c:f>
              <c:strCache>
                <c:ptCount val="4"/>
                <c:pt idx="0">
                  <c:v>Virtual</c:v>
                </c:pt>
                <c:pt idx="1">
                  <c:v>In-person (Tech/Office)</c:v>
                </c:pt>
                <c:pt idx="2">
                  <c:v>Virtual + In-person</c:v>
                </c:pt>
                <c:pt idx="3">
                  <c:v>In-person (Client)</c:v>
                </c:pt>
              </c:strCache>
            </c:strRef>
          </c:cat>
          <c:val>
            <c:numRef>
              <c:f>Calc!$B$50:$B$53</c:f>
              <c:numCache>
                <c:formatCode>General</c:formatCode>
                <c:ptCount val="4"/>
                <c:pt idx="0">
                  <c:v>112</c:v>
                </c:pt>
                <c:pt idx="1">
                  <c:v>40</c:v>
                </c:pt>
                <c:pt idx="2">
                  <c:v>9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1CB-524E-8B89-35F440894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2629728929766704"/>
          <c:y val="0.563175124650522"/>
          <c:w val="0.34311697705157301"/>
          <c:h val="0.41721164455727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05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050" b="1" strike="noStrike" spc="-1">
                <a:solidFill>
                  <a:srgbClr val="000000"/>
                </a:solidFill>
                <a:latin typeface="Calibri"/>
              </a:rPr>
              <a:t>Coverage by Connect Type</a:t>
            </a:r>
          </a:p>
        </c:rich>
      </c:tx>
      <c:layout>
        <c:manualLayout>
          <c:xMode val="edge"/>
          <c:yMode val="edge"/>
          <c:x val="0.56566612195751298"/>
          <c:y val="6.8001978239367003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8496602735013"/>
          <c:y val="6.5034619188921894E-2"/>
          <c:w val="0.58011524898942102"/>
          <c:h val="0.8919386745796239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Calc!$X$2</c:f>
              <c:strCache>
                <c:ptCount val="1"/>
                <c:pt idx="0">
                  <c:v>Sessions Covered</c:v>
                </c:pt>
              </c:strCache>
            </c:strRef>
          </c:tx>
          <c:spPr>
            <a:solidFill>
              <a:srgbClr val="E3183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Calc!$W$3:$W$10</c:f>
              <c:strCache>
                <c:ptCount val="8"/>
                <c:pt idx="0">
                  <c:v>HR Connect (General)</c:v>
                </c:pt>
                <c:pt idx="1">
                  <c:v>HR Connect (Project-Wise)</c:v>
                </c:pt>
                <c:pt idx="2">
                  <c:v>New Joinee Connect (7 Days)</c:v>
                </c:pt>
                <c:pt idx="3">
                  <c:v>New Joiner Connect (30 Days)</c:v>
                </c:pt>
                <c:pt idx="4">
                  <c:v>New Joiner Connect (60 Days)</c:v>
                </c:pt>
                <c:pt idx="5">
                  <c:v>New Joiner Connect (90 Days)</c:v>
                </c:pt>
                <c:pt idx="6">
                  <c:v>SL Induction</c:v>
                </c:pt>
                <c:pt idx="7">
                  <c:v>Townhall</c:v>
                </c:pt>
              </c:strCache>
            </c:strRef>
          </c:cat>
          <c:val>
            <c:numRef>
              <c:f>Calc!$X$3:$X$10</c:f>
              <c:numCache>
                <c:formatCode>General</c:formatCode>
                <c:ptCount val="8"/>
                <c:pt idx="0">
                  <c:v>25</c:v>
                </c:pt>
                <c:pt idx="1">
                  <c:v>22</c:v>
                </c:pt>
                <c:pt idx="2">
                  <c:v>16</c:v>
                </c:pt>
                <c:pt idx="3">
                  <c:v>9</c:v>
                </c:pt>
                <c:pt idx="4">
                  <c:v>6</c:v>
                </c:pt>
                <c:pt idx="5">
                  <c:v>4</c:v>
                </c:pt>
                <c:pt idx="6">
                  <c:v>7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6-1047-90D1-EF427BB6B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09852"/>
        <c:axId val="64345072"/>
      </c:barChart>
      <c:catAx>
        <c:axId val="1790985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345072"/>
        <c:crosses val="autoZero"/>
        <c:auto val="1"/>
        <c:lblAlgn val="ctr"/>
        <c:lblOffset val="100"/>
        <c:noMultiLvlLbl val="0"/>
      </c:catAx>
      <c:valAx>
        <c:axId val="643450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9098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Action Items: Status ×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Dashboard!$D$107</c:f>
              <c:strCache>
                <c:ptCount val="1"/>
                <c:pt idx="0">
                  <c:v>🔴 High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Dashboard!$C$108:$C$110</c:f>
              <c:strCache>
                <c:ptCount val="3"/>
                <c:pt idx="0">
                  <c:v>Open</c:v>
                </c:pt>
                <c:pt idx="1">
                  <c:v>In-progress</c:v>
                </c:pt>
                <c:pt idx="2">
                  <c:v>Closed</c:v>
                </c:pt>
              </c:strCache>
            </c:strRef>
          </c:cat>
          <c:val>
            <c:numRef>
              <c:f>Dashboard!$D$108:$D$110</c:f>
              <c:numCache>
                <c:formatCode>General</c:formatCode>
                <c:ptCount val="3"/>
                <c:pt idx="0">
                  <c:v>7</c:v>
                </c:pt>
                <c:pt idx="1">
                  <c:v>12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7C-074B-A40F-DB1A5B52B373}"/>
            </c:ext>
          </c:extLst>
        </c:ser>
        <c:ser>
          <c:idx val="1"/>
          <c:order val="1"/>
          <c:tx>
            <c:strRef>
              <c:f>Dashboard!$E$107</c:f>
              <c:strCache>
                <c:ptCount val="1"/>
                <c:pt idx="0">
                  <c:v>🟡 Moderate</c:v>
                </c:pt>
              </c:strCache>
            </c:strRef>
          </c:tx>
          <c:spPr>
            <a:solidFill>
              <a:srgbClr val="FF99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Dashboard!$C$108:$C$110</c:f>
              <c:strCache>
                <c:ptCount val="3"/>
                <c:pt idx="0">
                  <c:v>Open</c:v>
                </c:pt>
                <c:pt idx="1">
                  <c:v>In-progress</c:v>
                </c:pt>
                <c:pt idx="2">
                  <c:v>Closed</c:v>
                </c:pt>
              </c:strCache>
            </c:strRef>
          </c:cat>
          <c:val>
            <c:numRef>
              <c:f>Dashboard!$E$108:$E$110</c:f>
              <c:numCache>
                <c:formatCode>General</c:formatCode>
                <c:ptCount val="3"/>
                <c:pt idx="0">
                  <c:v>8</c:v>
                </c:pt>
                <c:pt idx="1">
                  <c:v>10</c:v>
                </c:pt>
                <c:pt idx="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7C-074B-A40F-DB1A5B52B373}"/>
            </c:ext>
          </c:extLst>
        </c:ser>
        <c:ser>
          <c:idx val="2"/>
          <c:order val="2"/>
          <c:tx>
            <c:strRef>
              <c:f>Dashboard!$F$107</c:f>
              <c:strCache>
                <c:ptCount val="1"/>
                <c:pt idx="0">
                  <c:v>🟢 Low</c:v>
                </c:pt>
              </c:strCache>
            </c:strRef>
          </c:tx>
          <c:spPr>
            <a:solidFill>
              <a:srgbClr val="37562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Dashboard!$C$108:$C$110</c:f>
              <c:strCache>
                <c:ptCount val="3"/>
                <c:pt idx="0">
                  <c:v>Open</c:v>
                </c:pt>
                <c:pt idx="1">
                  <c:v>In-progress</c:v>
                </c:pt>
                <c:pt idx="2">
                  <c:v>Closed</c:v>
                </c:pt>
              </c:strCache>
            </c:strRef>
          </c:cat>
          <c:val>
            <c:numRef>
              <c:f>Dashboard!$F$108:$F$110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7C-074B-A40F-DB1A5B52B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169198"/>
        <c:axId val="41708012"/>
      </c:barChart>
      <c:catAx>
        <c:axId val="491691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708012"/>
        <c:crosses val="autoZero"/>
        <c:auto val="1"/>
        <c:lblAlgn val="ctr"/>
        <c:lblOffset val="100"/>
        <c:noMultiLvlLbl val="0"/>
      </c:catAx>
      <c:valAx>
        <c:axId val="417080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1691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CARES Lever: Sessions by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9160632877447001"/>
          <c:y val="0.158617818484596"/>
          <c:w val="0.67632072941807497"/>
          <c:h val="0.6654177074660010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Dashboard!$E$148</c:f>
              <c:strCache>
                <c:ptCount val="1"/>
                <c:pt idx="0">
                  <c:v>High Sev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Dashboard!$C$149:$C$153</c:f>
              <c:strCache>
                <c:ptCount val="5"/>
                <c:pt idx="0">
                  <c:v>Alignment</c:v>
                </c:pt>
                <c:pt idx="1">
                  <c:v>Career</c:v>
                </c:pt>
                <c:pt idx="2">
                  <c:v>Empowerment</c:v>
                </c:pt>
                <c:pt idx="3">
                  <c:v>Recognition</c:v>
                </c:pt>
                <c:pt idx="4">
                  <c:v>Strive</c:v>
                </c:pt>
              </c:strCache>
            </c:strRef>
          </c:cat>
          <c:val>
            <c:numRef>
              <c:f>Dashboard!$E$149:$E$153</c:f>
              <c:numCache>
                <c:formatCode>General</c:formatCode>
                <c:ptCount val="5"/>
                <c:pt idx="0">
                  <c:v>13</c:v>
                </c:pt>
                <c:pt idx="1">
                  <c:v>7</c:v>
                </c:pt>
                <c:pt idx="2">
                  <c:v>10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8-D34F-BBEF-7CE368066A52}"/>
            </c:ext>
          </c:extLst>
        </c:ser>
        <c:ser>
          <c:idx val="1"/>
          <c:order val="1"/>
          <c:tx>
            <c:strRef>
              <c:f>Dashboard!$F$148</c:f>
              <c:strCache>
                <c:ptCount val="1"/>
                <c:pt idx="0">
                  <c:v>Mod Sev</c:v>
                </c:pt>
              </c:strCache>
            </c:strRef>
          </c:tx>
          <c:spPr>
            <a:solidFill>
              <a:srgbClr val="FF99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Dashboard!$C$149:$C$153</c:f>
              <c:strCache>
                <c:ptCount val="5"/>
                <c:pt idx="0">
                  <c:v>Alignment</c:v>
                </c:pt>
                <c:pt idx="1">
                  <c:v>Career</c:v>
                </c:pt>
                <c:pt idx="2">
                  <c:v>Empowerment</c:v>
                </c:pt>
                <c:pt idx="3">
                  <c:v>Recognition</c:v>
                </c:pt>
                <c:pt idx="4">
                  <c:v>Strive</c:v>
                </c:pt>
              </c:strCache>
            </c:strRef>
          </c:cat>
          <c:val>
            <c:numRef>
              <c:f>Dashboard!$F$149:$F$153</c:f>
              <c:numCache>
                <c:formatCode>General</c:formatCode>
                <c:ptCount val="5"/>
                <c:pt idx="0">
                  <c:v>43</c:v>
                </c:pt>
                <c:pt idx="1">
                  <c:v>12</c:v>
                </c:pt>
                <c:pt idx="2">
                  <c:v>14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8-D34F-BBEF-7CE368066A52}"/>
            </c:ext>
          </c:extLst>
        </c:ser>
        <c:ser>
          <c:idx val="2"/>
          <c:order val="2"/>
          <c:tx>
            <c:strRef>
              <c:f>Dashboard!$G$148</c:f>
              <c:strCache>
                <c:ptCount val="1"/>
                <c:pt idx="0">
                  <c:v>Low Sev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Dashboard!$C$149:$C$153</c:f>
              <c:strCache>
                <c:ptCount val="5"/>
                <c:pt idx="0">
                  <c:v>Alignment</c:v>
                </c:pt>
                <c:pt idx="1">
                  <c:v>Career</c:v>
                </c:pt>
                <c:pt idx="2">
                  <c:v>Empowerment</c:v>
                </c:pt>
                <c:pt idx="3">
                  <c:v>Recognition</c:v>
                </c:pt>
                <c:pt idx="4">
                  <c:v>Strive</c:v>
                </c:pt>
              </c:strCache>
            </c:strRef>
          </c:cat>
          <c:val>
            <c:numRef>
              <c:f>Dashboard!$G$149:$G$153</c:f>
              <c:numCache>
                <c:formatCode>General</c:formatCode>
                <c:ptCount val="5"/>
                <c:pt idx="0">
                  <c:v>41</c:v>
                </c:pt>
                <c:pt idx="1">
                  <c:v>3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8-D34F-BBEF-7CE368066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32932"/>
        <c:axId val="30156541"/>
      </c:barChart>
      <c:catAx>
        <c:axId val="4583293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156541"/>
        <c:crosses val="autoZero"/>
        <c:auto val="1"/>
        <c:lblAlgn val="ctr"/>
        <c:lblOffset val="100"/>
        <c:noMultiLvlLbl val="0"/>
      </c:catAx>
      <c:valAx>
        <c:axId val="3015654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Sessions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8329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Organizational Concerns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Calc!$AE$2</c:f>
              <c:strCache>
                <c:ptCount val="1"/>
                <c:pt idx="0">
                  <c:v>Mentions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Calc!$AD$3:$AD$12</c:f>
              <c:strCache>
                <c:ptCount val="10"/>
                <c:pt idx="0">
                  <c:v>Bench Policy &amp; Compliance Clarity</c:v>
                </c:pt>
                <c:pt idx="1">
                  <c:v>Upskilling &amp; Deployment Readiness</c:v>
                </c:pt>
                <c:pt idx="2">
                  <c:v>Initial Organization Understanding</c:v>
                </c:pt>
                <c:pt idx="3">
                  <c:v>HR Process Clarity</c:v>
                </c:pt>
                <c:pt idx="4">
                  <c:v>Policy &amp; Process Clarity</c:v>
                </c:pt>
                <c:pt idx="5">
                  <c:v>On Hybrid/WFO Rules And Monthly Compliance Expectations</c:v>
                </c:pt>
                <c:pt idx="6">
                  <c:v>Organization Policy Updates</c:v>
                </c:pt>
                <c:pt idx="7">
                  <c:v>Queries On Timesheet/attendance Compliance During Bench</c:v>
                </c:pt>
                <c:pt idx="8">
                  <c:v>Induction Effectiveness</c:v>
                </c:pt>
                <c:pt idx="9">
                  <c:v>Business &amp; Practice Awareness</c:v>
                </c:pt>
              </c:strCache>
            </c:strRef>
          </c:cat>
          <c:val>
            <c:numRef>
              <c:f>Calc!$AE$3:$AE$12</c:f>
              <c:numCache>
                <c:formatCode>General</c:formatCode>
                <c:ptCount val="10"/>
                <c:pt idx="0">
                  <c:v>14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57-44D9-B9EE-A3B6BFD58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96228"/>
        <c:axId val="12605965"/>
      </c:barChart>
      <c:catAx>
        <c:axId val="5679622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605965"/>
        <c:crosses val="autoZero"/>
        <c:auto val="1"/>
        <c:lblAlgn val="ctr"/>
        <c:lblOffset val="100"/>
        <c:noMultiLvlLbl val="0"/>
      </c:catAx>
      <c:valAx>
        <c:axId val="1260596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7962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149</xdr:row>
      <xdr:rowOff>162000</xdr:rowOff>
    </xdr:from>
    <xdr:to>
      <xdr:col>7</xdr:col>
      <xdr:colOff>1404930</xdr:colOff>
      <xdr:row>166</xdr:row>
      <xdr:rowOff>185760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155</xdr:row>
      <xdr:rowOff>0</xdr:rowOff>
    </xdr:from>
    <xdr:to>
      <xdr:col>17</xdr:col>
      <xdr:colOff>304649</xdr:colOff>
      <xdr:row>172</xdr:row>
      <xdr:rowOff>187200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70</xdr:row>
      <xdr:rowOff>0</xdr:rowOff>
    </xdr:from>
    <xdr:to>
      <xdr:col>15</xdr:col>
      <xdr:colOff>305009</xdr:colOff>
      <xdr:row>88</xdr:row>
      <xdr:rowOff>187560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  <a:ext uri="{147F2762-F138-4A5C-976F-8EAC2B608ADB}">
              <a16:predDERef xmlns:a16="http://schemas.microsoft.com/office/drawing/2014/main" pre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100800</xdr:colOff>
      <xdr:row>15</xdr:row>
      <xdr:rowOff>0</xdr:rowOff>
    </xdr:from>
    <xdr:to>
      <xdr:col>5</xdr:col>
      <xdr:colOff>254403</xdr:colOff>
      <xdr:row>33</xdr:row>
      <xdr:rowOff>62640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418680</xdr:colOff>
      <xdr:row>15</xdr:row>
      <xdr:rowOff>0</xdr:rowOff>
    </xdr:from>
    <xdr:to>
      <xdr:col>13</xdr:col>
      <xdr:colOff>112680</xdr:colOff>
      <xdr:row>33</xdr:row>
      <xdr:rowOff>28800</xdr:rowOff>
    </xdr:to>
    <xdr:graphicFrame macro="">
      <xdr:nvGraphicFramePr>
        <xdr:cNvPr id="12" name="Chart 4">
          <a:extLst>
            <a:ext uri="{FF2B5EF4-FFF2-40B4-BE49-F238E27FC236}">
              <a16:creationId xmlns:a16="http://schemas.microsoft.com/office/drawing/2014/main" id="{00000000-0008-0000-0200-000005000000}"/>
            </a:ext>
            <a:ext uri="{147F2762-F138-4A5C-976F-8EAC2B608ADB}">
              <a16:predDERef xmlns:a16="http://schemas.microsoft.com/office/drawing/2014/main" pre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204480</xdr:colOff>
      <xdr:row>15</xdr:row>
      <xdr:rowOff>33480</xdr:rowOff>
    </xdr:from>
    <xdr:to>
      <xdr:col>22</xdr:col>
      <xdr:colOff>237240</xdr:colOff>
      <xdr:row>33</xdr:row>
      <xdr:rowOff>51120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</xdr:col>
      <xdr:colOff>0</xdr:colOff>
      <xdr:row>35</xdr:row>
      <xdr:rowOff>0</xdr:rowOff>
    </xdr:from>
    <xdr:to>
      <xdr:col>10</xdr:col>
      <xdr:colOff>304290</xdr:colOff>
      <xdr:row>52</xdr:row>
      <xdr:rowOff>168120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12</xdr:col>
      <xdr:colOff>0</xdr:colOff>
      <xdr:row>35</xdr:row>
      <xdr:rowOff>0</xdr:rowOff>
    </xdr:from>
    <xdr:to>
      <xdr:col>21</xdr:col>
      <xdr:colOff>660</xdr:colOff>
      <xdr:row>51</xdr:row>
      <xdr:rowOff>168120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0</xdr:colOff>
      <xdr:row>105</xdr:row>
      <xdr:rowOff>62640</xdr:rowOff>
    </xdr:from>
    <xdr:to>
      <xdr:col>19</xdr:col>
      <xdr:colOff>467280</xdr:colOff>
      <xdr:row>118</xdr:row>
      <xdr:rowOff>69480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146520</xdr:colOff>
      <xdr:row>146</xdr:row>
      <xdr:rowOff>115200</xdr:rowOff>
    </xdr:from>
    <xdr:to>
      <xdr:col>21</xdr:col>
      <xdr:colOff>151995</xdr:colOff>
      <xdr:row>152</xdr:row>
      <xdr:rowOff>212792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19050</xdr:colOff>
      <xdr:row>134</xdr:row>
      <xdr:rowOff>200025</xdr:rowOff>
    </xdr:from>
    <xdr:to>
      <xdr:col>18</xdr:col>
      <xdr:colOff>76200</xdr:colOff>
      <xdr:row>144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64856D6-FAF3-45CE-8584-49338FC205C1}"/>
            </a:ext>
            <a:ext uri="{147F2762-F138-4A5C-976F-8EAC2B608ADB}">
              <a16:predDERef xmlns:a16="http://schemas.microsoft.com/office/drawing/2014/main" pre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awData" displayName="RawData" ref="A1:CY5001" totalsRowShown="0" headerRowDxfId="104" dataDxfId="103">
  <autoFilter ref="A1:CY5001" xr:uid="{00000000-0009-0000-0100-000002000000}"/>
  <tableColumns count="103">
    <tableColumn id="1" xr3:uid="{00000000-0010-0000-0000-000001000000}" name="ID" dataDxfId="102"/>
    <tableColumn id="2" xr3:uid="{00000000-0010-0000-0000-000002000000}" name="Start time" dataDxfId="101"/>
    <tableColumn id="3" xr3:uid="{00000000-0010-0000-0000-000003000000}" name="Completion time" dataDxfId="100"/>
    <tableColumn id="4" xr3:uid="{00000000-0010-0000-0000-000004000000}" name="Email" dataDxfId="99"/>
    <tableColumn id="5" xr3:uid="{00000000-0010-0000-0000-000005000000}" name="Name" dataDxfId="98"/>
    <tableColumn id="6" xr3:uid="{00000000-0010-0000-0000-000006000000}" name="BHR Name" dataDxfId="97"/>
    <tableColumn id="7" xr3:uid="{00000000-0010-0000-0000-000007000000}" name="BHR Employee ID" dataDxfId="96"/>
    <tableColumn id="8" xr3:uid="{00000000-0010-0000-0000-000008000000}" name="Date of Connect" dataDxfId="95"/>
    <tableColumn id="9" xr3:uid="{00000000-0010-0000-0000-000009000000}" name="Engagement Type" dataDxfId="94"/>
    <tableColumn id="10" xr3:uid="{00000000-0010-0000-0000-00000A000000}" name="IBU/Practice/Location" dataDxfId="93"/>
    <tableColumn id="11" xr3:uid="{00000000-0010-0000-0000-00000B000000}" name="Mention your location {Ex. Noida}" dataDxfId="92"/>
    <tableColumn id="12" xr3:uid="{00000000-0010-0000-0000-00000C000000}" name="PRACTICE CODE (As per head count report) {Ex. DEA-D-2007}" dataDxfId="91"/>
    <tableColumn id="13" xr3:uid="{00000000-0010-0000-0000-00000D000000}" name="Band" dataDxfId="90"/>
    <tableColumn id="14" xr3:uid="{00000000-0010-0000-0000-00000E000000}" name="Engagement Mode" dataDxfId="89"/>
    <tableColumn id="15" xr3:uid="{00000000-0010-0000-0000-00000F000000}" name="Service Line" dataDxfId="88"/>
    <tableColumn id="16" xr3:uid="{00000000-0010-0000-0000-000010000000}" name="EMPLOYEE IBU CODE (As per head count report) {Ex. DEA-D-4031}" dataDxfId="87"/>
    <tableColumn id="17" xr3:uid="{00000000-0010-0000-0000-000011000000}" name="PROJECT DESCRIPTION (As per head count report) {If Mixed then list down all the Project name/Practice/ SL}" dataDxfId="86"/>
    <tableColumn id="22" xr3:uid="{00000000-0010-0000-0000-000016000000}" name="LSA Connect (In detail)" dataDxfId="85"/>
    <tableColumn id="23" xr3:uid="{00000000-0010-0000-0000-000017000000}" name="Exclusive Award Ceremony (Not part of Townhall) (In detail)" dataDxfId="84"/>
    <tableColumn id="26" xr3:uid="{00000000-0010-0000-0000-00001A000000}" name="Cadence Connect" dataDxfId="83"/>
    <tableColumn id="29" xr3:uid="{00000000-0010-0000-0000-00001D000000}" name="CARES Framework" dataDxfId="82"/>
    <tableColumn id="30" xr3:uid="{00000000-0010-0000-0000-00001E000000}" name="Career" dataDxfId="81"/>
    <tableColumn id="31" xr3:uid="{00000000-0010-0000-0000-00001F000000}" name="Alignment" dataDxfId="80"/>
    <tableColumn id="32" xr3:uid="{00000000-0010-0000-0000-000020000000}" name="Recognition" dataDxfId="79"/>
    <tableColumn id="33" xr3:uid="{00000000-0010-0000-0000-000021000000}" name="Empowerment" dataDxfId="78"/>
    <tableColumn id="34" xr3:uid="{00000000-0010-0000-0000-000022000000}" name="Strive" dataDxfId="77"/>
    <tableColumn id="35" xr3:uid="{00000000-0010-0000-0000-000023000000}" name="Townhall - Coverage" dataDxfId="76"/>
    <tableColumn id="36" xr3:uid="{00000000-0010-0000-0000-000024000000}" name="Townhall - Key Insight_x000a_" dataDxfId="75"/>
    <tableColumn id="37" xr3:uid="{00000000-0010-0000-0000-000025000000}" name=" Townhall - Action Plan" dataDxfId="74"/>
    <tableColumn id="38" xr3:uid="{00000000-0010-0000-0000-000026000000}" name="SL Induction - Coverage" dataDxfId="73"/>
    <tableColumn id="39" xr3:uid="{00000000-0010-0000-0000-000027000000}" name="SL Induction - Key Insight" dataDxfId="72"/>
    <tableColumn id="40" xr3:uid="{00000000-0010-0000-0000-000028000000}" name="SL Induction - Action Plan" dataDxfId="71"/>
    <tableColumn id="41" xr3:uid="{00000000-0010-0000-0000-000029000000}" name="Business Wait Connect - Coverage" dataDxfId="70"/>
    <tableColumn id="42" xr3:uid="{00000000-0010-0000-0000-00002A000000}" name="Business Wait Connect - Key Insight" dataDxfId="69"/>
    <tableColumn id="43" xr3:uid="{00000000-0010-0000-0000-00002B000000}" name="Business Wait Connect - Action Plan" dataDxfId="68"/>
    <tableColumn id="44" xr3:uid="{00000000-0010-0000-0000-00002C000000}" name="ELTP Connect (Practice Level) - Coverage" dataDxfId="67"/>
    <tableColumn id="45" xr3:uid="{00000000-0010-0000-0000-00002D000000}" name="ELTP Connect (Practice Level) - Key Insight" dataDxfId="66"/>
    <tableColumn id="46" xr3:uid="{00000000-0010-0000-0000-00002E000000}" name="ELTP Connect (Practice Level) - Action Plan_x000a_" dataDxfId="65"/>
    <tableColumn id="47" xr3:uid="{00000000-0010-0000-0000-00002F000000}" name="ELTP Connect (&lt;6m) - Coverage" dataDxfId="64"/>
    <tableColumn id="48" xr3:uid="{00000000-0010-0000-0000-000030000000}" name="ELTP Connect (&lt;6m) - Key Insight" dataDxfId="63"/>
    <tableColumn id="49" xr3:uid="{00000000-0010-0000-0000-000031000000}" name="ELTP Connect (&lt;6m) - Action Plan" dataDxfId="62"/>
    <tableColumn id="50" xr3:uid="{00000000-0010-0000-0000-000032000000}" name="ELTP Connect (6-12m) - Coverage" dataDxfId="61"/>
    <tableColumn id="51" xr3:uid="{00000000-0010-0000-0000-000033000000}" name="ELTP Connect (6-12m) - Key Insight" dataDxfId="60"/>
    <tableColumn id="52" xr3:uid="{00000000-0010-0000-0000-000034000000}" name="ELTP Connect (6-12m) - Action Plan" dataDxfId="59"/>
    <tableColumn id="53" xr3:uid="{00000000-0010-0000-0000-000035000000}" name="ELTP Connect (12-24m) - Coverage" dataDxfId="58"/>
    <tableColumn id="54" xr3:uid="{00000000-0010-0000-0000-000036000000}" name="ELTP Connect (12-24m) - Key Insight" dataDxfId="57"/>
    <tableColumn id="55" xr3:uid="{00000000-0010-0000-0000-000037000000}" name="ELTP Connect (12-24m) - Action Plan" dataDxfId="56"/>
    <tableColumn id="56" xr3:uid="{00000000-0010-0000-0000-000038000000}" name="HR Connect (Project Wise) - Coverage" dataDxfId="55"/>
    <tableColumn id="57" xr3:uid="{00000000-0010-0000-0000-000039000000}" name="HR Connect (Project Wise) - Key Insights " dataDxfId="54"/>
    <tableColumn id="58" xr3:uid="{00000000-0010-0000-0000-00003A000000}" name="HR Connect (Project Wise) - Action Plan" dataDxfId="53"/>
    <tableColumn id="59" xr3:uid="{00000000-0010-0000-0000-00003B000000}" name="HR Connect (General) - Coverage" dataDxfId="52"/>
    <tableColumn id="60" xr3:uid="{00000000-0010-0000-0000-00003C000000}" name="HR Connect (General) - Key Insights" dataDxfId="51"/>
    <tableColumn id="61" xr3:uid="{00000000-0010-0000-0000-00003D000000}" name="HR Connect (General) - Action Plan" dataDxfId="50"/>
    <tableColumn id="62" xr3:uid="{00000000-0010-0000-0000-00003E000000}" name="Top Talent Connect - Coverage" dataDxfId="49"/>
    <tableColumn id="63" xr3:uid="{00000000-0010-0000-0000-00003F000000}" name="Top Talent Connect - Key Insights" dataDxfId="48"/>
    <tableColumn id="64" xr3:uid="{00000000-0010-0000-0000-000040000000}" name="Top Talent Connect - Action Plan" dataDxfId="47"/>
    <tableColumn id="65" xr3:uid="{00000000-0010-0000-0000-000041000000}" name="Top Talent FGD Connect - Coverage" dataDxfId="46"/>
    <tableColumn id="66" xr3:uid="{00000000-0010-0000-0000-000042000000}" name="Top Talent FGD Connect - Key Insights" dataDxfId="45"/>
    <tableColumn id="67" xr3:uid="{00000000-0010-0000-0000-000043000000}" name="Top Talent FGD Connect - Action Plan" dataDxfId="44"/>
    <tableColumn id="68" xr3:uid="{00000000-0010-0000-0000-000044000000}" name="New Joiner Connect (7 Days) - Coverage" dataDxfId="43"/>
    <tableColumn id="69" xr3:uid="{00000000-0010-0000-0000-000045000000}" name="New Joiner Connect (7 Days) - Key Insights" dataDxfId="42"/>
    <tableColumn id="70" xr3:uid="{00000000-0010-0000-0000-000046000000}" name="New Joiner Connect (7 Days) - Action Plan" dataDxfId="41"/>
    <tableColumn id="71" xr3:uid="{00000000-0010-0000-0000-000047000000}" name="New Joiner Connect (30 Days) - Coverage" dataDxfId="40"/>
    <tableColumn id="72" xr3:uid="{00000000-0010-0000-0000-000048000000}" name="New Joiner Connect (30 Days) - Key Insights" dataDxfId="39"/>
    <tableColumn id="73" xr3:uid="{00000000-0010-0000-0000-000049000000}" name="New Joiner Connect (30 Days) - Action Plan" dataDxfId="38"/>
    <tableColumn id="74" xr3:uid="{00000000-0010-0000-0000-00004A000000}" name="New Joiner Connect (60 Days) - Coverage" dataDxfId="37"/>
    <tableColumn id="75" xr3:uid="{00000000-0010-0000-0000-00004B000000}" name="New Joiner Connect (60 Days) - Key Insights" dataDxfId="36"/>
    <tableColumn id="76" xr3:uid="{00000000-0010-0000-0000-00004C000000}" name="New Joiner Connect (60 Days) - Action Plan" dataDxfId="35"/>
    <tableColumn id="77" xr3:uid="{00000000-0010-0000-0000-00004D000000}" name="New Joiner Connect (90 Days) - Coverage" dataDxfId="34"/>
    <tableColumn id="78" xr3:uid="{00000000-0010-0000-0000-00004E000000}" name="New Joiner Connect (90 Days) - Key Insights" dataDxfId="33"/>
    <tableColumn id="79" xr3:uid="{00000000-0010-0000-0000-00004F000000}" name="New Joiner Connect (90 Days) - Action Plan" dataDxfId="32"/>
    <tableColumn id="80" xr3:uid="{00000000-0010-0000-0000-000050000000}" name="ML Returnee Connect - Coverage" dataDxfId="31"/>
    <tableColumn id="81" xr3:uid="{00000000-0010-0000-0000-000051000000}" name="ML Returnee Connect - Key Insights" dataDxfId="30"/>
    <tableColumn id="82" xr3:uid="{00000000-0010-0000-0000-000052000000}" name="ML Returnee Connect - Action Plan" dataDxfId="29"/>
    <tableColumn id="83" xr3:uid="{00000000-0010-0000-0000-000053000000}" name="Skip Meeting - Coverage" dataDxfId="28"/>
    <tableColumn id="84" xr3:uid="{00000000-0010-0000-0000-000054000000}" name="Skip Meeting - Key Insights" dataDxfId="27"/>
    <tableColumn id="85" xr3:uid="{00000000-0010-0000-0000-000055000000}" name="Skip Meeting - Action Plan" dataDxfId="26"/>
    <tableColumn id="86" xr3:uid="{00000000-0010-0000-0000-000056000000}" name="Women Associate Connect - Coverage" dataDxfId="25"/>
    <tableColumn id="87" xr3:uid="{00000000-0010-0000-0000-000057000000}" name="Women Associate Connect - Key Insights" dataDxfId="24"/>
    <tableColumn id="88" xr3:uid="{00000000-0010-0000-0000-000058000000}" name="Women Associate Connect - Action Plan" dataDxfId="23"/>
    <tableColumn id="89" xr3:uid="{00000000-0010-0000-0000-000059000000}" name="Band Specific FGD Connect - Coverage" dataDxfId="22"/>
    <tableColumn id="90" xr3:uid="{00000000-0010-0000-0000-00005A000000}" name="Band Specific FGD Connect - Key Insights" dataDxfId="21"/>
    <tableColumn id="91" xr3:uid="{00000000-0010-0000-0000-00005B000000}" name="Band Specific FGD Connect - Action Plan" dataDxfId="20"/>
    <tableColumn id="92" xr3:uid="{00000000-0010-0000-0000-00005C000000}" name="Leadership Connect - Coverage" dataDxfId="19"/>
    <tableColumn id="93" xr3:uid="{00000000-0010-0000-0000-00005D000000}" name="Leadership Connect - Key Insights" dataDxfId="18"/>
    <tableColumn id="94" xr3:uid="{00000000-0010-0000-0000-00005E000000}" name="Leadership Connect - Action Plan" dataDxfId="17"/>
    <tableColumn id="96" xr3:uid="{00000000-0010-0000-0000-000060000000}" name="Josh (Fun Engagements) - Coverage" dataDxfId="16"/>
    <tableColumn id="97" xr3:uid="{00000000-0010-0000-0000-000061000000}" name="Josh (Fun Engagements) - Key Insights" dataDxfId="15"/>
    <tableColumn id="99" xr3:uid="{00000000-0010-0000-0000-000063000000}" name="Josh (Fun Engagements) - Action Plan" dataDxfId="14"/>
    <tableColumn id="100" xr3:uid="{00000000-0010-0000-0000-000064000000}" name="Wellness Session - Coverage" dataDxfId="13"/>
    <tableColumn id="101" xr3:uid="{00000000-0010-0000-0000-000065000000}" name="Wellness Session - Key Insights" dataDxfId="12"/>
    <tableColumn id="102" xr3:uid="{00000000-0010-0000-0000-000066000000}" name="Wellness Session - Action Plan" dataDxfId="11"/>
    <tableColumn id="103" xr3:uid="{00000000-0010-0000-0000-000067000000}" name="ISR Activity - Coverage" dataDxfId="10"/>
    <tableColumn id="104" xr3:uid="{00000000-0010-0000-0000-000068000000}" name="ISR Activity - Key Insights" dataDxfId="9"/>
    <tableColumn id="105" xr3:uid="{00000000-0010-0000-0000-000069000000}" name="ISR Activity - Action Plan" dataDxfId="8"/>
    <tableColumn id="106" xr3:uid="{00000000-0010-0000-0000-00006A000000}" name="Overall Sentiment" dataDxfId="7"/>
    <tableColumn id="107" xr3:uid="{00000000-0010-0000-0000-00006B000000}" name="Action Owner" dataDxfId="6"/>
    <tableColumn id="98" xr3:uid="{00000000-0010-0000-0000-000062000000}" name="Engagement related Queries" dataDxfId="5"/>
    <tableColumn id="108" xr3:uid="{00000000-0010-0000-0000-00006C000000}" name="Severity" dataDxfId="4"/>
    <tableColumn id="109" xr3:uid="{00000000-0010-0000-0000-00006D000000}" name="Status" dataDxfId="3"/>
    <tableColumn id="19" xr3:uid="{1295F4AB-085C-4BDB-BC6A-4F17B54574FD}" name="IBU Level Connect (Points discussed if any)" dataDxfId="2"/>
    <tableColumn id="20" xr3:uid="{4CB79B4E-AA6C-486D-A5F6-A7FFA200AFD1}" name="SL Level Connect (Points discussed if any)" dataDxfId="1"/>
    <tableColumn id="21" xr3:uid="{F84B73C3-DBBB-4FBF-B0DF-8315712BE2CF}" name="Practice Level Connect ( (Points discussed if any)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SummaryData" displayName="SummaryData" ref="A1:AA5002" totalsRowShown="0">
  <tableColumns count="27">
    <tableColumn id="1" xr3:uid="{00000000-0010-0000-0100-000001000000}" name="ID"/>
    <tableColumn id="2" xr3:uid="{00000000-0010-0000-0100-000002000000}" name="Start time"/>
    <tableColumn id="3" xr3:uid="{00000000-0010-0000-0100-000003000000}" name="Completion time"/>
    <tableColumn id="4" xr3:uid="{00000000-0010-0000-0100-000004000000}" name="Email"/>
    <tableColumn id="5" xr3:uid="{00000000-0010-0000-0100-000005000000}" name="Name"/>
    <tableColumn id="6" xr3:uid="{00000000-0010-0000-0100-000006000000}" name="BHR Name"/>
    <tableColumn id="7" xr3:uid="{00000000-0010-0000-0100-000007000000}" name="BHR Employee ID"/>
    <tableColumn id="8" xr3:uid="{00000000-0010-0000-0100-000008000000}" name="Date of Connect"/>
    <tableColumn id="9" xr3:uid="{00000000-0010-0000-0100-000009000000}" name="Service Line"/>
    <tableColumn id="10" xr3:uid="{00000000-0010-0000-0100-00000A000000}" name="IBU/Practice/Location"/>
    <tableColumn id="11" xr3:uid="{00000000-0010-0000-0100-00000B000000}" name="Location Mentioned"/>
    <tableColumn id="12" xr3:uid="{00000000-0010-0000-0100-00000C000000}" name="Practice Code"/>
    <tableColumn id="13" xr3:uid="{00000000-0010-0000-0100-00000D000000}" name="Employee IBU Code"/>
    <tableColumn id="14" xr3:uid="{00000000-0010-0000-0100-00000E000000}" name="Project Description"/>
    <tableColumn id="15" xr3:uid="{00000000-0010-0000-0100-00000F000000}" name="Engagement Type"/>
    <tableColumn id="16" xr3:uid="{00000000-0010-0000-0100-000010000000}" name="Band"/>
    <tableColumn id="17" xr3:uid="{00000000-0010-0000-0100-000011000000}" name="Engagement Mode"/>
    <tableColumn id="18" xr3:uid="{00000000-0010-0000-0100-000012000000}" name="CARES Framework"/>
    <tableColumn id="19" xr3:uid="{00000000-0010-0000-0100-000013000000}" name="Overall Sentiment"/>
    <tableColumn id="20" xr3:uid="{00000000-0010-0000-0100-000014000000}" name="Action Owner"/>
    <tableColumn id="21" xr3:uid="{00000000-0010-0000-0100-000015000000}" name="Engagement related Queries"/>
    <tableColumn id="22" xr3:uid="{00000000-0010-0000-0100-000016000000}" name="Severity"/>
    <tableColumn id="23" xr3:uid="{00000000-0010-0000-0100-000017000000}" name="Status"/>
    <tableColumn id="24" xr3:uid="{00000000-0010-0000-0100-000018000000}" name="Engagement Cohort"/>
    <tableColumn id="25" xr3:uid="{00000000-0010-0000-0100-000019000000}" name="Record Type"/>
    <tableColumn id="26" xr3:uid="{00000000-0010-0000-0100-00001A000000}" name="Statement Order"/>
    <tableColumn id="27" xr3:uid="{00000000-0010-0000-0100-00001B000000}" name="Statemen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InsightData" displayName="InsightData" ref="A1:AL5001" totalsRowShown="0">
  <autoFilter ref="A1:AL5001" xr:uid="{00000000-0009-0000-0100-000001000000}">
    <filterColumn colId="21">
      <filters>
        <filter val="High"/>
      </filters>
    </filterColumn>
    <filterColumn colId="22">
      <filters>
        <filter val="In-progress"/>
        <filter val="Open"/>
      </filters>
    </filterColumn>
  </autoFilter>
  <tableColumns count="38">
    <tableColumn id="1" xr3:uid="{00000000-0010-0000-0200-000001000000}" name="ID"/>
    <tableColumn id="2" xr3:uid="{00000000-0010-0000-0200-000002000000}" name="Start time"/>
    <tableColumn id="3" xr3:uid="{00000000-0010-0000-0200-000003000000}" name="Completion time"/>
    <tableColumn id="4" xr3:uid="{00000000-0010-0000-0200-000004000000}" name="Email"/>
    <tableColumn id="5" xr3:uid="{00000000-0010-0000-0200-000005000000}" name="Name"/>
    <tableColumn id="6" xr3:uid="{00000000-0010-0000-0200-000006000000}" name="BHR Name"/>
    <tableColumn id="7" xr3:uid="{00000000-0010-0000-0200-000007000000}" name="BHR Employee ID"/>
    <tableColumn id="8" xr3:uid="{00000000-0010-0000-0200-000008000000}" name="Date of Connect"/>
    <tableColumn id="9" xr3:uid="{00000000-0010-0000-0200-000009000000}" name="Service Line"/>
    <tableColumn id="10" xr3:uid="{00000000-0010-0000-0200-00000A000000}" name="IBU/Practice/Location"/>
    <tableColumn id="11" xr3:uid="{00000000-0010-0000-0200-00000B000000}" name="Location Mentioned"/>
    <tableColumn id="12" xr3:uid="{00000000-0010-0000-0200-00000C000000}" name="Practice Code"/>
    <tableColumn id="13" xr3:uid="{00000000-0010-0000-0200-00000D000000}" name="Employee IBU Code"/>
    <tableColumn id="14" xr3:uid="{00000000-0010-0000-0200-00000E000000}" name="Project Description"/>
    <tableColumn id="15" xr3:uid="{00000000-0010-0000-0200-00000F000000}" name="Engagement Type"/>
    <tableColumn id="16" xr3:uid="{00000000-0010-0000-0200-000010000000}" name="Band"/>
    <tableColumn id="17" xr3:uid="{00000000-0010-0000-0200-000011000000}" name="Engagement Mode"/>
    <tableColumn id="18" xr3:uid="{00000000-0010-0000-0200-000012000000}" name="CARES Framework"/>
    <tableColumn id="19" xr3:uid="{00000000-0010-0000-0200-000013000000}" name="Overall Sentiment"/>
    <tableColumn id="20" xr3:uid="{00000000-0010-0000-0200-000014000000}" name="Action Owner"/>
    <tableColumn id="21" xr3:uid="{00000000-0010-0000-0200-000015000000}" name="Engagement related Queries"/>
    <tableColumn id="22" xr3:uid="{00000000-0010-0000-0200-000016000000}" name="Severity"/>
    <tableColumn id="23" xr3:uid="{00000000-0010-0000-0200-000017000000}" name="Status"/>
    <tableColumn id="24" xr3:uid="{00000000-0010-0000-0200-000018000000}" name="Selected Connect"/>
    <tableColumn id="25" xr3:uid="{00000000-0010-0000-0200-000019000000}" name="Matched Connect Name"/>
    <tableColumn id="26" xr3:uid="{00000000-0010-0000-0200-00001A000000}" name="Coverage"/>
    <tableColumn id="27" xr3:uid="{00000000-0010-0000-0200-00001B000000}" name="Coverage 2"/>
    <tableColumn id="28" xr3:uid="{00000000-0010-0000-0200-00001C000000}" name="Coverage 3"/>
    <tableColumn id="29" xr3:uid="{00000000-0010-0000-0200-00001D000000}" name="Coverage 4"/>
    <tableColumn id="30" xr3:uid="{00000000-0010-0000-0200-00001E000000}" name="Coverage 5"/>
    <tableColumn id="31" xr3:uid="{00000000-0010-0000-0200-00001F000000}" name="Coverage 6"/>
    <tableColumn id="32" xr3:uid="{00000000-0010-0000-0200-000020000000}" name="Coverage 7"/>
    <tableColumn id="33" xr3:uid="{00000000-0010-0000-0200-000021000000}" name="Action Plan"/>
    <tableColumn id="34" xr3:uid="{00000000-0010-0000-0200-000022000000}" name="Action Plan 2"/>
    <tableColumn id="35" xr3:uid="{00000000-0010-0000-0200-000023000000}" name="Action Plan 3"/>
    <tableColumn id="36" xr3:uid="{00000000-0010-0000-0200-000024000000}" name="Action Plan 4"/>
    <tableColumn id="37" xr3:uid="{00000000-0010-0000-0200-000025000000}" name="Description"/>
    <tableColumn id="38" xr3:uid="{4D0C1B06-8681-6848-8364-1EAEA2175B3C}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nmatchedData" displayName="UnmatchedData" ref="A1:C5001" totalsRowShown="0">
  <autoFilter ref="A1:C5001" xr:uid="{00000000-0009-0000-0100-000004000000}"/>
  <tableColumns count="3">
    <tableColumn id="1" xr3:uid="{00000000-0010-0000-0300-000001000000}" name="ID"/>
    <tableColumn id="2" xr3:uid="{00000000-0010-0000-0300-000002000000}" name="Selected Connect"/>
    <tableColumn id="3" xr3:uid="{00000000-0010-0000-0300-000003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5001"/>
  <sheetViews>
    <sheetView zoomScaleNormal="100" workbookViewId="0">
      <pane xSplit="4" ySplit="3" topLeftCell="CK176" activePane="bottomRight" state="frozen"/>
      <selection pane="bottomRight" sqref="A1:CY166"/>
      <selection pane="bottomLeft" activeCell="A4" sqref="A4"/>
      <selection pane="topRight" activeCell="E1" sqref="E1"/>
    </sheetView>
  </sheetViews>
  <sheetFormatPr defaultColWidth="8.7109375" defaultRowHeight="15"/>
  <cols>
    <col min="1" max="1" width="8" style="1" customWidth="1"/>
    <col min="2" max="3" width="15.42578125" style="2" customWidth="1"/>
    <col min="4" max="4" width="8" style="1" customWidth="1"/>
    <col min="5" max="5" width="14.42578125" style="1" customWidth="1"/>
    <col min="6" max="6" width="17.42578125" style="1" customWidth="1"/>
    <col min="7" max="7" width="8" style="1" customWidth="1"/>
    <col min="8" max="8" width="15" style="2" customWidth="1"/>
    <col min="9" max="9" width="14.7109375" style="2" customWidth="1"/>
    <col min="10" max="10" width="10.85546875" style="1" customWidth="1"/>
    <col min="11" max="11" width="28.7109375" style="1" customWidth="1"/>
    <col min="12" max="15" width="22" style="1" customWidth="1"/>
    <col min="16" max="16" width="13.42578125" style="1" customWidth="1"/>
    <col min="17" max="17" width="8" style="1" customWidth="1"/>
    <col min="18" max="18" width="9.85546875" style="1" customWidth="1"/>
    <col min="19" max="19" width="20.7109375" style="1" customWidth="1"/>
    <col min="20" max="20" width="8" style="1" customWidth="1"/>
    <col min="21" max="22" width="20.7109375" style="1" customWidth="1"/>
    <col min="23" max="66" width="22" style="1" customWidth="1"/>
    <col min="67" max="67" width="20.7109375" style="1" customWidth="1"/>
    <col min="68" max="84" width="22" style="1" customWidth="1"/>
    <col min="85" max="85" width="20.7109375" style="1" customWidth="1"/>
    <col min="86" max="86" width="22" style="1" customWidth="1"/>
    <col min="87" max="87" width="15.28515625" style="1" customWidth="1"/>
    <col min="88" max="88" width="10.85546875" style="1" customWidth="1"/>
    <col min="90" max="90" width="11.28515625" style="1" customWidth="1"/>
    <col min="91" max="91" width="12.28515625" style="1" customWidth="1"/>
    <col min="92" max="92" width="9.42578125" style="1" customWidth="1"/>
    <col min="93" max="93" width="10.140625" style="1" customWidth="1"/>
    <col min="94" max="94" width="9.7109375" style="1" customWidth="1"/>
    <col min="95" max="95" width="10.28515625" style="1" customWidth="1"/>
    <col min="96" max="96" width="10.42578125" style="1" customWidth="1"/>
    <col min="97" max="97" width="10.28515625" style="1" customWidth="1"/>
    <col min="98" max="98" width="10.85546875" style="1" customWidth="1"/>
    <col min="99" max="99" width="22" style="1" customWidth="1"/>
    <col min="100" max="100" width="8.7109375" style="1"/>
    <col min="101" max="101" width="14.140625" style="1" customWidth="1"/>
    <col min="102" max="111" width="8.7109375" style="144"/>
    <col min="112" max="16384" width="8.7109375" style="143"/>
  </cols>
  <sheetData>
    <row r="1" spans="1:111" ht="39" customHeight="1">
      <c r="A1" s="140" t="s">
        <v>0</v>
      </c>
      <c r="B1" s="141" t="s">
        <v>1</v>
      </c>
      <c r="C1" s="141" t="s">
        <v>2</v>
      </c>
      <c r="D1" s="140" t="s">
        <v>3</v>
      </c>
      <c r="E1" s="140" t="s">
        <v>4</v>
      </c>
      <c r="F1" s="140" t="s">
        <v>5</v>
      </c>
      <c r="G1" s="140" t="s">
        <v>6</v>
      </c>
      <c r="H1" s="141" t="s">
        <v>7</v>
      </c>
      <c r="I1" s="141" t="s">
        <v>8</v>
      </c>
      <c r="J1" s="140" t="s">
        <v>9</v>
      </c>
      <c r="K1" s="140" t="s">
        <v>10</v>
      </c>
      <c r="L1" s="140" t="s">
        <v>11</v>
      </c>
      <c r="M1" s="140" t="s">
        <v>12</v>
      </c>
      <c r="N1" s="140" t="s">
        <v>13</v>
      </c>
      <c r="O1" s="140" t="s">
        <v>14</v>
      </c>
      <c r="P1" s="140" t="s">
        <v>15</v>
      </c>
      <c r="Q1" s="140" t="s">
        <v>16</v>
      </c>
      <c r="R1" s="140" t="s">
        <v>17</v>
      </c>
      <c r="S1" s="140" t="s">
        <v>18</v>
      </c>
      <c r="T1" s="140" t="s">
        <v>19</v>
      </c>
      <c r="U1" s="140" t="s">
        <v>20</v>
      </c>
      <c r="V1" s="140" t="s">
        <v>21</v>
      </c>
      <c r="W1" s="140" t="s">
        <v>22</v>
      </c>
      <c r="X1" s="140" t="s">
        <v>23</v>
      </c>
      <c r="Y1" s="140" t="s">
        <v>24</v>
      </c>
      <c r="Z1" s="140" t="s">
        <v>25</v>
      </c>
      <c r="AA1" s="140" t="s">
        <v>26</v>
      </c>
      <c r="AB1" s="140" t="s">
        <v>27</v>
      </c>
      <c r="AC1" s="140" t="s">
        <v>28</v>
      </c>
      <c r="AD1" s="140" t="s">
        <v>29</v>
      </c>
      <c r="AE1" s="140" t="s">
        <v>30</v>
      </c>
      <c r="AF1" s="140" t="s">
        <v>31</v>
      </c>
      <c r="AG1" s="140" t="s">
        <v>32</v>
      </c>
      <c r="AH1" s="140" t="s">
        <v>33</v>
      </c>
      <c r="AI1" s="140" t="s">
        <v>34</v>
      </c>
      <c r="AJ1" s="140" t="s">
        <v>35</v>
      </c>
      <c r="AK1" s="140" t="s">
        <v>36</v>
      </c>
      <c r="AL1" s="140" t="s">
        <v>37</v>
      </c>
      <c r="AM1" s="140" t="s">
        <v>38</v>
      </c>
      <c r="AN1" s="140" t="s">
        <v>39</v>
      </c>
      <c r="AO1" s="140" t="s">
        <v>40</v>
      </c>
      <c r="AP1" s="140" t="s">
        <v>41</v>
      </c>
      <c r="AQ1" s="140" t="s">
        <v>42</v>
      </c>
      <c r="AR1" s="140" t="s">
        <v>43</v>
      </c>
      <c r="AS1" s="140" t="s">
        <v>44</v>
      </c>
      <c r="AT1" s="140" t="s">
        <v>45</v>
      </c>
      <c r="AU1" s="140" t="s">
        <v>46</v>
      </c>
      <c r="AV1" s="140" t="s">
        <v>47</v>
      </c>
      <c r="AW1" s="140" t="s">
        <v>48</v>
      </c>
      <c r="AX1" s="140" t="s">
        <v>49</v>
      </c>
      <c r="AY1" s="140" t="s">
        <v>50</v>
      </c>
      <c r="AZ1" s="140" t="s">
        <v>51</v>
      </c>
      <c r="BA1" s="140" t="s">
        <v>52</v>
      </c>
      <c r="BB1" s="140" t="s">
        <v>53</v>
      </c>
      <c r="BC1" s="140" t="s">
        <v>54</v>
      </c>
      <c r="BD1" s="140" t="s">
        <v>55</v>
      </c>
      <c r="BE1" s="140" t="s">
        <v>56</v>
      </c>
      <c r="BF1" s="140" t="s">
        <v>57</v>
      </c>
      <c r="BG1" s="140" t="s">
        <v>58</v>
      </c>
      <c r="BH1" s="140" t="s">
        <v>59</v>
      </c>
      <c r="BI1" s="140" t="s">
        <v>60</v>
      </c>
      <c r="BJ1" s="140" t="s">
        <v>61</v>
      </c>
      <c r="BK1" s="140" t="s">
        <v>62</v>
      </c>
      <c r="BL1" s="140" t="s">
        <v>63</v>
      </c>
      <c r="BM1" s="140" t="s">
        <v>64</v>
      </c>
      <c r="BN1" s="140" t="s">
        <v>65</v>
      </c>
      <c r="BO1" s="140" t="s">
        <v>66</v>
      </c>
      <c r="BP1" s="140" t="s">
        <v>67</v>
      </c>
      <c r="BQ1" s="140" t="s">
        <v>68</v>
      </c>
      <c r="BR1" s="140" t="s">
        <v>69</v>
      </c>
      <c r="BS1" s="140" t="s">
        <v>70</v>
      </c>
      <c r="BT1" s="140" t="s">
        <v>71</v>
      </c>
      <c r="BU1" s="140" t="s">
        <v>72</v>
      </c>
      <c r="BV1" s="140" t="s">
        <v>73</v>
      </c>
      <c r="BW1" s="140" t="s">
        <v>74</v>
      </c>
      <c r="BX1" s="140" t="s">
        <v>75</v>
      </c>
      <c r="BY1" s="140" t="s">
        <v>76</v>
      </c>
      <c r="BZ1" s="140" t="s">
        <v>77</v>
      </c>
      <c r="CA1" s="140" t="s">
        <v>78</v>
      </c>
      <c r="CB1" s="140" t="s">
        <v>79</v>
      </c>
      <c r="CC1" s="140" t="s">
        <v>80</v>
      </c>
      <c r="CD1" s="140" t="s">
        <v>81</v>
      </c>
      <c r="CE1" s="140" t="s">
        <v>82</v>
      </c>
      <c r="CF1" s="140" t="s">
        <v>83</v>
      </c>
      <c r="CG1" s="140" t="s">
        <v>84</v>
      </c>
      <c r="CH1" s="140" t="s">
        <v>85</v>
      </c>
      <c r="CI1" s="140" t="s">
        <v>86</v>
      </c>
      <c r="CJ1" s="140" t="s">
        <v>87</v>
      </c>
      <c r="CK1" s="140" t="s">
        <v>88</v>
      </c>
      <c r="CL1" s="140" t="s">
        <v>89</v>
      </c>
      <c r="CM1" s="142" t="s">
        <v>90</v>
      </c>
      <c r="CN1" s="142" t="s">
        <v>91</v>
      </c>
      <c r="CO1" s="142" t="s">
        <v>92</v>
      </c>
      <c r="CP1" s="142" t="s">
        <v>93</v>
      </c>
      <c r="CQ1" s="142" t="s">
        <v>94</v>
      </c>
      <c r="CR1" s="142" t="s">
        <v>95</v>
      </c>
      <c r="CS1" s="142" t="s">
        <v>96</v>
      </c>
      <c r="CT1" s="140" t="s">
        <v>97</v>
      </c>
      <c r="CU1" s="142" t="s">
        <v>98</v>
      </c>
      <c r="CV1" s="142" t="s">
        <v>99</v>
      </c>
      <c r="CW1" s="143" t="s">
        <v>100</v>
      </c>
      <c r="CX1" s="143" t="s">
        <v>101</v>
      </c>
      <c r="CY1" s="143" t="s">
        <v>102</v>
      </c>
      <c r="CZ1" s="143"/>
      <c r="DA1" s="143"/>
      <c r="DB1" s="143"/>
      <c r="DC1" s="143"/>
      <c r="DD1" s="143"/>
      <c r="DE1" s="143"/>
      <c r="DF1" s="143"/>
      <c r="DG1" s="143"/>
    </row>
    <row r="2" spans="1:111" ht="11.25">
      <c r="A2" s="3">
        <v>1</v>
      </c>
      <c r="B2" s="4">
        <v>46164.619791666701</v>
      </c>
      <c r="C2" s="4">
        <v>46164.623171296298</v>
      </c>
      <c r="D2" s="3" t="s">
        <v>103</v>
      </c>
      <c r="E2" s="3" t="s">
        <v>104</v>
      </c>
      <c r="F2" s="3" t="s">
        <v>105</v>
      </c>
      <c r="G2" s="3" t="s">
        <v>106</v>
      </c>
      <c r="H2" s="4">
        <v>46164</v>
      </c>
      <c r="I2" s="4" t="s">
        <v>107</v>
      </c>
      <c r="J2" s="3"/>
      <c r="K2" s="3"/>
      <c r="L2" s="3"/>
      <c r="M2" s="3" t="s">
        <v>108</v>
      </c>
      <c r="N2" s="3" t="s">
        <v>109</v>
      </c>
      <c r="O2" s="3"/>
      <c r="P2" s="3"/>
      <c r="Q2" s="3"/>
      <c r="R2" s="3"/>
      <c r="S2" s="3"/>
      <c r="T2" s="3"/>
      <c r="U2" s="3" t="s">
        <v>22</v>
      </c>
      <c r="V2" s="3"/>
      <c r="W2" s="3" t="s">
        <v>110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 t="s">
        <v>111</v>
      </c>
      <c r="BO2" s="3" t="s">
        <v>112</v>
      </c>
      <c r="BP2" s="3" t="s">
        <v>113</v>
      </c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144"/>
      <c r="CN2" s="144"/>
      <c r="CO2" s="144"/>
      <c r="CP2" s="144"/>
      <c r="CQ2" s="144"/>
      <c r="CR2" s="144" t="s">
        <v>114</v>
      </c>
      <c r="CS2" s="144" t="s">
        <v>115</v>
      </c>
      <c r="CT2" s="3"/>
      <c r="CU2" s="144" t="s">
        <v>116</v>
      </c>
      <c r="CV2" s="144" t="s">
        <v>117</v>
      </c>
      <c r="CW2" s="144"/>
      <c r="DG2" s="143"/>
    </row>
    <row r="3" spans="1:111" ht="11.25">
      <c r="A3" s="3">
        <v>2</v>
      </c>
      <c r="B3" s="4">
        <v>46164.620300925897</v>
      </c>
      <c r="C3" s="4">
        <v>46164.623298611099</v>
      </c>
      <c r="D3" s="3" t="s">
        <v>118</v>
      </c>
      <c r="E3" s="3" t="s">
        <v>119</v>
      </c>
      <c r="F3" s="3" t="s">
        <v>120</v>
      </c>
      <c r="G3" s="3" t="s">
        <v>121</v>
      </c>
      <c r="H3" s="4">
        <v>46162</v>
      </c>
      <c r="I3" s="4" t="s">
        <v>122</v>
      </c>
      <c r="J3" s="3"/>
      <c r="K3" s="3"/>
      <c r="L3" s="3"/>
      <c r="M3" s="3" t="s">
        <v>108</v>
      </c>
      <c r="N3" s="3" t="s">
        <v>123</v>
      </c>
      <c r="O3" s="3"/>
      <c r="P3" s="3"/>
      <c r="Q3" s="3"/>
      <c r="R3" s="3"/>
      <c r="S3" s="3"/>
      <c r="T3" s="3"/>
      <c r="U3" s="3" t="s">
        <v>22</v>
      </c>
      <c r="V3" s="3"/>
      <c r="W3" s="3" t="s">
        <v>124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 t="s">
        <v>125</v>
      </c>
      <c r="AZ3" s="3" t="s">
        <v>126</v>
      </c>
      <c r="BA3" s="3" t="s">
        <v>127</v>
      </c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144"/>
      <c r="CN3" s="144"/>
      <c r="CO3" s="144"/>
      <c r="CP3" s="144"/>
      <c r="CQ3" s="144"/>
      <c r="CR3" s="144" t="s">
        <v>114</v>
      </c>
      <c r="CS3" s="144" t="s">
        <v>128</v>
      </c>
      <c r="CT3" s="3"/>
      <c r="CU3" s="144" t="s">
        <v>129</v>
      </c>
      <c r="CV3" s="144" t="s">
        <v>130</v>
      </c>
      <c r="CW3" s="144"/>
      <c r="DG3" s="143"/>
    </row>
    <row r="4" spans="1:111" ht="11.25">
      <c r="A4" s="3">
        <v>3</v>
      </c>
      <c r="B4" s="4">
        <v>46167.479780092603</v>
      </c>
      <c r="C4" s="4">
        <v>46167.4821296296</v>
      </c>
      <c r="D4" s="3" t="s">
        <v>131</v>
      </c>
      <c r="E4" s="3" t="s">
        <v>132</v>
      </c>
      <c r="F4" s="3" t="s">
        <v>133</v>
      </c>
      <c r="G4" s="3" t="s">
        <v>134</v>
      </c>
      <c r="H4" s="4">
        <v>46148</v>
      </c>
      <c r="I4" s="4" t="s">
        <v>135</v>
      </c>
      <c r="J4" s="3"/>
      <c r="K4" s="3"/>
      <c r="L4" s="3"/>
      <c r="M4" s="3" t="s">
        <v>108</v>
      </c>
      <c r="N4" s="3" t="s">
        <v>109</v>
      </c>
      <c r="O4" s="3" t="s">
        <v>136</v>
      </c>
      <c r="P4" s="3" t="s">
        <v>137</v>
      </c>
      <c r="Q4" s="3" t="s">
        <v>138</v>
      </c>
      <c r="R4" s="3"/>
      <c r="S4" s="3"/>
      <c r="T4" s="3"/>
      <c r="U4" s="3" t="s">
        <v>22</v>
      </c>
      <c r="V4" s="3"/>
      <c r="W4" s="3" t="s">
        <v>139</v>
      </c>
      <c r="X4" s="3"/>
      <c r="Y4" s="3"/>
      <c r="Z4" s="3"/>
      <c r="AA4" s="3"/>
      <c r="AB4" s="3"/>
      <c r="AC4" s="3"/>
      <c r="AD4" s="3" t="s">
        <v>140</v>
      </c>
      <c r="AE4" s="3" t="s">
        <v>141</v>
      </c>
      <c r="AF4" s="3" t="s">
        <v>142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144"/>
      <c r="CN4" s="144"/>
      <c r="CO4" s="144"/>
      <c r="CP4" s="144"/>
      <c r="CQ4" s="144"/>
      <c r="CR4" s="144" t="s">
        <v>143</v>
      </c>
      <c r="CS4" s="144" t="s">
        <v>144</v>
      </c>
      <c r="CT4" s="3"/>
      <c r="CU4" s="144" t="s">
        <v>129</v>
      </c>
      <c r="CV4" s="144" t="s">
        <v>130</v>
      </c>
      <c r="CW4" s="144"/>
      <c r="DG4" s="143"/>
    </row>
    <row r="5" spans="1:111" ht="11.25">
      <c r="A5" s="3">
        <v>4</v>
      </c>
      <c r="B5" s="4">
        <v>46167.482164351903</v>
      </c>
      <c r="C5" s="4">
        <v>46167.487592592603</v>
      </c>
      <c r="D5" s="3" t="s">
        <v>131</v>
      </c>
      <c r="E5" s="3" t="s">
        <v>132</v>
      </c>
      <c r="F5" s="3" t="s">
        <v>133</v>
      </c>
      <c r="G5" s="3" t="s">
        <v>134</v>
      </c>
      <c r="H5" s="4">
        <v>46150</v>
      </c>
      <c r="I5" s="4" t="s">
        <v>107</v>
      </c>
      <c r="J5" s="3"/>
      <c r="K5" s="3"/>
      <c r="L5" s="3"/>
      <c r="M5" s="3" t="s">
        <v>108</v>
      </c>
      <c r="N5" s="3" t="s">
        <v>109</v>
      </c>
      <c r="O5" s="3" t="s">
        <v>136</v>
      </c>
      <c r="P5" s="3" t="s">
        <v>145</v>
      </c>
      <c r="Q5" s="3" t="s">
        <v>138</v>
      </c>
      <c r="R5" s="3"/>
      <c r="S5" s="3"/>
      <c r="T5" s="3"/>
      <c r="U5" s="3" t="s">
        <v>22</v>
      </c>
      <c r="V5" s="3"/>
      <c r="W5" s="3" t="s">
        <v>146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 t="s">
        <v>147</v>
      </c>
      <c r="BL5" s="3" t="s">
        <v>148</v>
      </c>
      <c r="BM5" s="3" t="s">
        <v>141</v>
      </c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144"/>
      <c r="CN5" s="144"/>
      <c r="CO5" s="144"/>
      <c r="CP5" s="144"/>
      <c r="CQ5" s="144"/>
      <c r="CR5" s="144" t="s">
        <v>149</v>
      </c>
      <c r="CS5" s="144" t="s">
        <v>150</v>
      </c>
      <c r="CT5" s="3"/>
      <c r="CU5" s="144" t="s">
        <v>151</v>
      </c>
      <c r="CV5" s="144" t="s">
        <v>130</v>
      </c>
      <c r="CW5" s="144"/>
      <c r="DG5" s="143"/>
    </row>
    <row r="6" spans="1:111" ht="11.25">
      <c r="A6" s="3">
        <v>5</v>
      </c>
      <c r="B6" s="4">
        <v>46167.4839236111</v>
      </c>
      <c r="C6" s="4">
        <v>46167.497164351902</v>
      </c>
      <c r="D6" s="3" t="s">
        <v>152</v>
      </c>
      <c r="E6" s="3" t="s">
        <v>153</v>
      </c>
      <c r="F6" s="3" t="s">
        <v>153</v>
      </c>
      <c r="G6" s="3" t="s">
        <v>154</v>
      </c>
      <c r="H6" s="4">
        <v>46160</v>
      </c>
      <c r="I6" s="4" t="s">
        <v>107</v>
      </c>
      <c r="J6" s="3"/>
      <c r="K6" s="3"/>
      <c r="L6" s="3"/>
      <c r="M6" s="3" t="s">
        <v>108</v>
      </c>
      <c r="N6" s="3" t="s">
        <v>109</v>
      </c>
      <c r="O6" s="3" t="s">
        <v>136</v>
      </c>
      <c r="P6" s="3" t="s">
        <v>155</v>
      </c>
      <c r="Q6" s="3" t="s">
        <v>156</v>
      </c>
      <c r="R6" s="3"/>
      <c r="S6" s="3"/>
      <c r="T6" s="3"/>
      <c r="U6" s="3" t="s">
        <v>22</v>
      </c>
      <c r="V6" s="3"/>
      <c r="W6" s="3" t="s">
        <v>124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 t="s">
        <v>157</v>
      </c>
      <c r="AZ6" s="3" t="s">
        <v>158</v>
      </c>
      <c r="BA6" s="3" t="s">
        <v>159</v>
      </c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144"/>
      <c r="CN6" s="144"/>
      <c r="CO6" s="144"/>
      <c r="CP6" s="144"/>
      <c r="CQ6" s="144"/>
      <c r="CR6" s="144" t="s">
        <v>149</v>
      </c>
      <c r="CS6" s="144" t="s">
        <v>144</v>
      </c>
      <c r="CT6" s="3"/>
      <c r="CU6" s="144" t="s">
        <v>129</v>
      </c>
      <c r="CV6" s="144" t="s">
        <v>130</v>
      </c>
      <c r="CW6" s="144"/>
      <c r="DG6" s="143"/>
    </row>
    <row r="7" spans="1:111" ht="11.25">
      <c r="A7" s="3">
        <v>6</v>
      </c>
      <c r="B7" s="4">
        <v>46167.588576388902</v>
      </c>
      <c r="C7" s="4">
        <v>46167.593819444402</v>
      </c>
      <c r="D7" s="3" t="s">
        <v>131</v>
      </c>
      <c r="E7" s="3" t="s">
        <v>132</v>
      </c>
      <c r="F7" s="3" t="s">
        <v>133</v>
      </c>
      <c r="G7" s="3" t="s">
        <v>134</v>
      </c>
      <c r="H7" s="4">
        <v>46155</v>
      </c>
      <c r="I7" s="4" t="s">
        <v>160</v>
      </c>
      <c r="J7" s="3" t="s">
        <v>161</v>
      </c>
      <c r="K7" s="3"/>
      <c r="L7" s="3"/>
      <c r="M7" s="3" t="s">
        <v>108</v>
      </c>
      <c r="N7" s="3" t="s">
        <v>109</v>
      </c>
      <c r="O7" s="3" t="s">
        <v>136</v>
      </c>
      <c r="P7" s="3" t="s">
        <v>162</v>
      </c>
      <c r="Q7" s="3" t="s">
        <v>163</v>
      </c>
      <c r="R7" s="3"/>
      <c r="S7" s="3"/>
      <c r="T7" s="3"/>
      <c r="U7" s="3" t="s">
        <v>24</v>
      </c>
      <c r="V7" s="3"/>
      <c r="W7" s="3"/>
      <c r="X7" s="3"/>
      <c r="Y7" s="3" t="s">
        <v>164</v>
      </c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 t="s">
        <v>165</v>
      </c>
      <c r="BX7" s="3" t="s">
        <v>166</v>
      </c>
      <c r="BY7" s="3" t="s">
        <v>167</v>
      </c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144"/>
      <c r="CN7" s="144"/>
      <c r="CO7" s="144"/>
      <c r="CP7" s="144"/>
      <c r="CQ7" s="144"/>
      <c r="CR7" s="144" t="s">
        <v>143</v>
      </c>
      <c r="CS7" s="144" t="s">
        <v>150</v>
      </c>
      <c r="CT7" s="3" t="s">
        <v>168</v>
      </c>
      <c r="CU7" s="144" t="s">
        <v>151</v>
      </c>
      <c r="CV7" s="144" t="s">
        <v>169</v>
      </c>
      <c r="CW7" s="144"/>
      <c r="DG7" s="143"/>
    </row>
    <row r="8" spans="1:111" ht="11.25">
      <c r="A8" s="3">
        <v>7</v>
      </c>
      <c r="B8" s="4">
        <v>46167.609594907401</v>
      </c>
      <c r="C8" s="4">
        <v>46167.613773148099</v>
      </c>
      <c r="D8" s="3" t="s">
        <v>170</v>
      </c>
      <c r="E8" s="3" t="s">
        <v>171</v>
      </c>
      <c r="F8" s="3" t="s">
        <v>171</v>
      </c>
      <c r="G8" s="3" t="s">
        <v>172</v>
      </c>
      <c r="H8" s="4">
        <v>46157</v>
      </c>
      <c r="I8" s="4" t="s">
        <v>173</v>
      </c>
      <c r="J8" s="3" t="s">
        <v>174</v>
      </c>
      <c r="K8" s="3"/>
      <c r="L8" s="3" t="s">
        <v>175</v>
      </c>
      <c r="M8" s="3" t="s">
        <v>108</v>
      </c>
      <c r="N8" s="3" t="s">
        <v>109</v>
      </c>
      <c r="O8" s="3" t="s">
        <v>136</v>
      </c>
      <c r="P8" s="3"/>
      <c r="Q8" s="3" t="s">
        <v>176</v>
      </c>
      <c r="R8" s="3"/>
      <c r="S8" s="3"/>
      <c r="T8" s="3"/>
      <c r="U8" s="3" t="s">
        <v>21</v>
      </c>
      <c r="V8" s="3" t="s">
        <v>177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 t="s">
        <v>178</v>
      </c>
      <c r="AH8" s="3" t="s">
        <v>179</v>
      </c>
      <c r="AI8" s="3" t="s">
        <v>180</v>
      </c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144"/>
      <c r="CN8" s="144"/>
      <c r="CO8" s="144"/>
      <c r="CP8" s="144"/>
      <c r="CQ8" s="144"/>
      <c r="CR8" s="144" t="s">
        <v>149</v>
      </c>
      <c r="CS8" s="144" t="s">
        <v>181</v>
      </c>
      <c r="CT8" s="3" t="s">
        <v>182</v>
      </c>
      <c r="CU8" s="144" t="s">
        <v>151</v>
      </c>
      <c r="CV8" s="144" t="s">
        <v>130</v>
      </c>
      <c r="CW8" s="144"/>
      <c r="DG8" s="143"/>
    </row>
    <row r="9" spans="1:111" ht="11.25">
      <c r="A9" s="3">
        <v>8</v>
      </c>
      <c r="B9" s="4">
        <v>46167.606423611098</v>
      </c>
      <c r="C9" s="4">
        <v>46167.614386574103</v>
      </c>
      <c r="D9" s="3" t="s">
        <v>131</v>
      </c>
      <c r="E9" s="3" t="s">
        <v>132</v>
      </c>
      <c r="F9" s="3" t="s">
        <v>133</v>
      </c>
      <c r="G9" s="3" t="s">
        <v>134</v>
      </c>
      <c r="H9" s="4">
        <v>46153</v>
      </c>
      <c r="I9" s="4" t="s">
        <v>107</v>
      </c>
      <c r="J9" s="3" t="s">
        <v>161</v>
      </c>
      <c r="K9" s="3"/>
      <c r="L9" s="3"/>
      <c r="M9" s="3" t="s">
        <v>108</v>
      </c>
      <c r="N9" s="3" t="s">
        <v>109</v>
      </c>
      <c r="O9" s="3" t="s">
        <v>136</v>
      </c>
      <c r="P9" s="3" t="s">
        <v>162</v>
      </c>
      <c r="Q9" s="3"/>
      <c r="R9" s="3"/>
      <c r="S9" s="3"/>
      <c r="T9" s="3"/>
      <c r="U9" s="3" t="s">
        <v>22</v>
      </c>
      <c r="V9" s="3"/>
      <c r="W9" s="3" t="s">
        <v>146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 t="s">
        <v>183</v>
      </c>
      <c r="BL9" s="3" t="s">
        <v>184</v>
      </c>
      <c r="BM9" s="3" t="s">
        <v>185</v>
      </c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144"/>
      <c r="CN9" s="144"/>
      <c r="CO9" s="144"/>
      <c r="CP9" s="144"/>
      <c r="CQ9" s="144"/>
      <c r="CR9" s="144" t="s">
        <v>114</v>
      </c>
      <c r="CS9" s="144" t="s">
        <v>150</v>
      </c>
      <c r="CT9" s="3" t="s">
        <v>186</v>
      </c>
      <c r="CU9" s="144" t="s">
        <v>116</v>
      </c>
      <c r="CV9" s="144" t="s">
        <v>130</v>
      </c>
      <c r="CW9" s="144"/>
      <c r="DG9" s="143"/>
    </row>
    <row r="10" spans="1:111" ht="11.25">
      <c r="A10" s="3">
        <v>9</v>
      </c>
      <c r="B10" s="4">
        <v>46167.613796296297</v>
      </c>
      <c r="C10" s="4">
        <v>46167.6169212963</v>
      </c>
      <c r="D10" s="3" t="s">
        <v>170</v>
      </c>
      <c r="E10" s="3" t="s">
        <v>171</v>
      </c>
      <c r="F10" s="3" t="s">
        <v>171</v>
      </c>
      <c r="G10" s="3" t="s">
        <v>172</v>
      </c>
      <c r="H10" s="4">
        <v>46162</v>
      </c>
      <c r="I10" s="4" t="s">
        <v>135</v>
      </c>
      <c r="J10" s="3" t="s">
        <v>187</v>
      </c>
      <c r="K10" s="3" t="s">
        <v>188</v>
      </c>
      <c r="L10" s="3"/>
      <c r="M10" s="3" t="s">
        <v>108</v>
      </c>
      <c r="N10" s="3" t="s">
        <v>123</v>
      </c>
      <c r="O10" s="3" t="s">
        <v>136</v>
      </c>
      <c r="P10" s="3"/>
      <c r="Q10" s="3" t="s">
        <v>189</v>
      </c>
      <c r="R10" s="3"/>
      <c r="S10" s="3"/>
      <c r="T10" s="3"/>
      <c r="U10" s="3" t="s">
        <v>24</v>
      </c>
      <c r="V10" s="3"/>
      <c r="W10" s="3"/>
      <c r="X10" s="3"/>
      <c r="Y10" s="3" t="s">
        <v>190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 t="s">
        <v>191</v>
      </c>
      <c r="CG10" s="3" t="s">
        <v>192</v>
      </c>
      <c r="CH10" s="3" t="s">
        <v>193</v>
      </c>
      <c r="CI10" s="3"/>
      <c r="CJ10" s="3"/>
      <c r="CK10" s="3"/>
      <c r="CL10" s="3"/>
      <c r="CM10" s="144"/>
      <c r="CN10" s="144"/>
      <c r="CO10" s="144"/>
      <c r="CP10" s="144"/>
      <c r="CQ10" s="144"/>
      <c r="CR10" s="144" t="s">
        <v>143</v>
      </c>
      <c r="CS10" s="144" t="s">
        <v>181</v>
      </c>
      <c r="CT10" s="3" t="s">
        <v>194</v>
      </c>
      <c r="CU10" s="144" t="s">
        <v>129</v>
      </c>
      <c r="CV10" s="144" t="s">
        <v>130</v>
      </c>
      <c r="CW10" s="144"/>
      <c r="DG10" s="143"/>
    </row>
    <row r="11" spans="1:111" ht="11.25">
      <c r="A11" s="3">
        <v>10</v>
      </c>
      <c r="B11" s="4">
        <v>46167.616956018501</v>
      </c>
      <c r="C11" s="4">
        <v>46167.618587962999</v>
      </c>
      <c r="D11" s="3" t="s">
        <v>170</v>
      </c>
      <c r="E11" s="3" t="s">
        <v>171</v>
      </c>
      <c r="F11" s="3" t="s">
        <v>171</v>
      </c>
      <c r="G11" s="3" t="s">
        <v>172</v>
      </c>
      <c r="H11" s="4">
        <v>46164</v>
      </c>
      <c r="I11" s="4" t="s">
        <v>195</v>
      </c>
      <c r="J11" s="3" t="s">
        <v>161</v>
      </c>
      <c r="K11" s="3"/>
      <c r="L11" s="3"/>
      <c r="M11" s="3" t="s">
        <v>196</v>
      </c>
      <c r="N11" s="3" t="s">
        <v>109</v>
      </c>
      <c r="O11" s="3" t="s">
        <v>136</v>
      </c>
      <c r="P11" s="3" t="s">
        <v>197</v>
      </c>
      <c r="Q11" s="3" t="s">
        <v>198</v>
      </c>
      <c r="R11" s="3"/>
      <c r="S11" s="3"/>
      <c r="T11" s="3"/>
      <c r="U11" s="3" t="s">
        <v>22</v>
      </c>
      <c r="V11" s="3"/>
      <c r="W11" s="3" t="s">
        <v>199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 t="s">
        <v>200</v>
      </c>
      <c r="BI11" s="3" t="s">
        <v>201</v>
      </c>
      <c r="BJ11" s="3" t="s">
        <v>202</v>
      </c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144"/>
      <c r="CN11" s="144"/>
      <c r="CO11" s="144"/>
      <c r="CP11" s="144"/>
      <c r="CQ11" s="144"/>
      <c r="CR11" s="144" t="s">
        <v>149</v>
      </c>
      <c r="CS11" s="144" t="s">
        <v>203</v>
      </c>
      <c r="CT11" s="3" t="s">
        <v>204</v>
      </c>
      <c r="CU11" s="144" t="s">
        <v>151</v>
      </c>
      <c r="CV11" s="144" t="s">
        <v>130</v>
      </c>
      <c r="CW11" s="144"/>
      <c r="DG11" s="143"/>
    </row>
    <row r="12" spans="1:111" ht="11.25">
      <c r="A12" s="3">
        <v>11</v>
      </c>
      <c r="B12" s="4">
        <v>46167.618622685201</v>
      </c>
      <c r="C12" s="4">
        <v>46167.620173611103</v>
      </c>
      <c r="D12" s="3" t="s">
        <v>170</v>
      </c>
      <c r="E12" s="3" t="s">
        <v>171</v>
      </c>
      <c r="F12" s="3" t="s">
        <v>171</v>
      </c>
      <c r="G12" s="3" t="s">
        <v>172</v>
      </c>
      <c r="H12" s="4">
        <v>46164</v>
      </c>
      <c r="I12" s="4" t="s">
        <v>195</v>
      </c>
      <c r="J12" s="3" t="s">
        <v>161</v>
      </c>
      <c r="K12" s="3"/>
      <c r="L12" s="3"/>
      <c r="M12" s="3" t="s">
        <v>196</v>
      </c>
      <c r="N12" s="3" t="s">
        <v>109</v>
      </c>
      <c r="O12" s="3" t="s">
        <v>136</v>
      </c>
      <c r="P12" s="3" t="s">
        <v>205</v>
      </c>
      <c r="Q12" s="3" t="s">
        <v>206</v>
      </c>
      <c r="R12" s="3"/>
      <c r="S12" s="3"/>
      <c r="T12" s="3"/>
      <c r="U12" s="3" t="s">
        <v>22</v>
      </c>
      <c r="V12" s="3"/>
      <c r="W12" s="3" t="s">
        <v>199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 t="s">
        <v>207</v>
      </c>
      <c r="BI12" s="3" t="s">
        <v>208</v>
      </c>
      <c r="BJ12" s="3" t="s">
        <v>209</v>
      </c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144"/>
      <c r="CN12" s="144"/>
      <c r="CO12" s="144"/>
      <c r="CP12" s="144"/>
      <c r="CQ12" s="144"/>
      <c r="CR12" s="144" t="s">
        <v>149</v>
      </c>
      <c r="CS12" s="144" t="s">
        <v>181</v>
      </c>
      <c r="CT12" s="3" t="s">
        <v>210</v>
      </c>
      <c r="CU12" s="144" t="s">
        <v>129</v>
      </c>
      <c r="CV12" s="144" t="s">
        <v>130</v>
      </c>
      <c r="CW12" s="144"/>
      <c r="DG12" s="143"/>
    </row>
    <row r="13" spans="1:111" ht="11.25">
      <c r="A13" s="3">
        <v>12</v>
      </c>
      <c r="B13" s="4">
        <v>46167.620208333297</v>
      </c>
      <c r="C13" s="4">
        <v>46167.623090277797</v>
      </c>
      <c r="D13" s="3" t="s">
        <v>170</v>
      </c>
      <c r="E13" s="3" t="s">
        <v>171</v>
      </c>
      <c r="F13" s="3" t="s">
        <v>171</v>
      </c>
      <c r="G13" s="3" t="s">
        <v>172</v>
      </c>
      <c r="H13" s="4">
        <v>46156</v>
      </c>
      <c r="I13" s="4" t="s">
        <v>135</v>
      </c>
      <c r="J13" s="3" t="s">
        <v>174</v>
      </c>
      <c r="K13" s="3"/>
      <c r="L13" s="3" t="s">
        <v>175</v>
      </c>
      <c r="M13" s="3" t="s">
        <v>108</v>
      </c>
      <c r="N13" s="3" t="s">
        <v>109</v>
      </c>
      <c r="O13" s="3" t="s">
        <v>136</v>
      </c>
      <c r="P13" s="3"/>
      <c r="Q13" s="3" t="s">
        <v>211</v>
      </c>
      <c r="R13" s="3"/>
      <c r="S13" s="3"/>
      <c r="T13" s="3"/>
      <c r="U13" s="3" t="s">
        <v>22</v>
      </c>
      <c r="V13" s="3"/>
      <c r="W13" s="3" t="s">
        <v>139</v>
      </c>
      <c r="X13" s="3"/>
      <c r="Y13" s="3"/>
      <c r="Z13" s="3"/>
      <c r="AA13" s="3"/>
      <c r="AB13" s="3"/>
      <c r="AC13" s="3"/>
      <c r="AD13" s="3" t="s">
        <v>212</v>
      </c>
      <c r="AE13" s="3" t="s">
        <v>213</v>
      </c>
      <c r="AF13" s="3" t="s">
        <v>214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144"/>
      <c r="CN13" s="144"/>
      <c r="CO13" s="144"/>
      <c r="CP13" s="144"/>
      <c r="CQ13" s="144"/>
      <c r="CR13" s="144" t="s">
        <v>149</v>
      </c>
      <c r="CS13" s="144" t="s">
        <v>181</v>
      </c>
      <c r="CT13" s="3" t="s">
        <v>215</v>
      </c>
      <c r="CU13" s="144" t="s">
        <v>129</v>
      </c>
      <c r="CV13" s="144" t="s">
        <v>130</v>
      </c>
      <c r="CW13" s="144"/>
      <c r="DG13" s="143"/>
    </row>
    <row r="14" spans="1:111" ht="11.25">
      <c r="A14" s="3">
        <v>13</v>
      </c>
      <c r="B14" s="4">
        <v>46167.497291666703</v>
      </c>
      <c r="C14" s="4">
        <v>46167.642962963</v>
      </c>
      <c r="D14" s="3" t="s">
        <v>152</v>
      </c>
      <c r="E14" s="3" t="s">
        <v>153</v>
      </c>
      <c r="F14" s="3" t="s">
        <v>216</v>
      </c>
      <c r="G14" s="3" t="s">
        <v>154</v>
      </c>
      <c r="H14" s="4">
        <v>46153</v>
      </c>
      <c r="I14" s="4" t="s">
        <v>135</v>
      </c>
      <c r="J14" s="3"/>
      <c r="K14" s="3"/>
      <c r="L14" s="3"/>
      <c r="M14" s="3" t="s">
        <v>108</v>
      </c>
      <c r="N14" s="3" t="s">
        <v>109</v>
      </c>
      <c r="O14" s="3" t="s">
        <v>136</v>
      </c>
      <c r="P14" s="3" t="s">
        <v>217</v>
      </c>
      <c r="Q14" s="3" t="s">
        <v>218</v>
      </c>
      <c r="R14" s="3"/>
      <c r="S14" s="3"/>
      <c r="T14" s="3"/>
      <c r="U14" s="3" t="s">
        <v>22</v>
      </c>
      <c r="V14" s="3"/>
      <c r="W14" s="3" t="s">
        <v>139</v>
      </c>
      <c r="X14" s="3"/>
      <c r="Y14" s="3"/>
      <c r="Z14" s="3"/>
      <c r="AA14" s="3"/>
      <c r="AB14" s="3"/>
      <c r="AC14" s="3"/>
      <c r="AD14" s="3" t="s">
        <v>140</v>
      </c>
      <c r="AE14" s="3" t="s">
        <v>219</v>
      </c>
      <c r="AF14" s="3" t="s">
        <v>220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144"/>
      <c r="CN14" s="144"/>
      <c r="CO14" s="144"/>
      <c r="CP14" s="144"/>
      <c r="CQ14" s="144"/>
      <c r="CR14" s="144" t="s">
        <v>149</v>
      </c>
      <c r="CS14" s="144" t="s">
        <v>150</v>
      </c>
      <c r="CT14" s="3"/>
      <c r="CU14" s="144" t="s">
        <v>116</v>
      </c>
      <c r="CV14" s="144" t="s">
        <v>130</v>
      </c>
      <c r="CW14" s="144"/>
      <c r="DG14" s="143"/>
    </row>
    <row r="15" spans="1:111" ht="11.25">
      <c r="A15" s="3">
        <v>14</v>
      </c>
      <c r="B15" s="4">
        <v>46167.643425925897</v>
      </c>
      <c r="C15" s="4">
        <v>46167.648206018501</v>
      </c>
      <c r="D15" s="3" t="s">
        <v>152</v>
      </c>
      <c r="E15" s="3" t="s">
        <v>153</v>
      </c>
      <c r="F15" s="3" t="s">
        <v>153</v>
      </c>
      <c r="G15" s="3" t="s">
        <v>154</v>
      </c>
      <c r="H15" s="4">
        <v>46162</v>
      </c>
      <c r="I15" s="4" t="s">
        <v>195</v>
      </c>
      <c r="J15" s="3"/>
      <c r="K15" s="3"/>
      <c r="L15" s="3"/>
      <c r="M15" s="3" t="s">
        <v>221</v>
      </c>
      <c r="N15" s="3" t="s">
        <v>109</v>
      </c>
      <c r="O15" s="3" t="s">
        <v>136</v>
      </c>
      <c r="P15" s="3" t="s">
        <v>222</v>
      </c>
      <c r="Q15" s="3" t="s">
        <v>108</v>
      </c>
      <c r="R15" s="3"/>
      <c r="S15" s="3"/>
      <c r="T15" s="3"/>
      <c r="U15" s="3" t="s">
        <v>22</v>
      </c>
      <c r="V15" s="3"/>
      <c r="W15" s="3" t="s">
        <v>124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 t="s">
        <v>223</v>
      </c>
      <c r="AZ15" s="3" t="s">
        <v>224</v>
      </c>
      <c r="BA15" s="3" t="s">
        <v>225</v>
      </c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144"/>
      <c r="CN15" s="144"/>
      <c r="CO15" s="144"/>
      <c r="CP15" s="144"/>
      <c r="CQ15" s="144"/>
      <c r="CR15" s="144" t="s">
        <v>149</v>
      </c>
      <c r="CS15" s="144" t="s">
        <v>226</v>
      </c>
      <c r="CT15" s="3"/>
      <c r="CU15" s="144" t="s">
        <v>116</v>
      </c>
      <c r="CV15" s="144" t="s">
        <v>169</v>
      </c>
      <c r="CW15" s="144"/>
      <c r="DG15" s="143"/>
    </row>
    <row r="16" spans="1:111" ht="11.25">
      <c r="A16" s="3">
        <v>15</v>
      </c>
      <c r="B16" s="4">
        <v>46167.643761574102</v>
      </c>
      <c r="C16" s="4">
        <v>46167.648969907401</v>
      </c>
      <c r="D16" s="3" t="s">
        <v>227</v>
      </c>
      <c r="E16" s="3" t="s">
        <v>228</v>
      </c>
      <c r="F16" s="3" t="s">
        <v>228</v>
      </c>
      <c r="G16" s="3" t="s">
        <v>229</v>
      </c>
      <c r="H16" s="4">
        <v>46155</v>
      </c>
      <c r="I16" s="4" t="s">
        <v>135</v>
      </c>
      <c r="J16" s="3" t="s">
        <v>174</v>
      </c>
      <c r="K16" s="3"/>
      <c r="L16" s="3" t="s">
        <v>217</v>
      </c>
      <c r="M16" s="3" t="s">
        <v>108</v>
      </c>
      <c r="N16" s="3" t="s">
        <v>109</v>
      </c>
      <c r="O16" s="3" t="s">
        <v>136</v>
      </c>
      <c r="P16" s="3"/>
      <c r="Q16" s="3" t="s">
        <v>114</v>
      </c>
      <c r="R16" s="3"/>
      <c r="S16" s="3"/>
      <c r="T16" s="3"/>
      <c r="U16" s="3" t="s">
        <v>21</v>
      </c>
      <c r="V16" s="3" t="s">
        <v>177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 t="s">
        <v>230</v>
      </c>
      <c r="AH16" s="3" t="s">
        <v>231</v>
      </c>
      <c r="AI16" s="3" t="s">
        <v>232</v>
      </c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144"/>
      <c r="CN16" s="144"/>
      <c r="CO16" s="144"/>
      <c r="CP16" s="144"/>
      <c r="CQ16" s="144"/>
      <c r="CR16" s="144" t="s">
        <v>149</v>
      </c>
      <c r="CS16" s="144" t="s">
        <v>233</v>
      </c>
      <c r="CT16" s="3" t="s">
        <v>186</v>
      </c>
      <c r="CU16" s="144" t="s">
        <v>116</v>
      </c>
      <c r="CV16" s="144" t="s">
        <v>130</v>
      </c>
      <c r="CW16" s="144"/>
      <c r="DG16" s="143"/>
    </row>
    <row r="17" spans="1:111" ht="11.25">
      <c r="A17" s="3">
        <v>16</v>
      </c>
      <c r="B17" s="4">
        <v>46167.650891203702</v>
      </c>
      <c r="C17" s="4">
        <v>46167.661608796298</v>
      </c>
      <c r="D17" s="3" t="s">
        <v>227</v>
      </c>
      <c r="E17" s="3" t="s">
        <v>228</v>
      </c>
      <c r="F17" s="3" t="s">
        <v>234</v>
      </c>
      <c r="G17" s="3" t="s">
        <v>229</v>
      </c>
      <c r="H17" s="4">
        <v>46155</v>
      </c>
      <c r="I17" s="4" t="s">
        <v>135</v>
      </c>
      <c r="J17" s="3" t="s">
        <v>174</v>
      </c>
      <c r="K17" s="3"/>
      <c r="L17" s="3" t="s">
        <v>217</v>
      </c>
      <c r="M17" s="3" t="s">
        <v>108</v>
      </c>
      <c r="N17" s="3" t="s">
        <v>109</v>
      </c>
      <c r="O17" s="3" t="s">
        <v>136</v>
      </c>
      <c r="P17" s="3"/>
      <c r="Q17" s="3" t="s">
        <v>114</v>
      </c>
      <c r="R17" s="3"/>
      <c r="S17" s="3"/>
      <c r="T17" s="3"/>
      <c r="U17" s="3" t="s">
        <v>22</v>
      </c>
      <c r="V17" s="3"/>
      <c r="W17" s="3" t="s">
        <v>146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 t="s">
        <v>235</v>
      </c>
      <c r="BL17" s="3" t="s">
        <v>236</v>
      </c>
      <c r="BM17" s="3" t="s">
        <v>141</v>
      </c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144"/>
      <c r="CN17" s="144"/>
      <c r="CO17" s="144"/>
      <c r="CP17" s="144"/>
      <c r="CQ17" s="144"/>
      <c r="CR17" s="144" t="s">
        <v>149</v>
      </c>
      <c r="CS17" s="144" t="s">
        <v>181</v>
      </c>
      <c r="CT17" s="3" t="s">
        <v>186</v>
      </c>
      <c r="CU17" s="144" t="s">
        <v>151</v>
      </c>
      <c r="CV17" s="144" t="s">
        <v>130</v>
      </c>
      <c r="CW17" s="144"/>
      <c r="DG17" s="143"/>
    </row>
    <row r="18" spans="1:111" ht="11.25">
      <c r="A18" s="3">
        <v>17</v>
      </c>
      <c r="B18" s="4">
        <v>46167.661666666703</v>
      </c>
      <c r="C18" s="4">
        <v>46167.667870370402</v>
      </c>
      <c r="D18" s="3" t="s">
        <v>227</v>
      </c>
      <c r="E18" s="3" t="s">
        <v>228</v>
      </c>
      <c r="F18" s="3" t="s">
        <v>228</v>
      </c>
      <c r="G18" s="3" t="s">
        <v>229</v>
      </c>
      <c r="H18" s="4">
        <v>46154</v>
      </c>
      <c r="I18" s="4" t="s">
        <v>135</v>
      </c>
      <c r="J18" s="3" t="s">
        <v>174</v>
      </c>
      <c r="K18" s="3"/>
      <c r="L18" s="3" t="s">
        <v>217</v>
      </c>
      <c r="M18" s="3" t="s">
        <v>108</v>
      </c>
      <c r="N18" s="3" t="s">
        <v>109</v>
      </c>
      <c r="O18" s="3" t="s">
        <v>136</v>
      </c>
      <c r="P18" s="3"/>
      <c r="Q18" s="3" t="s">
        <v>114</v>
      </c>
      <c r="R18" s="3"/>
      <c r="S18" s="3"/>
      <c r="T18" s="3"/>
      <c r="U18" s="3" t="s">
        <v>22</v>
      </c>
      <c r="V18" s="3"/>
      <c r="W18" s="3" t="s">
        <v>110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 t="s">
        <v>237</v>
      </c>
      <c r="BO18" s="3" t="s">
        <v>141</v>
      </c>
      <c r="BP18" s="3" t="s">
        <v>141</v>
      </c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144"/>
      <c r="CN18" s="144"/>
      <c r="CO18" s="144"/>
      <c r="CP18" s="144"/>
      <c r="CQ18" s="144"/>
      <c r="CR18" s="144" t="s">
        <v>149</v>
      </c>
      <c r="CS18" s="144" t="s">
        <v>181</v>
      </c>
      <c r="CT18" s="3" t="s">
        <v>186</v>
      </c>
      <c r="CU18" s="144" t="s">
        <v>151</v>
      </c>
      <c r="CV18" s="144" t="s">
        <v>130</v>
      </c>
      <c r="CW18" s="144"/>
      <c r="DG18" s="143"/>
    </row>
    <row r="19" spans="1:111" ht="11.25">
      <c r="A19" s="3">
        <v>18</v>
      </c>
      <c r="B19" s="4">
        <v>46167.862997685203</v>
      </c>
      <c r="C19" s="4">
        <v>46167.866273148102</v>
      </c>
      <c r="D19" s="3" t="s">
        <v>238</v>
      </c>
      <c r="E19" s="3" t="s">
        <v>239</v>
      </c>
      <c r="F19" s="3" t="s">
        <v>239</v>
      </c>
      <c r="G19" s="3" t="s">
        <v>240</v>
      </c>
      <c r="H19" s="4">
        <v>46167</v>
      </c>
      <c r="I19" s="4" t="s">
        <v>135</v>
      </c>
      <c r="J19" s="3" t="s">
        <v>161</v>
      </c>
      <c r="K19" s="3"/>
      <c r="L19" s="3"/>
      <c r="M19" s="3" t="s">
        <v>108</v>
      </c>
      <c r="N19" s="3" t="s">
        <v>109</v>
      </c>
      <c r="O19" s="3" t="s">
        <v>241</v>
      </c>
      <c r="P19" s="3" t="s">
        <v>242</v>
      </c>
      <c r="Q19" s="3" t="s">
        <v>242</v>
      </c>
      <c r="R19" s="3"/>
      <c r="S19" s="3"/>
      <c r="T19" s="3"/>
      <c r="U19" s="3" t="s">
        <v>22</v>
      </c>
      <c r="V19" s="3"/>
      <c r="W19" s="3" t="s">
        <v>124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 t="s">
        <v>243</v>
      </c>
      <c r="AZ19" s="3" t="s">
        <v>244</v>
      </c>
      <c r="BA19" s="3" t="s">
        <v>245</v>
      </c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144"/>
      <c r="CN19" s="144"/>
      <c r="CO19" s="144"/>
      <c r="CP19" s="144"/>
      <c r="CQ19" s="144"/>
      <c r="CR19" s="144" t="s">
        <v>143</v>
      </c>
      <c r="CS19" s="144" t="s">
        <v>226</v>
      </c>
      <c r="CT19" s="3" t="s">
        <v>246</v>
      </c>
      <c r="CU19" s="144" t="s">
        <v>116</v>
      </c>
      <c r="CV19" s="144" t="s">
        <v>169</v>
      </c>
      <c r="CW19" s="144"/>
      <c r="DG19" s="143"/>
    </row>
    <row r="20" spans="1:111" ht="11.25">
      <c r="A20" s="3">
        <v>19</v>
      </c>
      <c r="B20" s="4">
        <v>46168.350370370397</v>
      </c>
      <c r="C20" s="4">
        <v>46168.354155092602</v>
      </c>
      <c r="D20" s="3" t="s">
        <v>118</v>
      </c>
      <c r="E20" s="3" t="s">
        <v>119</v>
      </c>
      <c r="F20" s="3" t="s">
        <v>247</v>
      </c>
      <c r="G20" s="3" t="s">
        <v>121</v>
      </c>
      <c r="H20" s="4">
        <v>46150</v>
      </c>
      <c r="I20" s="4" t="s">
        <v>135</v>
      </c>
      <c r="J20" s="3" t="s">
        <v>161</v>
      </c>
      <c r="K20" s="3"/>
      <c r="L20" s="3"/>
      <c r="M20" s="3" t="s">
        <v>108</v>
      </c>
      <c r="N20" s="3" t="s">
        <v>248</v>
      </c>
      <c r="O20" s="3" t="s">
        <v>136</v>
      </c>
      <c r="P20" s="3" t="s">
        <v>249</v>
      </c>
      <c r="Q20" s="3" t="s">
        <v>250</v>
      </c>
      <c r="R20" s="3" t="s">
        <v>251</v>
      </c>
      <c r="S20" s="3"/>
      <c r="T20" s="3"/>
      <c r="U20" s="3" t="s">
        <v>23</v>
      </c>
      <c r="V20" s="3"/>
      <c r="W20" s="3"/>
      <c r="X20" s="3" t="s">
        <v>252</v>
      </c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144"/>
      <c r="CN20" s="144"/>
      <c r="CO20" s="144"/>
      <c r="CP20" s="144"/>
      <c r="CQ20" s="144"/>
      <c r="CR20" s="144" t="s">
        <v>149</v>
      </c>
      <c r="CS20" s="144" t="s">
        <v>181</v>
      </c>
      <c r="CT20" s="3" t="s">
        <v>253</v>
      </c>
      <c r="CU20" s="144" t="s">
        <v>129</v>
      </c>
      <c r="CV20" s="144" t="s">
        <v>130</v>
      </c>
      <c r="CW20" s="144"/>
      <c r="DG20" s="143"/>
    </row>
    <row r="21" spans="1:111" ht="11.25">
      <c r="A21" s="3">
        <v>20</v>
      </c>
      <c r="B21" s="4">
        <v>46168.354247685202</v>
      </c>
      <c r="C21" s="4">
        <v>46168.357372685197</v>
      </c>
      <c r="D21" s="3" t="s">
        <v>118</v>
      </c>
      <c r="E21" s="3" t="s">
        <v>119</v>
      </c>
      <c r="F21" s="3" t="s">
        <v>247</v>
      </c>
      <c r="G21" s="3" t="s">
        <v>121</v>
      </c>
      <c r="H21" s="4">
        <v>46150</v>
      </c>
      <c r="I21" s="4" t="s">
        <v>135</v>
      </c>
      <c r="J21" s="3" t="s">
        <v>187</v>
      </c>
      <c r="K21" s="3" t="s">
        <v>254</v>
      </c>
      <c r="L21" s="3"/>
      <c r="M21" s="3" t="s">
        <v>108</v>
      </c>
      <c r="N21" s="3" t="s">
        <v>109</v>
      </c>
      <c r="O21" s="3" t="s">
        <v>136</v>
      </c>
      <c r="P21" s="3"/>
      <c r="Q21" s="3" t="s">
        <v>255</v>
      </c>
      <c r="R21" s="3"/>
      <c r="S21" s="3"/>
      <c r="T21" s="3"/>
      <c r="U21" s="3" t="s">
        <v>25</v>
      </c>
      <c r="V21" s="3"/>
      <c r="W21" s="3"/>
      <c r="X21" s="3"/>
      <c r="Y21" s="3"/>
      <c r="Z21" s="3" t="s">
        <v>256</v>
      </c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 t="s">
        <v>257</v>
      </c>
      <c r="CJ21" s="3" t="s">
        <v>258</v>
      </c>
      <c r="CK21" s="3" t="s">
        <v>259</v>
      </c>
      <c r="CL21" s="3"/>
      <c r="CM21" s="144"/>
      <c r="CN21" s="144"/>
      <c r="CO21" s="144"/>
      <c r="CP21" s="144"/>
      <c r="CQ21" s="144"/>
      <c r="CR21" s="144" t="s">
        <v>149</v>
      </c>
      <c r="CS21" s="144" t="s">
        <v>181</v>
      </c>
      <c r="CT21" s="3" t="s">
        <v>253</v>
      </c>
      <c r="CU21" s="144" t="s">
        <v>129</v>
      </c>
      <c r="CV21" s="144" t="s">
        <v>130</v>
      </c>
      <c r="CW21" s="144"/>
      <c r="DG21" s="143"/>
    </row>
    <row r="22" spans="1:111" ht="11.25">
      <c r="A22" s="3">
        <v>21</v>
      </c>
      <c r="B22" s="4">
        <v>46168.357824074097</v>
      </c>
      <c r="C22" s="4">
        <v>46168.362245370401</v>
      </c>
      <c r="D22" s="3" t="s">
        <v>118</v>
      </c>
      <c r="E22" s="3" t="s">
        <v>119</v>
      </c>
      <c r="F22" s="3" t="s">
        <v>247</v>
      </c>
      <c r="G22" s="3" t="s">
        <v>121</v>
      </c>
      <c r="H22" s="4">
        <v>46156</v>
      </c>
      <c r="I22" s="4" t="s">
        <v>135</v>
      </c>
      <c r="J22" s="3" t="s">
        <v>161</v>
      </c>
      <c r="K22" s="3"/>
      <c r="L22" s="3"/>
      <c r="M22" s="3" t="s">
        <v>108</v>
      </c>
      <c r="N22" s="3" t="s">
        <v>109</v>
      </c>
      <c r="O22" s="3" t="s">
        <v>136</v>
      </c>
      <c r="P22" s="3" t="s">
        <v>260</v>
      </c>
      <c r="Q22" s="3" t="s">
        <v>261</v>
      </c>
      <c r="R22" s="3"/>
      <c r="S22" s="3"/>
      <c r="T22" s="3"/>
      <c r="U22" s="3" t="s">
        <v>24</v>
      </c>
      <c r="V22" s="3"/>
      <c r="W22" s="3"/>
      <c r="X22" s="3"/>
      <c r="Y22" s="3" t="s">
        <v>190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 t="s">
        <v>262</v>
      </c>
      <c r="CG22" s="3" t="s">
        <v>263</v>
      </c>
      <c r="CH22" s="3" t="s">
        <v>264</v>
      </c>
      <c r="CI22" s="3"/>
      <c r="CJ22" s="3"/>
      <c r="CK22" s="3"/>
      <c r="CL22" s="3"/>
      <c r="CM22" s="144"/>
      <c r="CN22" s="144"/>
      <c r="CO22" s="144"/>
      <c r="CP22" s="144"/>
      <c r="CQ22" s="144"/>
      <c r="CR22" s="144" t="s">
        <v>149</v>
      </c>
      <c r="CS22" s="144" t="s">
        <v>181</v>
      </c>
      <c r="CT22" s="3" t="s">
        <v>265</v>
      </c>
      <c r="CU22" s="144" t="s">
        <v>151</v>
      </c>
      <c r="CV22" s="144" t="s">
        <v>130</v>
      </c>
      <c r="CW22" s="144"/>
      <c r="DG22" s="143"/>
    </row>
    <row r="23" spans="1:111" ht="11.25">
      <c r="A23" s="3">
        <v>22</v>
      </c>
      <c r="B23" s="4">
        <v>46168.388032407398</v>
      </c>
      <c r="C23" s="4">
        <v>46168.394282407397</v>
      </c>
      <c r="D23" s="3" t="s">
        <v>118</v>
      </c>
      <c r="E23" s="3" t="s">
        <v>119</v>
      </c>
      <c r="F23" s="3" t="s">
        <v>247</v>
      </c>
      <c r="G23" s="3" t="s">
        <v>121</v>
      </c>
      <c r="H23" s="4">
        <v>46157</v>
      </c>
      <c r="I23" s="4" t="s">
        <v>122</v>
      </c>
      <c r="J23" s="3" t="s">
        <v>161</v>
      </c>
      <c r="K23" s="3"/>
      <c r="L23" s="3"/>
      <c r="M23" s="3" t="s">
        <v>108</v>
      </c>
      <c r="N23" s="3" t="s">
        <v>123</v>
      </c>
      <c r="O23" s="3" t="s">
        <v>136</v>
      </c>
      <c r="P23" s="3" t="s">
        <v>260</v>
      </c>
      <c r="Q23" s="3" t="s">
        <v>266</v>
      </c>
      <c r="R23" s="3"/>
      <c r="S23" s="3"/>
      <c r="T23" s="3"/>
      <c r="U23" s="3" t="s">
        <v>22</v>
      </c>
      <c r="V23" s="3"/>
      <c r="W23" s="3" t="s">
        <v>124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 t="s">
        <v>125</v>
      </c>
      <c r="AZ23" s="3" t="s">
        <v>267</v>
      </c>
      <c r="BA23" s="3" t="s">
        <v>127</v>
      </c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144"/>
      <c r="CN23" s="144"/>
      <c r="CO23" s="144"/>
      <c r="CP23" s="144"/>
      <c r="CQ23" s="144"/>
      <c r="CR23" s="144" t="s">
        <v>143</v>
      </c>
      <c r="CS23" s="144" t="s">
        <v>268</v>
      </c>
      <c r="CT23" s="3" t="s">
        <v>269</v>
      </c>
      <c r="CU23" s="144" t="s">
        <v>116</v>
      </c>
      <c r="CV23" s="144" t="s">
        <v>169</v>
      </c>
      <c r="CW23" s="144"/>
      <c r="DG23" s="143"/>
    </row>
    <row r="24" spans="1:111" ht="11.25">
      <c r="A24" s="3">
        <v>23</v>
      </c>
      <c r="B24" s="4">
        <v>46168.434687499997</v>
      </c>
      <c r="C24" s="4">
        <v>46168.4448148148</v>
      </c>
      <c r="D24" s="3" t="s">
        <v>270</v>
      </c>
      <c r="E24" s="3" t="s">
        <v>271</v>
      </c>
      <c r="F24" s="3" t="s">
        <v>272</v>
      </c>
      <c r="G24" s="3" t="s">
        <v>273</v>
      </c>
      <c r="H24" s="4">
        <v>46157</v>
      </c>
      <c r="I24" s="4" t="s">
        <v>135</v>
      </c>
      <c r="J24" s="3" t="s">
        <v>161</v>
      </c>
      <c r="K24" s="3"/>
      <c r="L24" s="3"/>
      <c r="M24" s="3" t="s">
        <v>108</v>
      </c>
      <c r="N24" s="3" t="s">
        <v>109</v>
      </c>
      <c r="O24" s="3" t="s">
        <v>136</v>
      </c>
      <c r="P24" s="3" t="s">
        <v>274</v>
      </c>
      <c r="Q24" s="3" t="s">
        <v>275</v>
      </c>
      <c r="R24" s="3"/>
      <c r="S24" s="3"/>
      <c r="T24" s="3"/>
      <c r="U24" s="3" t="s">
        <v>22</v>
      </c>
      <c r="V24" s="3"/>
      <c r="W24" s="3" t="s">
        <v>199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 t="s">
        <v>276</v>
      </c>
      <c r="BI24" s="3" t="s">
        <v>277</v>
      </c>
      <c r="BJ24" s="3" t="s">
        <v>278</v>
      </c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144"/>
      <c r="CN24" s="144"/>
      <c r="CO24" s="144"/>
      <c r="CP24" s="144"/>
      <c r="CQ24" s="144"/>
      <c r="CR24" s="144" t="s">
        <v>149</v>
      </c>
      <c r="CS24" s="144" t="s">
        <v>181</v>
      </c>
      <c r="CT24" s="3" t="s">
        <v>279</v>
      </c>
      <c r="CU24" s="144" t="s">
        <v>129</v>
      </c>
      <c r="CV24" s="144" t="s">
        <v>130</v>
      </c>
      <c r="CW24" s="144"/>
      <c r="DG24" s="143"/>
    </row>
    <row r="25" spans="1:111" ht="11.25">
      <c r="A25" s="3">
        <v>24</v>
      </c>
      <c r="B25" s="4">
        <v>46168.444918981499</v>
      </c>
      <c r="C25" s="4">
        <v>46168.447314814803</v>
      </c>
      <c r="D25" s="3" t="s">
        <v>270</v>
      </c>
      <c r="E25" s="3" t="s">
        <v>271</v>
      </c>
      <c r="F25" s="3" t="s">
        <v>272</v>
      </c>
      <c r="G25" s="3" t="s">
        <v>273</v>
      </c>
      <c r="H25" s="4">
        <v>46160</v>
      </c>
      <c r="I25" s="4" t="s">
        <v>135</v>
      </c>
      <c r="J25" s="3" t="s">
        <v>161</v>
      </c>
      <c r="K25" s="3"/>
      <c r="L25" s="3"/>
      <c r="M25" s="3" t="s">
        <v>108</v>
      </c>
      <c r="N25" s="3" t="s">
        <v>109</v>
      </c>
      <c r="O25" s="3" t="s">
        <v>136</v>
      </c>
      <c r="P25" s="3" t="s">
        <v>274</v>
      </c>
      <c r="Q25" s="3" t="s">
        <v>275</v>
      </c>
      <c r="R25" s="3"/>
      <c r="S25" s="3"/>
      <c r="T25" s="3"/>
      <c r="U25" s="3" t="s">
        <v>22</v>
      </c>
      <c r="V25" s="3"/>
      <c r="W25" s="3" t="s">
        <v>199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 t="s">
        <v>280</v>
      </c>
      <c r="BI25" s="3" t="s">
        <v>281</v>
      </c>
      <c r="BJ25" s="3" t="s">
        <v>282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144"/>
      <c r="CN25" s="144"/>
      <c r="CO25" s="144"/>
      <c r="CP25" s="144"/>
      <c r="CQ25" s="144"/>
      <c r="CR25" s="144" t="s">
        <v>149</v>
      </c>
      <c r="CS25" s="144" t="s">
        <v>181</v>
      </c>
      <c r="CT25" s="3" t="s">
        <v>283</v>
      </c>
      <c r="CU25" s="144" t="s">
        <v>129</v>
      </c>
      <c r="CV25" s="144" t="s">
        <v>130</v>
      </c>
      <c r="CW25" s="144"/>
      <c r="DG25" s="143"/>
    </row>
    <row r="26" spans="1:111" ht="11.25">
      <c r="A26" s="3">
        <v>25</v>
      </c>
      <c r="B26" s="4">
        <v>46168.447361111103</v>
      </c>
      <c r="C26" s="4">
        <v>46168.448657407404</v>
      </c>
      <c r="D26" s="3" t="s">
        <v>270</v>
      </c>
      <c r="E26" s="3" t="s">
        <v>271</v>
      </c>
      <c r="F26" s="3" t="s">
        <v>271</v>
      </c>
      <c r="G26" s="3" t="s">
        <v>273</v>
      </c>
      <c r="H26" s="4">
        <v>46161</v>
      </c>
      <c r="I26" s="4" t="s">
        <v>135</v>
      </c>
      <c r="J26" s="3" t="s">
        <v>161</v>
      </c>
      <c r="K26" s="3"/>
      <c r="L26" s="3"/>
      <c r="M26" s="3" t="s">
        <v>108</v>
      </c>
      <c r="N26" s="3" t="s">
        <v>109</v>
      </c>
      <c r="O26" s="3" t="s">
        <v>136</v>
      </c>
      <c r="P26" s="3" t="s">
        <v>274</v>
      </c>
      <c r="Q26" s="3" t="s">
        <v>275</v>
      </c>
      <c r="R26" s="3"/>
      <c r="S26" s="3"/>
      <c r="T26" s="3"/>
      <c r="U26" s="3" t="s">
        <v>22</v>
      </c>
      <c r="V26" s="3"/>
      <c r="W26" s="3" t="s">
        <v>199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 t="s">
        <v>280</v>
      </c>
      <c r="BI26" s="3" t="s">
        <v>284</v>
      </c>
      <c r="BJ26" s="3" t="s">
        <v>278</v>
      </c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144"/>
      <c r="CN26" s="144"/>
      <c r="CO26" s="144"/>
      <c r="CP26" s="144"/>
      <c r="CQ26" s="144"/>
      <c r="CR26" s="144" t="s">
        <v>149</v>
      </c>
      <c r="CS26" s="144" t="s">
        <v>181</v>
      </c>
      <c r="CT26" s="3" t="s">
        <v>283</v>
      </c>
      <c r="CU26" s="144" t="s">
        <v>129</v>
      </c>
      <c r="CV26" s="144" t="s">
        <v>130</v>
      </c>
      <c r="CW26" s="144"/>
      <c r="DG26" s="143"/>
    </row>
    <row r="27" spans="1:111" ht="11.25">
      <c r="A27" s="3">
        <v>26</v>
      </c>
      <c r="B27" s="4">
        <v>46168.516828703701</v>
      </c>
      <c r="C27" s="4">
        <v>46168.519884259302</v>
      </c>
      <c r="D27" s="3" t="s">
        <v>131</v>
      </c>
      <c r="E27" s="3" t="s">
        <v>132</v>
      </c>
      <c r="F27" s="3" t="s">
        <v>133</v>
      </c>
      <c r="G27" s="3" t="s">
        <v>134</v>
      </c>
      <c r="H27" s="4">
        <v>46150</v>
      </c>
      <c r="I27" s="4" t="s">
        <v>107</v>
      </c>
      <c r="J27" s="3" t="s">
        <v>174</v>
      </c>
      <c r="K27" s="3"/>
      <c r="L27" s="3" t="s">
        <v>285</v>
      </c>
      <c r="M27" s="3" t="s">
        <v>108</v>
      </c>
      <c r="N27" s="3" t="s">
        <v>109</v>
      </c>
      <c r="O27" s="3" t="s">
        <v>136</v>
      </c>
      <c r="P27" s="3"/>
      <c r="Q27" s="3" t="s">
        <v>286</v>
      </c>
      <c r="R27" s="3"/>
      <c r="S27" s="3"/>
      <c r="T27" s="3"/>
      <c r="U27" s="3" t="s">
        <v>22</v>
      </c>
      <c r="V27" s="3"/>
      <c r="W27" s="3" t="s">
        <v>199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 t="s">
        <v>287</v>
      </c>
      <c r="BI27" s="3" t="s">
        <v>288</v>
      </c>
      <c r="BJ27" s="3" t="s">
        <v>289</v>
      </c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144"/>
      <c r="CN27" s="144"/>
      <c r="CO27" s="144"/>
      <c r="CP27" s="144"/>
      <c r="CQ27" s="144"/>
      <c r="CR27" s="144" t="s">
        <v>149</v>
      </c>
      <c r="CS27" s="144" t="s">
        <v>290</v>
      </c>
      <c r="CT27" s="3" t="s">
        <v>291</v>
      </c>
      <c r="CU27" s="144" t="s">
        <v>129</v>
      </c>
      <c r="CV27" s="144" t="s">
        <v>130</v>
      </c>
      <c r="CW27" s="144"/>
      <c r="DG27" s="143"/>
    </row>
    <row r="28" spans="1:111" ht="11.25">
      <c r="A28" s="3">
        <v>27</v>
      </c>
      <c r="B28" s="4">
        <v>46168.592523148101</v>
      </c>
      <c r="C28" s="4">
        <v>46168.595775463</v>
      </c>
      <c r="D28" s="3" t="s">
        <v>103</v>
      </c>
      <c r="E28" s="3" t="s">
        <v>104</v>
      </c>
      <c r="F28" s="3" t="s">
        <v>105</v>
      </c>
      <c r="G28" s="3" t="s">
        <v>106</v>
      </c>
      <c r="H28" s="4">
        <v>46164</v>
      </c>
      <c r="I28" s="4" t="s">
        <v>107</v>
      </c>
      <c r="J28" s="3" t="s">
        <v>174</v>
      </c>
      <c r="K28" s="3"/>
      <c r="L28" s="3" t="s">
        <v>292</v>
      </c>
      <c r="M28" s="3" t="s">
        <v>108</v>
      </c>
      <c r="N28" s="3" t="s">
        <v>109</v>
      </c>
      <c r="O28" s="3" t="s">
        <v>136</v>
      </c>
      <c r="P28" s="3"/>
      <c r="Q28" s="3" t="s">
        <v>293</v>
      </c>
      <c r="R28" s="3"/>
      <c r="S28" s="3"/>
      <c r="T28" s="3"/>
      <c r="U28" s="3" t="s">
        <v>22</v>
      </c>
      <c r="V28" s="3"/>
      <c r="W28" s="3" t="s">
        <v>199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 t="s">
        <v>294</v>
      </c>
      <c r="BI28" s="3" t="s">
        <v>208</v>
      </c>
      <c r="BJ28" s="3" t="s">
        <v>295</v>
      </c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144"/>
      <c r="CN28" s="144"/>
      <c r="CO28" s="144"/>
      <c r="CP28" s="144"/>
      <c r="CQ28" s="144"/>
      <c r="CR28" s="144" t="s">
        <v>143</v>
      </c>
      <c r="CS28" s="144" t="s">
        <v>181</v>
      </c>
      <c r="CT28" s="3" t="s">
        <v>186</v>
      </c>
      <c r="CU28" s="144" t="s">
        <v>151</v>
      </c>
      <c r="CV28" s="144" t="s">
        <v>130</v>
      </c>
      <c r="CW28" s="144"/>
      <c r="DG28" s="143"/>
    </row>
    <row r="29" spans="1:111" ht="11.25">
      <c r="A29" s="3">
        <v>28</v>
      </c>
      <c r="B29" s="4">
        <v>46168.656909722202</v>
      </c>
      <c r="C29" s="4">
        <v>46168.658611111103</v>
      </c>
      <c r="D29" s="3" t="s">
        <v>296</v>
      </c>
      <c r="E29" s="3" t="s">
        <v>297</v>
      </c>
      <c r="F29" s="3" t="s">
        <v>297</v>
      </c>
      <c r="G29" s="3" t="s">
        <v>298</v>
      </c>
      <c r="H29" s="4">
        <v>46149</v>
      </c>
      <c r="I29" s="4" t="s">
        <v>135</v>
      </c>
      <c r="J29" s="3" t="s">
        <v>161</v>
      </c>
      <c r="K29" s="3"/>
      <c r="L29" s="3"/>
      <c r="M29" s="3" t="s">
        <v>108</v>
      </c>
      <c r="N29" s="3" t="s">
        <v>299</v>
      </c>
      <c r="O29" s="3" t="s">
        <v>136</v>
      </c>
      <c r="P29" s="3" t="s">
        <v>300</v>
      </c>
      <c r="Q29" s="3" t="s">
        <v>301</v>
      </c>
      <c r="R29" s="3"/>
      <c r="S29" s="3"/>
      <c r="T29" s="3"/>
      <c r="U29" s="3" t="s">
        <v>22</v>
      </c>
      <c r="V29" s="3"/>
      <c r="W29" s="3" t="s">
        <v>302</v>
      </c>
      <c r="X29" s="3"/>
      <c r="Y29" s="3"/>
      <c r="Z29" s="3"/>
      <c r="AA29" s="3" t="s">
        <v>303</v>
      </c>
      <c r="AB29" s="3" t="s">
        <v>304</v>
      </c>
      <c r="AC29" s="3" t="s">
        <v>141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144"/>
      <c r="CN29" s="144"/>
      <c r="CO29" s="144"/>
      <c r="CP29" s="144"/>
      <c r="CQ29" s="144"/>
      <c r="CR29" s="144" t="s">
        <v>143</v>
      </c>
      <c r="CS29" s="144" t="s">
        <v>150</v>
      </c>
      <c r="CT29" s="3" t="s">
        <v>253</v>
      </c>
      <c r="CU29" s="144" t="s">
        <v>151</v>
      </c>
      <c r="CV29" s="144" t="s">
        <v>130</v>
      </c>
      <c r="CW29" s="144"/>
      <c r="DG29" s="143"/>
    </row>
    <row r="30" spans="1:111" ht="11.25">
      <c r="A30" s="3">
        <v>29</v>
      </c>
      <c r="B30" s="4">
        <v>46168.6575115741</v>
      </c>
      <c r="C30" s="4">
        <v>46168.660081018497</v>
      </c>
      <c r="D30" s="3" t="s">
        <v>270</v>
      </c>
      <c r="E30" s="3" t="s">
        <v>271</v>
      </c>
      <c r="F30" s="3" t="s">
        <v>272</v>
      </c>
      <c r="G30" s="3" t="s">
        <v>273</v>
      </c>
      <c r="H30" s="4">
        <v>46148</v>
      </c>
      <c r="I30" s="4" t="s">
        <v>195</v>
      </c>
      <c r="J30" s="3" t="s">
        <v>161</v>
      </c>
      <c r="K30" s="3"/>
      <c r="L30" s="3"/>
      <c r="M30" s="3" t="s">
        <v>305</v>
      </c>
      <c r="N30" s="3" t="s">
        <v>109</v>
      </c>
      <c r="O30" s="3" t="s">
        <v>136</v>
      </c>
      <c r="P30" s="3" t="s">
        <v>306</v>
      </c>
      <c r="Q30" s="3" t="s">
        <v>275</v>
      </c>
      <c r="R30" s="3"/>
      <c r="S30" s="3"/>
      <c r="T30" s="3"/>
      <c r="U30" s="3" t="s">
        <v>22</v>
      </c>
      <c r="V30" s="3"/>
      <c r="W30" s="3" t="s">
        <v>124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 t="s">
        <v>307</v>
      </c>
      <c r="AZ30" s="3" t="s">
        <v>308</v>
      </c>
      <c r="BA30" s="3" t="s">
        <v>309</v>
      </c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144"/>
      <c r="CN30" s="144"/>
      <c r="CO30" s="144"/>
      <c r="CP30" s="144"/>
      <c r="CQ30" s="144"/>
      <c r="CR30" s="144" t="s">
        <v>149</v>
      </c>
      <c r="CS30" s="144" t="s">
        <v>181</v>
      </c>
      <c r="CT30" s="3" t="s">
        <v>310</v>
      </c>
      <c r="CU30" s="144" t="s">
        <v>129</v>
      </c>
      <c r="CV30" s="144" t="s">
        <v>130</v>
      </c>
      <c r="CW30" s="144"/>
      <c r="DG30" s="143"/>
    </row>
    <row r="31" spans="1:111" ht="11.25">
      <c r="A31" s="3">
        <v>30</v>
      </c>
      <c r="B31" s="4">
        <v>46168.660115740699</v>
      </c>
      <c r="C31" s="4">
        <v>46168.661898148101</v>
      </c>
      <c r="D31" s="3" t="s">
        <v>270</v>
      </c>
      <c r="E31" s="3" t="s">
        <v>271</v>
      </c>
      <c r="F31" s="3" t="s">
        <v>272</v>
      </c>
      <c r="G31" s="3" t="s">
        <v>273</v>
      </c>
      <c r="H31" s="4">
        <v>46155</v>
      </c>
      <c r="I31" s="4" t="s">
        <v>195</v>
      </c>
      <c r="J31" s="3" t="s">
        <v>161</v>
      </c>
      <c r="K31" s="3"/>
      <c r="L31" s="3"/>
      <c r="M31" s="3" t="s">
        <v>221</v>
      </c>
      <c r="N31" s="3" t="s">
        <v>109</v>
      </c>
      <c r="O31" s="3" t="s">
        <v>136</v>
      </c>
      <c r="P31" s="3" t="s">
        <v>311</v>
      </c>
      <c r="Q31" s="3" t="s">
        <v>275</v>
      </c>
      <c r="R31" s="3"/>
      <c r="S31" s="3"/>
      <c r="T31" s="3"/>
      <c r="U31" s="3" t="s">
        <v>22</v>
      </c>
      <c r="V31" s="3"/>
      <c r="W31" s="3" t="s">
        <v>124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 t="s">
        <v>312</v>
      </c>
      <c r="AZ31" s="3" t="s">
        <v>313</v>
      </c>
      <c r="BA31" s="3" t="s">
        <v>314</v>
      </c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144"/>
      <c r="CN31" s="144"/>
      <c r="CO31" s="144"/>
      <c r="CP31" s="144"/>
      <c r="CQ31" s="144"/>
      <c r="CR31" s="144" t="s">
        <v>149</v>
      </c>
      <c r="CS31" s="144" t="s">
        <v>181</v>
      </c>
      <c r="CT31" s="3" t="s">
        <v>315</v>
      </c>
      <c r="CU31" s="144" t="s">
        <v>129</v>
      </c>
      <c r="CV31" s="144" t="s">
        <v>130</v>
      </c>
      <c r="CW31" s="144"/>
      <c r="DG31" s="143"/>
    </row>
    <row r="32" spans="1:111" ht="11.25">
      <c r="A32" s="3">
        <v>31</v>
      </c>
      <c r="B32" s="4">
        <v>46168.595833333296</v>
      </c>
      <c r="C32" s="4">
        <v>46168.673634259299</v>
      </c>
      <c r="D32" s="3" t="s">
        <v>103</v>
      </c>
      <c r="E32" s="3" t="s">
        <v>104</v>
      </c>
      <c r="F32" s="3" t="s">
        <v>105</v>
      </c>
      <c r="G32" s="3" t="s">
        <v>106</v>
      </c>
      <c r="H32" s="4">
        <v>46164</v>
      </c>
      <c r="I32" s="4" t="s">
        <v>107</v>
      </c>
      <c r="J32" s="3" t="s">
        <v>174</v>
      </c>
      <c r="K32" s="3"/>
      <c r="L32" s="3" t="s">
        <v>292</v>
      </c>
      <c r="M32" s="3" t="s">
        <v>108</v>
      </c>
      <c r="N32" s="3" t="s">
        <v>109</v>
      </c>
      <c r="O32" s="3" t="s">
        <v>136</v>
      </c>
      <c r="P32" s="3"/>
      <c r="Q32" s="3" t="s">
        <v>293</v>
      </c>
      <c r="R32" s="3"/>
      <c r="S32" s="3"/>
      <c r="T32" s="3"/>
      <c r="U32" s="3" t="s">
        <v>22</v>
      </c>
      <c r="V32" s="3"/>
      <c r="W32" s="3" t="s">
        <v>146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 t="s">
        <v>316</v>
      </c>
      <c r="BL32" s="3" t="s">
        <v>317</v>
      </c>
      <c r="BM32" s="3" t="s">
        <v>318</v>
      </c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144"/>
      <c r="CN32" s="144"/>
      <c r="CO32" s="144"/>
      <c r="CP32" s="144"/>
      <c r="CQ32" s="144"/>
      <c r="CR32" s="144" t="s">
        <v>114</v>
      </c>
      <c r="CS32" s="144" t="s">
        <v>319</v>
      </c>
      <c r="CT32" s="3" t="s">
        <v>320</v>
      </c>
      <c r="CU32" s="144" t="s">
        <v>151</v>
      </c>
      <c r="CV32" s="144" t="s">
        <v>130</v>
      </c>
      <c r="CW32" s="144"/>
      <c r="DG32" s="143"/>
    </row>
    <row r="33" spans="1:111" ht="11.25">
      <c r="A33" s="3">
        <v>32</v>
      </c>
      <c r="B33" s="4">
        <v>46168.673668981501</v>
      </c>
      <c r="C33" s="4">
        <v>46168.676006944399</v>
      </c>
      <c r="D33" s="3" t="s">
        <v>103</v>
      </c>
      <c r="E33" s="3" t="s">
        <v>104</v>
      </c>
      <c r="F33" s="3" t="s">
        <v>105</v>
      </c>
      <c r="G33" s="3" t="s">
        <v>106</v>
      </c>
      <c r="H33" s="4">
        <v>46164</v>
      </c>
      <c r="I33" s="4" t="s">
        <v>107</v>
      </c>
      <c r="J33" s="3" t="s">
        <v>174</v>
      </c>
      <c r="K33" s="3"/>
      <c r="L33" s="3" t="s">
        <v>292</v>
      </c>
      <c r="M33" s="3" t="s">
        <v>108</v>
      </c>
      <c r="N33" s="3" t="s">
        <v>109</v>
      </c>
      <c r="O33" s="3" t="s">
        <v>136</v>
      </c>
      <c r="P33" s="3"/>
      <c r="Q33" s="3" t="s">
        <v>293</v>
      </c>
      <c r="R33" s="3"/>
      <c r="S33" s="3"/>
      <c r="T33" s="3"/>
      <c r="U33" s="3" t="s">
        <v>22</v>
      </c>
      <c r="V33" s="3"/>
      <c r="W33" s="3" t="s">
        <v>321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 t="s">
        <v>322</v>
      </c>
      <c r="BR33" s="3" t="s">
        <v>323</v>
      </c>
      <c r="BS33" s="3" t="s">
        <v>324</v>
      </c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144"/>
      <c r="CN33" s="144"/>
      <c r="CO33" s="144"/>
      <c r="CP33" s="144"/>
      <c r="CQ33" s="144"/>
      <c r="CR33" s="144" t="s">
        <v>149</v>
      </c>
      <c r="CS33" s="144" t="s">
        <v>325</v>
      </c>
      <c r="CT33" s="3" t="s">
        <v>326</v>
      </c>
      <c r="CU33" s="144" t="s">
        <v>151</v>
      </c>
      <c r="CV33" s="144" t="s">
        <v>130</v>
      </c>
      <c r="CW33" s="144"/>
      <c r="DG33" s="143"/>
    </row>
    <row r="34" spans="1:111" ht="11.25">
      <c r="A34" s="3">
        <v>33</v>
      </c>
      <c r="B34" s="4">
        <v>46168.683055555601</v>
      </c>
      <c r="C34" s="4">
        <v>46168.685532407399</v>
      </c>
      <c r="D34" s="3" t="s">
        <v>296</v>
      </c>
      <c r="E34" s="3" t="s">
        <v>297</v>
      </c>
      <c r="F34" s="3" t="s">
        <v>297</v>
      </c>
      <c r="G34" s="3" t="s">
        <v>298</v>
      </c>
      <c r="H34" s="4">
        <v>46148</v>
      </c>
      <c r="I34" s="4" t="s">
        <v>160</v>
      </c>
      <c r="J34" s="3" t="s">
        <v>161</v>
      </c>
      <c r="K34" s="3"/>
      <c r="L34" s="3"/>
      <c r="M34" s="3" t="s">
        <v>108</v>
      </c>
      <c r="N34" s="3" t="s">
        <v>123</v>
      </c>
      <c r="O34" s="3" t="s">
        <v>136</v>
      </c>
      <c r="P34" s="3" t="s">
        <v>327</v>
      </c>
      <c r="Q34" s="3" t="s">
        <v>328</v>
      </c>
      <c r="R34" s="3"/>
      <c r="S34" s="3"/>
      <c r="T34" s="3"/>
      <c r="U34" s="3" t="s">
        <v>22</v>
      </c>
      <c r="V34" s="3"/>
      <c r="W34" s="3" t="s">
        <v>329</v>
      </c>
      <c r="X34" s="3" t="s">
        <v>186</v>
      </c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144"/>
      <c r="CN34" s="144"/>
      <c r="CO34" s="144"/>
      <c r="CP34" s="144"/>
      <c r="CQ34" s="144"/>
      <c r="CR34" s="144" t="s">
        <v>149</v>
      </c>
      <c r="CS34" s="144" t="s">
        <v>181</v>
      </c>
      <c r="CT34" s="3" t="s">
        <v>186</v>
      </c>
      <c r="CU34" s="144" t="s">
        <v>129</v>
      </c>
      <c r="CV34" s="144" t="s">
        <v>130</v>
      </c>
      <c r="CW34" s="144"/>
      <c r="DG34" s="143"/>
    </row>
    <row r="35" spans="1:111" ht="11.25">
      <c r="A35" s="3">
        <v>34</v>
      </c>
      <c r="B35" s="4">
        <v>46168.6855671296</v>
      </c>
      <c r="C35" s="4">
        <v>46168.688159722202</v>
      </c>
      <c r="D35" s="3" t="s">
        <v>296</v>
      </c>
      <c r="E35" s="3" t="s">
        <v>297</v>
      </c>
      <c r="F35" s="3" t="s">
        <v>297</v>
      </c>
      <c r="G35" s="3" t="s">
        <v>298</v>
      </c>
      <c r="H35" s="4">
        <v>46153</v>
      </c>
      <c r="I35" s="4" t="s">
        <v>195</v>
      </c>
      <c r="J35" s="3" t="s">
        <v>161</v>
      </c>
      <c r="K35" s="3"/>
      <c r="L35" s="3"/>
      <c r="M35" s="3" t="s">
        <v>305</v>
      </c>
      <c r="N35" s="3" t="s">
        <v>123</v>
      </c>
      <c r="O35" s="3" t="s">
        <v>136</v>
      </c>
      <c r="P35" s="3" t="s">
        <v>327</v>
      </c>
      <c r="Q35" s="3" t="s">
        <v>328</v>
      </c>
      <c r="R35" s="3"/>
      <c r="S35" s="3"/>
      <c r="T35" s="3"/>
      <c r="U35" s="3" t="s">
        <v>22</v>
      </c>
      <c r="V35" s="3"/>
      <c r="W35" s="3" t="s">
        <v>124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 t="s">
        <v>330</v>
      </c>
      <c r="AZ35" s="3" t="s">
        <v>141</v>
      </c>
      <c r="BA35" s="3" t="s">
        <v>331</v>
      </c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144"/>
      <c r="CN35" s="144"/>
      <c r="CO35" s="144"/>
      <c r="CP35" s="144"/>
      <c r="CQ35" s="144"/>
      <c r="CR35" s="144" t="s">
        <v>143</v>
      </c>
      <c r="CS35" s="144" t="s">
        <v>181</v>
      </c>
      <c r="CT35" s="3" t="s">
        <v>186</v>
      </c>
      <c r="CU35" s="144" t="s">
        <v>129</v>
      </c>
      <c r="CV35" s="144" t="s">
        <v>130</v>
      </c>
      <c r="CW35" s="144"/>
      <c r="DG35" s="143"/>
    </row>
    <row r="36" spans="1:111" ht="11.25">
      <c r="A36" s="3">
        <v>35</v>
      </c>
      <c r="B36" s="4">
        <v>46168.688530092601</v>
      </c>
      <c r="C36" s="4">
        <v>46168.689699074101</v>
      </c>
      <c r="D36" s="3" t="s">
        <v>296</v>
      </c>
      <c r="E36" s="3" t="s">
        <v>297</v>
      </c>
      <c r="F36" s="3" t="s">
        <v>297</v>
      </c>
      <c r="G36" s="3" t="s">
        <v>298</v>
      </c>
      <c r="H36" s="4">
        <v>46153</v>
      </c>
      <c r="I36" s="4" t="s">
        <v>195</v>
      </c>
      <c r="J36" s="3" t="s">
        <v>161</v>
      </c>
      <c r="K36" s="3"/>
      <c r="L36" s="3"/>
      <c r="M36" s="3" t="s">
        <v>196</v>
      </c>
      <c r="N36" s="3" t="s">
        <v>123</v>
      </c>
      <c r="O36" s="3" t="s">
        <v>136</v>
      </c>
      <c r="P36" s="3" t="s">
        <v>327</v>
      </c>
      <c r="Q36" s="3" t="s">
        <v>328</v>
      </c>
      <c r="R36" s="3"/>
      <c r="S36" s="3"/>
      <c r="T36" s="3"/>
      <c r="U36" s="3" t="s">
        <v>22</v>
      </c>
      <c r="V36" s="3"/>
      <c r="W36" s="3" t="s">
        <v>124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 t="s">
        <v>332</v>
      </c>
      <c r="AZ36" s="3" t="s">
        <v>333</v>
      </c>
      <c r="BA36" s="3" t="s">
        <v>334</v>
      </c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144"/>
      <c r="CN36" s="144"/>
      <c r="CO36" s="144"/>
      <c r="CP36" s="144"/>
      <c r="CQ36" s="144"/>
      <c r="CR36" s="144" t="s">
        <v>143</v>
      </c>
      <c r="CS36" s="144" t="s">
        <v>181</v>
      </c>
      <c r="CT36" s="3" t="s">
        <v>186</v>
      </c>
      <c r="CU36" s="144" t="s">
        <v>151</v>
      </c>
      <c r="CV36" s="144" t="s">
        <v>130</v>
      </c>
      <c r="CW36" s="144"/>
      <c r="DG36" s="143"/>
    </row>
    <row r="37" spans="1:111" ht="11.25">
      <c r="A37" s="3">
        <v>36</v>
      </c>
      <c r="B37" s="4">
        <v>46168.689872685201</v>
      </c>
      <c r="C37" s="4">
        <v>46168.693761574097</v>
      </c>
      <c r="D37" s="3" t="s">
        <v>296</v>
      </c>
      <c r="E37" s="3" t="s">
        <v>297</v>
      </c>
      <c r="F37" s="3" t="s">
        <v>297</v>
      </c>
      <c r="G37" s="3" t="s">
        <v>298</v>
      </c>
      <c r="H37" s="4">
        <v>46155</v>
      </c>
      <c r="I37" s="4" t="s">
        <v>160</v>
      </c>
      <c r="J37" s="3" t="s">
        <v>161</v>
      </c>
      <c r="K37" s="3"/>
      <c r="L37" s="3"/>
      <c r="M37" s="3" t="s">
        <v>108</v>
      </c>
      <c r="N37" s="3" t="s">
        <v>109</v>
      </c>
      <c r="O37" s="3" t="s">
        <v>136</v>
      </c>
      <c r="P37" s="3" t="s">
        <v>327</v>
      </c>
      <c r="Q37" s="3" t="s">
        <v>335</v>
      </c>
      <c r="R37" s="3"/>
      <c r="S37" s="3"/>
      <c r="T37" s="3"/>
      <c r="U37" s="3" t="s">
        <v>22</v>
      </c>
      <c r="V37" s="3"/>
      <c r="W37" s="3" t="s">
        <v>329</v>
      </c>
      <c r="X37" s="3" t="s">
        <v>186</v>
      </c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144"/>
      <c r="CN37" s="144"/>
      <c r="CO37" s="144"/>
      <c r="CP37" s="144"/>
      <c r="CQ37" s="144"/>
      <c r="CR37" s="144" t="s">
        <v>143</v>
      </c>
      <c r="CS37" s="144" t="s">
        <v>181</v>
      </c>
      <c r="CT37" s="3" t="s">
        <v>186</v>
      </c>
      <c r="CU37" s="144" t="s">
        <v>151</v>
      </c>
      <c r="CV37" s="144" t="s">
        <v>130</v>
      </c>
      <c r="CW37" s="144"/>
      <c r="DG37" s="143"/>
    </row>
    <row r="38" spans="1:111" ht="11.25">
      <c r="A38" s="3">
        <v>37</v>
      </c>
      <c r="B38" s="4">
        <v>46168.694027777798</v>
      </c>
      <c r="C38" s="4">
        <v>46168.695138888899</v>
      </c>
      <c r="D38" s="3" t="s">
        <v>296</v>
      </c>
      <c r="E38" s="3" t="s">
        <v>297</v>
      </c>
      <c r="F38" s="3" t="s">
        <v>297</v>
      </c>
      <c r="G38" s="3" t="s">
        <v>298</v>
      </c>
      <c r="H38" s="4">
        <v>46149</v>
      </c>
      <c r="I38" s="4" t="s">
        <v>160</v>
      </c>
      <c r="J38" s="3" t="s">
        <v>161</v>
      </c>
      <c r="K38" s="3"/>
      <c r="L38" s="3"/>
      <c r="M38" s="3" t="s">
        <v>108</v>
      </c>
      <c r="N38" s="3" t="s">
        <v>123</v>
      </c>
      <c r="O38" s="3" t="s">
        <v>136</v>
      </c>
      <c r="P38" s="3" t="s">
        <v>327</v>
      </c>
      <c r="Q38" s="3" t="s">
        <v>336</v>
      </c>
      <c r="R38" s="3"/>
      <c r="S38" s="3"/>
      <c r="T38" s="3"/>
      <c r="U38" s="3" t="s">
        <v>22</v>
      </c>
      <c r="V38" s="3"/>
      <c r="W38" s="3" t="s">
        <v>329</v>
      </c>
      <c r="X38" s="3" t="s">
        <v>186</v>
      </c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144"/>
      <c r="CN38" s="144"/>
      <c r="CO38" s="144"/>
      <c r="CP38" s="144"/>
      <c r="CQ38" s="144"/>
      <c r="CR38" s="144" t="s">
        <v>143</v>
      </c>
      <c r="CS38" s="144" t="s">
        <v>181</v>
      </c>
      <c r="CT38" s="3" t="s">
        <v>186</v>
      </c>
      <c r="CU38" s="144" t="s">
        <v>151</v>
      </c>
      <c r="CV38" s="144" t="s">
        <v>130</v>
      </c>
      <c r="CW38" s="144"/>
      <c r="DG38" s="143"/>
    </row>
    <row r="39" spans="1:111" s="146" customFormat="1" ht="11.25">
      <c r="A39" s="3">
        <v>38</v>
      </c>
      <c r="B39" s="4">
        <v>46168.682152777801</v>
      </c>
      <c r="C39" s="4">
        <v>46168.697002314802</v>
      </c>
      <c r="D39" s="3" t="s">
        <v>337</v>
      </c>
      <c r="E39" s="3" t="s">
        <v>338</v>
      </c>
      <c r="F39" s="3" t="s">
        <v>339</v>
      </c>
      <c r="G39" s="3" t="s">
        <v>340</v>
      </c>
      <c r="H39" s="4">
        <v>46127</v>
      </c>
      <c r="I39" s="4" t="s">
        <v>122</v>
      </c>
      <c r="J39" s="3" t="s">
        <v>187</v>
      </c>
      <c r="K39" s="3" t="s">
        <v>341</v>
      </c>
      <c r="L39" s="3"/>
      <c r="M39" s="3" t="s">
        <v>108</v>
      </c>
      <c r="N39" s="3" t="s">
        <v>123</v>
      </c>
      <c r="O39" s="3" t="s">
        <v>136</v>
      </c>
      <c r="P39" s="3"/>
      <c r="Q39" s="3" t="s">
        <v>342</v>
      </c>
      <c r="R39" s="3"/>
      <c r="S39" s="3"/>
      <c r="T39" s="3"/>
      <c r="U39" s="3" t="s">
        <v>22</v>
      </c>
      <c r="V39" s="3"/>
      <c r="W39" s="3" t="s">
        <v>329</v>
      </c>
      <c r="X39" s="3" t="s">
        <v>343</v>
      </c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145"/>
      <c r="CN39" s="145"/>
      <c r="CO39" s="145"/>
      <c r="CP39" s="145"/>
      <c r="CQ39" s="145"/>
      <c r="CR39" s="145" t="s">
        <v>143</v>
      </c>
      <c r="CS39" s="145" t="s">
        <v>181</v>
      </c>
      <c r="CT39" s="3" t="s">
        <v>344</v>
      </c>
      <c r="CU39" s="145" t="s">
        <v>151</v>
      </c>
      <c r="CV39" s="145" t="s">
        <v>169</v>
      </c>
      <c r="CW39" s="145"/>
      <c r="CX39" s="145"/>
      <c r="CY39" s="145"/>
      <c r="CZ39" s="145"/>
      <c r="DA39" s="145"/>
      <c r="DB39" s="145"/>
      <c r="DC39" s="145"/>
      <c r="DD39" s="145"/>
      <c r="DE39" s="145"/>
      <c r="DF39" s="145"/>
    </row>
    <row r="40" spans="1:111" ht="11.25">
      <c r="A40" s="3">
        <v>39</v>
      </c>
      <c r="B40" s="4">
        <v>46168.699490740699</v>
      </c>
      <c r="C40" s="4">
        <v>46168.707060185203</v>
      </c>
      <c r="D40" s="3" t="s">
        <v>345</v>
      </c>
      <c r="E40" s="3" t="s">
        <v>346</v>
      </c>
      <c r="F40" s="3" t="s">
        <v>347</v>
      </c>
      <c r="G40" s="3" t="s">
        <v>348</v>
      </c>
      <c r="H40" s="4">
        <v>46149</v>
      </c>
      <c r="I40" s="4" t="s">
        <v>107</v>
      </c>
      <c r="J40" s="3" t="s">
        <v>174</v>
      </c>
      <c r="K40" s="3"/>
      <c r="L40" s="3" t="s">
        <v>349</v>
      </c>
      <c r="M40" s="3" t="s">
        <v>108</v>
      </c>
      <c r="N40" s="3" t="s">
        <v>109</v>
      </c>
      <c r="O40" s="3" t="s">
        <v>136</v>
      </c>
      <c r="P40" s="3"/>
      <c r="Q40" s="3"/>
      <c r="R40" s="3"/>
      <c r="S40" s="3"/>
      <c r="T40" s="3"/>
      <c r="U40" s="3" t="s">
        <v>22</v>
      </c>
      <c r="V40" s="3"/>
      <c r="W40" s="3" t="s">
        <v>139</v>
      </c>
      <c r="X40" s="3"/>
      <c r="Y40" s="3"/>
      <c r="Z40" s="3"/>
      <c r="AA40" s="3"/>
      <c r="AB40" s="3"/>
      <c r="AC40" s="3"/>
      <c r="AD40" s="3" t="s">
        <v>212</v>
      </c>
      <c r="AE40" s="3" t="s">
        <v>219</v>
      </c>
      <c r="AF40" s="3" t="s">
        <v>142</v>
      </c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144"/>
      <c r="CN40" s="144"/>
      <c r="CO40" s="144"/>
      <c r="CP40" s="144"/>
      <c r="CQ40" s="144"/>
      <c r="CR40" s="144" t="s">
        <v>149</v>
      </c>
      <c r="CS40" s="144" t="s">
        <v>181</v>
      </c>
      <c r="CT40" s="3" t="s">
        <v>350</v>
      </c>
      <c r="CU40" s="144" t="s">
        <v>129</v>
      </c>
      <c r="CV40" s="144" t="s">
        <v>130</v>
      </c>
      <c r="CW40" s="144"/>
      <c r="DG40" s="143"/>
    </row>
    <row r="41" spans="1:111" ht="11.25">
      <c r="A41" s="3">
        <v>40</v>
      </c>
      <c r="B41" s="4">
        <v>46168.701469907399</v>
      </c>
      <c r="C41" s="4">
        <v>46168.707939814798</v>
      </c>
      <c r="D41" s="3" t="s">
        <v>351</v>
      </c>
      <c r="E41" s="3" t="s">
        <v>352</v>
      </c>
      <c r="F41" s="3" t="s">
        <v>353</v>
      </c>
      <c r="G41" s="3" t="s">
        <v>354</v>
      </c>
      <c r="H41" s="4">
        <v>46154</v>
      </c>
      <c r="I41" s="4" t="s">
        <v>122</v>
      </c>
      <c r="J41" s="3" t="s">
        <v>161</v>
      </c>
      <c r="K41" s="3"/>
      <c r="L41" s="3"/>
      <c r="M41" s="3" t="s">
        <v>108</v>
      </c>
      <c r="N41" s="3" t="s">
        <v>123</v>
      </c>
      <c r="O41" s="3" t="s">
        <v>136</v>
      </c>
      <c r="P41" s="3" t="s">
        <v>355</v>
      </c>
      <c r="Q41" s="3" t="s">
        <v>356</v>
      </c>
      <c r="R41" s="3"/>
      <c r="S41" s="3"/>
      <c r="T41" s="3"/>
      <c r="U41" s="3" t="s">
        <v>21</v>
      </c>
      <c r="V41" s="3" t="s">
        <v>177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 t="s">
        <v>357</v>
      </c>
      <c r="AH41" s="3" t="s">
        <v>358</v>
      </c>
      <c r="AI41" s="3" t="s">
        <v>359</v>
      </c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144"/>
      <c r="CN41" s="144"/>
      <c r="CO41" s="144"/>
      <c r="CP41" s="144"/>
      <c r="CQ41" s="144"/>
      <c r="CR41" s="144" t="s">
        <v>143</v>
      </c>
      <c r="CS41" s="144" t="s">
        <v>233</v>
      </c>
      <c r="CT41" s="3" t="s">
        <v>360</v>
      </c>
      <c r="CU41" s="144" t="s">
        <v>151</v>
      </c>
      <c r="CV41" s="144" t="s">
        <v>130</v>
      </c>
      <c r="CW41" s="144"/>
      <c r="DG41" s="143"/>
    </row>
    <row r="42" spans="1:111" ht="11.25">
      <c r="A42" s="3">
        <v>41</v>
      </c>
      <c r="B42" s="4">
        <v>46168.705428240697</v>
      </c>
      <c r="C42" s="4">
        <v>46168.713541666701</v>
      </c>
      <c r="D42" s="3" t="s">
        <v>238</v>
      </c>
      <c r="E42" s="3" t="s">
        <v>239</v>
      </c>
      <c r="F42" s="3" t="s">
        <v>239</v>
      </c>
      <c r="G42" s="3" t="s">
        <v>240</v>
      </c>
      <c r="H42" s="4">
        <v>46168</v>
      </c>
      <c r="I42" s="4" t="s">
        <v>122</v>
      </c>
      <c r="J42" s="3" t="s">
        <v>161</v>
      </c>
      <c r="K42" s="3"/>
      <c r="L42" s="3"/>
      <c r="M42" s="3" t="s">
        <v>108</v>
      </c>
      <c r="N42" s="3" t="s">
        <v>123</v>
      </c>
      <c r="O42" s="3" t="s">
        <v>241</v>
      </c>
      <c r="P42" s="3" t="s">
        <v>361</v>
      </c>
      <c r="Q42" s="3" t="s">
        <v>362</v>
      </c>
      <c r="R42" s="3"/>
      <c r="S42" s="3"/>
      <c r="T42" s="3"/>
      <c r="U42" s="3" t="s">
        <v>21</v>
      </c>
      <c r="V42" s="3" t="s">
        <v>177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 t="s">
        <v>230</v>
      </c>
      <c r="AH42" s="3" t="s">
        <v>363</v>
      </c>
      <c r="AI42" s="3" t="s">
        <v>364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144"/>
      <c r="CN42" s="144"/>
      <c r="CO42" s="144"/>
      <c r="CP42" s="144"/>
      <c r="CQ42" s="144"/>
      <c r="CR42" s="144" t="s">
        <v>143</v>
      </c>
      <c r="CS42" s="144" t="s">
        <v>233</v>
      </c>
      <c r="CT42" s="3" t="s">
        <v>365</v>
      </c>
      <c r="CU42" s="144" t="s">
        <v>151</v>
      </c>
      <c r="CV42" s="144" t="s">
        <v>130</v>
      </c>
      <c r="CW42" s="144"/>
      <c r="DG42" s="143"/>
    </row>
    <row r="43" spans="1:111" ht="11.25">
      <c r="A43" s="3">
        <v>42</v>
      </c>
      <c r="B43" s="4">
        <v>46168.707986111098</v>
      </c>
      <c r="C43" s="4">
        <v>46168.714363425897</v>
      </c>
      <c r="D43" s="3" t="s">
        <v>351</v>
      </c>
      <c r="E43" s="3" t="s">
        <v>352</v>
      </c>
      <c r="F43" s="3" t="s">
        <v>353</v>
      </c>
      <c r="G43" s="3" t="s">
        <v>354</v>
      </c>
      <c r="H43" s="4">
        <v>46146</v>
      </c>
      <c r="I43" s="4" t="s">
        <v>107</v>
      </c>
      <c r="J43" s="3" t="s">
        <v>161</v>
      </c>
      <c r="K43" s="3"/>
      <c r="L43" s="3"/>
      <c r="M43" s="3" t="s">
        <v>108</v>
      </c>
      <c r="N43" s="3" t="s">
        <v>109</v>
      </c>
      <c r="O43" s="3" t="s">
        <v>136</v>
      </c>
      <c r="P43" s="3" t="s">
        <v>366</v>
      </c>
      <c r="Q43" s="3" t="s">
        <v>367</v>
      </c>
      <c r="R43" s="3"/>
      <c r="S43" s="3"/>
      <c r="T43" s="3"/>
      <c r="U43" s="3" t="s">
        <v>22</v>
      </c>
      <c r="V43" s="3"/>
      <c r="W43" s="3" t="s">
        <v>139</v>
      </c>
      <c r="X43" s="3"/>
      <c r="Y43" s="3"/>
      <c r="Z43" s="3"/>
      <c r="AA43" s="3"/>
      <c r="AB43" s="3"/>
      <c r="AC43" s="3"/>
      <c r="AD43" s="3" t="s">
        <v>368</v>
      </c>
      <c r="AE43" s="3" t="s">
        <v>369</v>
      </c>
      <c r="AF43" s="3" t="s">
        <v>142</v>
      </c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144"/>
      <c r="CN43" s="144"/>
      <c r="CO43" s="144"/>
      <c r="CP43" s="144"/>
      <c r="CQ43" s="144"/>
      <c r="CR43" s="144" t="s">
        <v>149</v>
      </c>
      <c r="CS43" s="144" t="s">
        <v>181</v>
      </c>
      <c r="CT43" s="3" t="s">
        <v>370</v>
      </c>
      <c r="CU43" s="144" t="s">
        <v>151</v>
      </c>
      <c r="CV43" s="144" t="s">
        <v>130</v>
      </c>
      <c r="CW43" s="144"/>
      <c r="DG43" s="143"/>
    </row>
    <row r="44" spans="1:111" ht="11.25">
      <c r="A44" s="3">
        <v>43</v>
      </c>
      <c r="B44" s="4">
        <v>46168.709444444401</v>
      </c>
      <c r="C44" s="4">
        <v>46168.715601851902</v>
      </c>
      <c r="D44" s="3" t="s">
        <v>345</v>
      </c>
      <c r="E44" s="3" t="s">
        <v>346</v>
      </c>
      <c r="F44" s="3" t="s">
        <v>347</v>
      </c>
      <c r="G44" s="3" t="s">
        <v>348</v>
      </c>
      <c r="H44" s="4">
        <v>46147</v>
      </c>
      <c r="I44" s="4" t="s">
        <v>107</v>
      </c>
      <c r="J44" s="3" t="s">
        <v>161</v>
      </c>
      <c r="K44" s="3"/>
      <c r="L44" s="3"/>
      <c r="M44" s="3" t="s">
        <v>108</v>
      </c>
      <c r="N44" s="3" t="s">
        <v>248</v>
      </c>
      <c r="O44" s="3" t="s">
        <v>136</v>
      </c>
      <c r="P44" s="3" t="s">
        <v>371</v>
      </c>
      <c r="Q44" s="3" t="s">
        <v>372</v>
      </c>
      <c r="R44" s="3"/>
      <c r="S44" s="3"/>
      <c r="T44" s="3"/>
      <c r="U44" s="3" t="s">
        <v>22</v>
      </c>
      <c r="V44" s="3"/>
      <c r="W44" s="3" t="s">
        <v>329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 t="s">
        <v>373</v>
      </c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144"/>
      <c r="CN44" s="144"/>
      <c r="CO44" s="144"/>
      <c r="CP44" s="144"/>
      <c r="CQ44" s="144"/>
      <c r="CR44" s="144" t="s">
        <v>143</v>
      </c>
      <c r="CS44" s="144" t="s">
        <v>150</v>
      </c>
      <c r="CT44" s="3" t="s">
        <v>374</v>
      </c>
      <c r="CU44" s="144" t="s">
        <v>116</v>
      </c>
      <c r="CV44" s="144" t="s">
        <v>169</v>
      </c>
      <c r="CW44" s="144"/>
      <c r="DG44" s="143"/>
    </row>
    <row r="45" spans="1:111" ht="11.25">
      <c r="A45" s="3">
        <v>44</v>
      </c>
      <c r="B45" s="4">
        <v>46168.711828703701</v>
      </c>
      <c r="C45" s="4">
        <v>46168.715706018498</v>
      </c>
      <c r="D45" s="3" t="s">
        <v>103</v>
      </c>
      <c r="E45" s="3" t="s">
        <v>104</v>
      </c>
      <c r="F45" s="3" t="s">
        <v>375</v>
      </c>
      <c r="G45" s="3" t="s">
        <v>106</v>
      </c>
      <c r="H45" s="4">
        <v>46161</v>
      </c>
      <c r="I45" s="4" t="s">
        <v>195</v>
      </c>
      <c r="J45" s="3" t="s">
        <v>161</v>
      </c>
      <c r="K45" s="3"/>
      <c r="L45" s="3"/>
      <c r="M45" s="3" t="s">
        <v>305</v>
      </c>
      <c r="N45" s="3" t="s">
        <v>123</v>
      </c>
      <c r="O45" s="3" t="s">
        <v>136</v>
      </c>
      <c r="P45" s="3" t="s">
        <v>376</v>
      </c>
      <c r="Q45" s="3" t="s">
        <v>293</v>
      </c>
      <c r="R45" s="3"/>
      <c r="S45" s="3"/>
      <c r="T45" s="3"/>
      <c r="U45" s="3" t="s">
        <v>24</v>
      </c>
      <c r="V45" s="3"/>
      <c r="W45" s="3"/>
      <c r="X45" s="3"/>
      <c r="Y45" s="3" t="s">
        <v>190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 t="s">
        <v>377</v>
      </c>
      <c r="CG45" s="3" t="s">
        <v>378</v>
      </c>
      <c r="CH45" s="3" t="s">
        <v>379</v>
      </c>
      <c r="CI45" s="3"/>
      <c r="CJ45" s="3"/>
      <c r="CK45" s="3"/>
      <c r="CL45" s="3"/>
      <c r="CM45" s="144"/>
      <c r="CN45" s="144"/>
      <c r="CO45" s="144"/>
      <c r="CP45" s="144"/>
      <c r="CQ45" s="144"/>
      <c r="CR45" s="144" t="s">
        <v>149</v>
      </c>
      <c r="CS45" s="144" t="s">
        <v>181</v>
      </c>
      <c r="CT45" s="3" t="s">
        <v>380</v>
      </c>
      <c r="CU45" s="144" t="s">
        <v>151</v>
      </c>
      <c r="CV45" s="144" t="s">
        <v>130</v>
      </c>
      <c r="CW45" s="144"/>
      <c r="DG45" s="143"/>
    </row>
    <row r="46" spans="1:111" ht="11.25">
      <c r="A46" s="3">
        <v>45</v>
      </c>
      <c r="B46" s="4">
        <v>46168.714409722197</v>
      </c>
      <c r="C46" s="4">
        <v>46168.718912037002</v>
      </c>
      <c r="D46" s="3" t="s">
        <v>351</v>
      </c>
      <c r="E46" s="3" t="s">
        <v>352</v>
      </c>
      <c r="F46" s="3" t="s">
        <v>353</v>
      </c>
      <c r="G46" s="3" t="s">
        <v>354</v>
      </c>
      <c r="H46" s="4">
        <v>46162</v>
      </c>
      <c r="I46" s="4" t="s">
        <v>195</v>
      </c>
      <c r="J46" s="3" t="s">
        <v>187</v>
      </c>
      <c r="K46" s="3" t="s">
        <v>381</v>
      </c>
      <c r="L46" s="3"/>
      <c r="M46" s="3" t="s">
        <v>108</v>
      </c>
      <c r="N46" s="3" t="s">
        <v>123</v>
      </c>
      <c r="O46" s="3" t="s">
        <v>136</v>
      </c>
      <c r="P46" s="3"/>
      <c r="Q46" s="3" t="s">
        <v>382</v>
      </c>
      <c r="R46" s="3"/>
      <c r="S46" s="3"/>
      <c r="T46" s="3"/>
      <c r="U46" s="3" t="s">
        <v>22</v>
      </c>
      <c r="V46" s="3"/>
      <c r="W46" s="3" t="s">
        <v>124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 t="s">
        <v>383</v>
      </c>
      <c r="AZ46" s="3" t="s">
        <v>384</v>
      </c>
      <c r="BA46" s="3" t="s">
        <v>334</v>
      </c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144"/>
      <c r="CN46" s="144"/>
      <c r="CO46" s="144"/>
      <c r="CP46" s="144"/>
      <c r="CQ46" s="144"/>
      <c r="CR46" s="144" t="s">
        <v>149</v>
      </c>
      <c r="CS46" s="144" t="s">
        <v>181</v>
      </c>
      <c r="CT46" s="3" t="s">
        <v>385</v>
      </c>
      <c r="CU46" s="144" t="s">
        <v>129</v>
      </c>
      <c r="CV46" s="144" t="s">
        <v>130</v>
      </c>
      <c r="CW46" s="144"/>
      <c r="DG46" s="143"/>
    </row>
    <row r="47" spans="1:111" ht="11.25">
      <c r="A47" s="3">
        <v>46</v>
      </c>
      <c r="B47" s="4">
        <v>46168.715752314798</v>
      </c>
      <c r="C47" s="4">
        <v>46168.719594907401</v>
      </c>
      <c r="D47" s="3" t="s">
        <v>103</v>
      </c>
      <c r="E47" s="3" t="s">
        <v>104</v>
      </c>
      <c r="F47" s="3" t="s">
        <v>105</v>
      </c>
      <c r="G47" s="3" t="s">
        <v>106</v>
      </c>
      <c r="H47" s="4">
        <v>46157</v>
      </c>
      <c r="I47" s="4" t="s">
        <v>107</v>
      </c>
      <c r="J47" s="3" t="s">
        <v>174</v>
      </c>
      <c r="K47" s="3"/>
      <c r="L47" s="3" t="s">
        <v>175</v>
      </c>
      <c r="M47" s="3" t="s">
        <v>108</v>
      </c>
      <c r="N47" s="3" t="s">
        <v>109</v>
      </c>
      <c r="O47" s="3" t="s">
        <v>136</v>
      </c>
      <c r="P47" s="3"/>
      <c r="Q47" s="3" t="s">
        <v>176</v>
      </c>
      <c r="R47" s="3"/>
      <c r="S47" s="3"/>
      <c r="T47" s="3"/>
      <c r="U47" s="3" t="s">
        <v>21</v>
      </c>
      <c r="V47" s="3" t="s">
        <v>177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 t="s">
        <v>386</v>
      </c>
      <c r="AH47" s="3" t="s">
        <v>387</v>
      </c>
      <c r="AI47" s="3" t="s">
        <v>388</v>
      </c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144"/>
      <c r="CN47" s="144"/>
      <c r="CO47" s="144"/>
      <c r="CP47" s="144"/>
      <c r="CQ47" s="144"/>
      <c r="CR47" s="144" t="s">
        <v>143</v>
      </c>
      <c r="CS47" s="144" t="s">
        <v>181</v>
      </c>
      <c r="CT47" s="3" t="s">
        <v>389</v>
      </c>
      <c r="CU47" s="144" t="s">
        <v>151</v>
      </c>
      <c r="CV47" s="144" t="s">
        <v>130</v>
      </c>
      <c r="CW47" s="144"/>
      <c r="DG47" s="143"/>
    </row>
    <row r="48" spans="1:111" ht="11.25">
      <c r="A48" s="3">
        <v>47</v>
      </c>
      <c r="B48" s="4">
        <v>46168.718946759298</v>
      </c>
      <c r="C48" s="4">
        <v>46168.720949074101</v>
      </c>
      <c r="D48" s="3" t="s">
        <v>351</v>
      </c>
      <c r="E48" s="3" t="s">
        <v>352</v>
      </c>
      <c r="F48" s="3" t="s">
        <v>353</v>
      </c>
      <c r="G48" s="3" t="s">
        <v>354</v>
      </c>
      <c r="H48" s="4">
        <v>46155</v>
      </c>
      <c r="I48" s="4" t="s">
        <v>122</v>
      </c>
      <c r="J48" s="3" t="s">
        <v>187</v>
      </c>
      <c r="K48" s="3" t="s">
        <v>381</v>
      </c>
      <c r="L48" s="3"/>
      <c r="M48" s="3" t="s">
        <v>108</v>
      </c>
      <c r="N48" s="3" t="s">
        <v>123</v>
      </c>
      <c r="O48" s="3" t="s">
        <v>136</v>
      </c>
      <c r="P48" s="3"/>
      <c r="Q48" s="3" t="s">
        <v>390</v>
      </c>
      <c r="R48" s="3"/>
      <c r="S48" s="3"/>
      <c r="T48" s="3"/>
      <c r="U48" s="3" t="s">
        <v>22</v>
      </c>
      <c r="V48" s="3"/>
      <c r="W48" s="3" t="s">
        <v>124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 t="s">
        <v>391</v>
      </c>
      <c r="AZ48" s="3" t="s">
        <v>392</v>
      </c>
      <c r="BA48" s="3" t="s">
        <v>245</v>
      </c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144"/>
      <c r="CN48" s="144"/>
      <c r="CO48" s="144"/>
      <c r="CP48" s="144"/>
      <c r="CQ48" s="144"/>
      <c r="CR48" s="144" t="s">
        <v>143</v>
      </c>
      <c r="CS48" s="144" t="s">
        <v>181</v>
      </c>
      <c r="CT48" s="3" t="s">
        <v>393</v>
      </c>
      <c r="CU48" s="144" t="s">
        <v>129</v>
      </c>
      <c r="CV48" s="144" t="s">
        <v>130</v>
      </c>
      <c r="CW48" s="144"/>
      <c r="DG48" s="143"/>
    </row>
    <row r="49" spans="1:111" ht="11.25">
      <c r="A49" s="3">
        <v>48</v>
      </c>
      <c r="B49" s="4">
        <v>46168.7209953704</v>
      </c>
      <c r="C49" s="4">
        <v>46168.722638888903</v>
      </c>
      <c r="D49" s="3" t="s">
        <v>351</v>
      </c>
      <c r="E49" s="3" t="s">
        <v>352</v>
      </c>
      <c r="F49" s="3" t="s">
        <v>353</v>
      </c>
      <c r="G49" s="3" t="s">
        <v>354</v>
      </c>
      <c r="H49" s="4">
        <v>46162</v>
      </c>
      <c r="I49" s="4" t="s">
        <v>195</v>
      </c>
      <c r="J49" s="3" t="s">
        <v>161</v>
      </c>
      <c r="K49" s="3"/>
      <c r="L49" s="3"/>
      <c r="M49" s="3" t="s">
        <v>108</v>
      </c>
      <c r="N49" s="3" t="s">
        <v>109</v>
      </c>
      <c r="O49" s="3" t="s">
        <v>136</v>
      </c>
      <c r="P49" s="3" t="s">
        <v>394</v>
      </c>
      <c r="Q49" s="3" t="s">
        <v>395</v>
      </c>
      <c r="R49" s="3"/>
      <c r="S49" s="3"/>
      <c r="T49" s="3"/>
      <c r="U49" s="3" t="s">
        <v>22</v>
      </c>
      <c r="V49" s="3"/>
      <c r="W49" s="3" t="s">
        <v>124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 t="s">
        <v>396</v>
      </c>
      <c r="AZ49" s="3" t="s">
        <v>313</v>
      </c>
      <c r="BA49" s="3" t="s">
        <v>245</v>
      </c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144"/>
      <c r="CN49" s="144"/>
      <c r="CO49" s="144"/>
      <c r="CP49" s="144"/>
      <c r="CQ49" s="144"/>
      <c r="CR49" s="144" t="s">
        <v>114</v>
      </c>
      <c r="CS49" s="144" t="s">
        <v>181</v>
      </c>
      <c r="CT49" s="3" t="s">
        <v>397</v>
      </c>
      <c r="CU49" s="144" t="s">
        <v>129</v>
      </c>
      <c r="CV49" s="144" t="s">
        <v>130</v>
      </c>
      <c r="CW49" s="144"/>
      <c r="DG49" s="143"/>
    </row>
    <row r="50" spans="1:111" ht="11.25">
      <c r="A50" s="3">
        <v>49</v>
      </c>
      <c r="B50" s="4">
        <v>46168.697048611102</v>
      </c>
      <c r="C50" s="4">
        <v>46168.731782407398</v>
      </c>
      <c r="D50" s="3" t="s">
        <v>337</v>
      </c>
      <c r="E50" s="3" t="s">
        <v>338</v>
      </c>
      <c r="F50" s="3" t="s">
        <v>339</v>
      </c>
      <c r="G50" s="3" t="s">
        <v>340</v>
      </c>
      <c r="H50" s="4">
        <v>46140</v>
      </c>
      <c r="I50" s="4" t="s">
        <v>107</v>
      </c>
      <c r="J50" s="3" t="s">
        <v>161</v>
      </c>
      <c r="K50" s="3"/>
      <c r="L50" s="3"/>
      <c r="M50" s="3" t="s">
        <v>108</v>
      </c>
      <c r="N50" s="3" t="s">
        <v>109</v>
      </c>
      <c r="O50" s="3" t="s">
        <v>136</v>
      </c>
      <c r="P50" s="3" t="s">
        <v>260</v>
      </c>
      <c r="Q50" s="3" t="s">
        <v>398</v>
      </c>
      <c r="R50" s="3"/>
      <c r="S50" s="3"/>
      <c r="T50" s="3"/>
      <c r="U50" s="3" t="s">
        <v>22</v>
      </c>
      <c r="V50" s="3"/>
      <c r="W50" s="3" t="s">
        <v>329</v>
      </c>
      <c r="X50" s="3" t="s">
        <v>399</v>
      </c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144"/>
      <c r="CN50" s="144"/>
      <c r="CO50" s="144"/>
      <c r="CP50" s="144"/>
      <c r="CQ50" s="144"/>
      <c r="CR50" s="144" t="s">
        <v>143</v>
      </c>
      <c r="CS50" s="144" t="s">
        <v>181</v>
      </c>
      <c r="CT50" s="3" t="s">
        <v>400</v>
      </c>
      <c r="CU50" s="144" t="s">
        <v>151</v>
      </c>
      <c r="CV50" s="144" t="s">
        <v>130</v>
      </c>
      <c r="CW50" s="144"/>
      <c r="DG50" s="143"/>
    </row>
    <row r="51" spans="1:111" ht="11.25">
      <c r="A51" s="3">
        <v>50</v>
      </c>
      <c r="B51" s="4">
        <v>46168.731817129599</v>
      </c>
      <c r="C51" s="4">
        <v>46168.739687499998</v>
      </c>
      <c r="D51" s="3" t="s">
        <v>337</v>
      </c>
      <c r="E51" s="3" t="s">
        <v>338</v>
      </c>
      <c r="F51" s="3" t="s">
        <v>339</v>
      </c>
      <c r="G51" s="3" t="s">
        <v>340</v>
      </c>
      <c r="H51" s="4">
        <v>46171</v>
      </c>
      <c r="I51" s="4" t="s">
        <v>107</v>
      </c>
      <c r="J51" s="3" t="s">
        <v>161</v>
      </c>
      <c r="K51" s="3"/>
      <c r="L51" s="3"/>
      <c r="M51" s="3" t="s">
        <v>108</v>
      </c>
      <c r="N51" s="3" t="s">
        <v>109</v>
      </c>
      <c r="O51" s="3" t="s">
        <v>136</v>
      </c>
      <c r="P51" s="3" t="s">
        <v>260</v>
      </c>
      <c r="Q51" s="3" t="s">
        <v>401</v>
      </c>
      <c r="R51" s="3"/>
      <c r="S51" s="3"/>
      <c r="T51" s="3"/>
      <c r="U51" s="3" t="s">
        <v>22</v>
      </c>
      <c r="V51" s="3"/>
      <c r="W51" s="3" t="s">
        <v>110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 t="s">
        <v>402</v>
      </c>
      <c r="BO51" s="3" t="s">
        <v>403</v>
      </c>
      <c r="BP51" s="3" t="s">
        <v>404</v>
      </c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144"/>
      <c r="CN51" s="144"/>
      <c r="CO51" s="144"/>
      <c r="CP51" s="144"/>
      <c r="CQ51" s="144"/>
      <c r="CR51" s="144" t="s">
        <v>149</v>
      </c>
      <c r="CS51" s="144" t="s">
        <v>181</v>
      </c>
      <c r="CT51" s="3" t="s">
        <v>405</v>
      </c>
      <c r="CU51" s="144" t="s">
        <v>129</v>
      </c>
      <c r="CV51" s="144" t="s">
        <v>130</v>
      </c>
      <c r="CW51" s="144"/>
      <c r="DG51" s="143"/>
    </row>
    <row r="52" spans="1:111" ht="11.25">
      <c r="A52" s="3">
        <v>51</v>
      </c>
      <c r="B52" s="4">
        <v>46168.734930555598</v>
      </c>
      <c r="C52" s="4">
        <v>46168.7561921296</v>
      </c>
      <c r="D52" s="3" t="s">
        <v>227</v>
      </c>
      <c r="E52" s="3" t="s">
        <v>228</v>
      </c>
      <c r="F52" s="3" t="s">
        <v>228</v>
      </c>
      <c r="G52" s="3" t="s">
        <v>229</v>
      </c>
      <c r="H52" s="4">
        <v>46168</v>
      </c>
      <c r="I52" s="4" t="s">
        <v>135</v>
      </c>
      <c r="J52" s="3" t="s">
        <v>161</v>
      </c>
      <c r="K52" s="3"/>
      <c r="L52" s="3"/>
      <c r="M52" s="3" t="s">
        <v>108</v>
      </c>
      <c r="N52" s="3" t="s">
        <v>109</v>
      </c>
      <c r="O52" s="3" t="s">
        <v>136</v>
      </c>
      <c r="P52" s="3" t="s">
        <v>217</v>
      </c>
      <c r="Q52" s="3" t="s">
        <v>406</v>
      </c>
      <c r="R52" s="3"/>
      <c r="S52" s="3"/>
      <c r="T52" s="3"/>
      <c r="U52" s="3" t="s">
        <v>22</v>
      </c>
      <c r="V52" s="3"/>
      <c r="W52" s="3" t="s">
        <v>329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 t="s">
        <v>407</v>
      </c>
      <c r="AW52" s="3" t="s">
        <v>408</v>
      </c>
      <c r="AX52" s="3" t="s">
        <v>141</v>
      </c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144"/>
      <c r="CN52" s="144"/>
      <c r="CO52" s="144"/>
      <c r="CP52" s="144"/>
      <c r="CQ52" s="144"/>
      <c r="CR52" s="144" t="s">
        <v>149</v>
      </c>
      <c r="CS52" s="144" t="s">
        <v>181</v>
      </c>
      <c r="CT52" s="3" t="s">
        <v>186</v>
      </c>
      <c r="CU52" s="144" t="s">
        <v>151</v>
      </c>
      <c r="CV52" s="144" t="s">
        <v>130</v>
      </c>
      <c r="CW52" s="144"/>
      <c r="DG52" s="143"/>
    </row>
    <row r="53" spans="1:111" ht="11.25">
      <c r="A53" s="3">
        <v>52</v>
      </c>
      <c r="B53" s="4">
        <v>46168.756770833301</v>
      </c>
      <c r="C53" s="4">
        <v>46168.761006944398</v>
      </c>
      <c r="D53" s="3" t="s">
        <v>227</v>
      </c>
      <c r="E53" s="3" t="s">
        <v>228</v>
      </c>
      <c r="F53" s="3" t="s">
        <v>409</v>
      </c>
      <c r="G53" s="3" t="s">
        <v>229</v>
      </c>
      <c r="H53" s="4">
        <v>46163</v>
      </c>
      <c r="I53" s="4" t="s">
        <v>135</v>
      </c>
      <c r="J53" s="3" t="s">
        <v>174</v>
      </c>
      <c r="K53" s="3"/>
      <c r="L53" s="3" t="s">
        <v>217</v>
      </c>
      <c r="M53" s="3" t="s">
        <v>108</v>
      </c>
      <c r="N53" s="3" t="s">
        <v>109</v>
      </c>
      <c r="O53" s="3" t="s">
        <v>136</v>
      </c>
      <c r="P53" s="3"/>
      <c r="Q53" s="3" t="s">
        <v>114</v>
      </c>
      <c r="R53" s="3"/>
      <c r="S53" s="3"/>
      <c r="T53" s="3"/>
      <c r="U53" s="3" t="s">
        <v>22</v>
      </c>
      <c r="V53" s="3"/>
      <c r="W53" s="3" t="s">
        <v>321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 t="s">
        <v>410</v>
      </c>
      <c r="BR53" s="3" t="s">
        <v>411</v>
      </c>
      <c r="BS53" s="3" t="s">
        <v>412</v>
      </c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144"/>
      <c r="CN53" s="144"/>
      <c r="CO53" s="144"/>
      <c r="CP53" s="144"/>
      <c r="CQ53" s="144"/>
      <c r="CR53" s="144" t="s">
        <v>149</v>
      </c>
      <c r="CS53" s="144" t="s">
        <v>181</v>
      </c>
      <c r="CT53" s="3" t="s">
        <v>186</v>
      </c>
      <c r="CU53" s="144" t="s">
        <v>151</v>
      </c>
      <c r="CV53" s="144" t="s">
        <v>130</v>
      </c>
      <c r="CW53" s="144"/>
      <c r="DG53" s="143"/>
    </row>
    <row r="54" spans="1:111" s="146" customFormat="1" ht="11.25">
      <c r="A54" s="3">
        <v>53</v>
      </c>
      <c r="B54" s="4">
        <v>46168.756539351903</v>
      </c>
      <c r="C54" s="4">
        <v>46168.761979166702</v>
      </c>
      <c r="D54" s="3" t="s">
        <v>413</v>
      </c>
      <c r="E54" s="3" t="s">
        <v>414</v>
      </c>
      <c r="F54" s="3" t="s">
        <v>415</v>
      </c>
      <c r="G54" s="3" t="s">
        <v>416</v>
      </c>
      <c r="H54" s="4">
        <v>46162</v>
      </c>
      <c r="I54" s="4" t="s">
        <v>417</v>
      </c>
      <c r="J54" s="3" t="s">
        <v>187</v>
      </c>
      <c r="K54" s="3" t="s">
        <v>341</v>
      </c>
      <c r="L54" s="3"/>
      <c r="M54" s="3" t="s">
        <v>108</v>
      </c>
      <c r="N54" s="3" t="s">
        <v>123</v>
      </c>
      <c r="O54" s="3" t="s">
        <v>136</v>
      </c>
      <c r="P54" s="3"/>
      <c r="Q54" s="3" t="s">
        <v>418</v>
      </c>
      <c r="R54" s="3"/>
      <c r="S54" s="3"/>
      <c r="T54" s="3"/>
      <c r="U54" s="3" t="s">
        <v>24</v>
      </c>
      <c r="V54" s="3"/>
      <c r="W54" s="3"/>
      <c r="X54" s="3"/>
      <c r="Y54" s="3" t="s">
        <v>419</v>
      </c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 t="s">
        <v>420</v>
      </c>
      <c r="CA54" s="3" t="s">
        <v>421</v>
      </c>
      <c r="CB54" s="3" t="s">
        <v>422</v>
      </c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145"/>
      <c r="CN54" s="145"/>
      <c r="CO54" s="145"/>
      <c r="CP54" s="145"/>
      <c r="CQ54" s="145"/>
      <c r="CR54" s="145" t="s">
        <v>143</v>
      </c>
      <c r="CS54" s="145" t="s">
        <v>226</v>
      </c>
      <c r="CT54" s="3" t="s">
        <v>423</v>
      </c>
      <c r="CU54" s="145" t="s">
        <v>151</v>
      </c>
      <c r="CV54" s="145" t="s">
        <v>169</v>
      </c>
      <c r="CW54" s="145"/>
      <c r="CX54" s="145"/>
      <c r="CY54" s="145"/>
      <c r="CZ54" s="145"/>
      <c r="DA54" s="145"/>
      <c r="DB54" s="145"/>
      <c r="DC54" s="145"/>
      <c r="DD54" s="145"/>
      <c r="DE54" s="145"/>
      <c r="DF54" s="145"/>
    </row>
    <row r="55" spans="1:111" ht="11.25">
      <c r="A55" s="3">
        <v>54</v>
      </c>
      <c r="B55" s="4">
        <v>46168.770219907397</v>
      </c>
      <c r="C55" s="4">
        <v>46168.780312499999</v>
      </c>
      <c r="D55" s="3" t="s">
        <v>424</v>
      </c>
      <c r="E55" s="3" t="s">
        <v>425</v>
      </c>
      <c r="F55" s="3" t="s">
        <v>425</v>
      </c>
      <c r="G55" s="3" t="s">
        <v>426</v>
      </c>
      <c r="H55" s="4">
        <v>46154</v>
      </c>
      <c r="I55" s="4" t="s">
        <v>135</v>
      </c>
      <c r="J55" s="3" t="s">
        <v>161</v>
      </c>
      <c r="K55" s="3"/>
      <c r="L55" s="3"/>
      <c r="M55" s="3" t="s">
        <v>108</v>
      </c>
      <c r="N55" s="3" t="s">
        <v>109</v>
      </c>
      <c r="O55" s="3" t="s">
        <v>427</v>
      </c>
      <c r="P55" s="3" t="s">
        <v>428</v>
      </c>
      <c r="Q55" s="3"/>
      <c r="R55" s="3"/>
      <c r="S55" s="3"/>
      <c r="T55" s="3"/>
      <c r="U55" s="3" t="s">
        <v>22</v>
      </c>
      <c r="V55" s="3"/>
      <c r="W55" s="3" t="s">
        <v>302</v>
      </c>
      <c r="X55" s="3"/>
      <c r="Y55" s="3"/>
      <c r="Z55" s="3"/>
      <c r="AA55" s="3" t="s">
        <v>429</v>
      </c>
      <c r="AB55" s="3" t="s">
        <v>430</v>
      </c>
      <c r="AC55" s="3" t="s">
        <v>431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144"/>
      <c r="CN55" s="144"/>
      <c r="CO55" s="144"/>
      <c r="CP55" s="144"/>
      <c r="CQ55" s="144"/>
      <c r="CR55" s="144" t="s">
        <v>114</v>
      </c>
      <c r="CS55" s="144" t="s">
        <v>150</v>
      </c>
      <c r="CT55" s="3" t="s">
        <v>186</v>
      </c>
      <c r="CU55" s="144" t="s">
        <v>129</v>
      </c>
      <c r="CV55" s="144" t="s">
        <v>130</v>
      </c>
      <c r="CW55" s="144"/>
      <c r="DG55" s="143"/>
    </row>
    <row r="56" spans="1:111" ht="11.25">
      <c r="A56" s="3">
        <v>55</v>
      </c>
      <c r="B56" s="4">
        <v>46168.843090277798</v>
      </c>
      <c r="C56" s="4">
        <v>46168.8461342593</v>
      </c>
      <c r="D56" s="3" t="s">
        <v>432</v>
      </c>
      <c r="E56" s="3" t="s">
        <v>433</v>
      </c>
      <c r="F56" s="3" t="s">
        <v>434</v>
      </c>
      <c r="G56" s="3" t="s">
        <v>435</v>
      </c>
      <c r="H56" s="4">
        <v>46153</v>
      </c>
      <c r="I56" s="4" t="s">
        <v>436</v>
      </c>
      <c r="J56" s="3" t="s">
        <v>161</v>
      </c>
      <c r="K56" s="3"/>
      <c r="L56" s="3"/>
      <c r="M56" s="3" t="s">
        <v>108</v>
      </c>
      <c r="N56" s="3" t="s">
        <v>109</v>
      </c>
      <c r="O56" s="3" t="s">
        <v>136</v>
      </c>
      <c r="P56" s="3" t="s">
        <v>437</v>
      </c>
      <c r="Q56" s="3" t="s">
        <v>438</v>
      </c>
      <c r="R56" s="3"/>
      <c r="S56" s="3"/>
      <c r="T56" s="3"/>
      <c r="U56" s="3" t="s">
        <v>22</v>
      </c>
      <c r="V56" s="3"/>
      <c r="W56" s="3" t="s">
        <v>139</v>
      </c>
      <c r="X56" s="3"/>
      <c r="Y56" s="3"/>
      <c r="Z56" s="3"/>
      <c r="AA56" s="3"/>
      <c r="AB56" s="3"/>
      <c r="AC56" s="3"/>
      <c r="AD56" s="3" t="s">
        <v>439</v>
      </c>
      <c r="AE56" s="3" t="s">
        <v>440</v>
      </c>
      <c r="AF56" s="3" t="s">
        <v>441</v>
      </c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144"/>
      <c r="CN56" s="144"/>
      <c r="CO56" s="144"/>
      <c r="CP56" s="144"/>
      <c r="CQ56" s="144"/>
      <c r="CR56" s="144" t="s">
        <v>149</v>
      </c>
      <c r="CS56" s="144" t="s">
        <v>442</v>
      </c>
      <c r="CT56" s="3" t="s">
        <v>186</v>
      </c>
      <c r="CU56" s="144" t="s">
        <v>116</v>
      </c>
      <c r="CV56" s="144" t="s">
        <v>130</v>
      </c>
      <c r="CW56" s="144"/>
      <c r="DG56" s="143"/>
    </row>
    <row r="57" spans="1:111" ht="11.25">
      <c r="A57" s="3">
        <v>56</v>
      </c>
      <c r="B57" s="4">
        <v>46168.846168981501</v>
      </c>
      <c r="C57" s="4">
        <v>46168.847256944398</v>
      </c>
      <c r="D57" s="3" t="s">
        <v>432</v>
      </c>
      <c r="E57" s="3" t="s">
        <v>433</v>
      </c>
      <c r="F57" s="3" t="s">
        <v>434</v>
      </c>
      <c r="G57" s="3" t="s">
        <v>435</v>
      </c>
      <c r="H57" s="4">
        <v>46149</v>
      </c>
      <c r="I57" s="4" t="s">
        <v>135</v>
      </c>
      <c r="J57" s="3" t="s">
        <v>161</v>
      </c>
      <c r="K57" s="3"/>
      <c r="L57" s="3"/>
      <c r="M57" s="3" t="s">
        <v>108</v>
      </c>
      <c r="N57" s="3" t="s">
        <v>109</v>
      </c>
      <c r="O57" s="3" t="s">
        <v>136</v>
      </c>
      <c r="P57" s="3" t="s">
        <v>437</v>
      </c>
      <c r="Q57" s="3" t="s">
        <v>443</v>
      </c>
      <c r="R57" s="3"/>
      <c r="S57" s="3"/>
      <c r="T57" s="3"/>
      <c r="U57" s="3" t="s">
        <v>21</v>
      </c>
      <c r="V57" s="3" t="s">
        <v>177</v>
      </c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 t="s">
        <v>444</v>
      </c>
      <c r="AH57" s="3" t="s">
        <v>445</v>
      </c>
      <c r="AI57" s="3" t="s">
        <v>446</v>
      </c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144"/>
      <c r="CN57" s="144"/>
      <c r="CO57" s="144"/>
      <c r="CP57" s="144"/>
      <c r="CQ57" s="144"/>
      <c r="CR57" s="144" t="s">
        <v>149</v>
      </c>
      <c r="CS57" s="144" t="s">
        <v>447</v>
      </c>
      <c r="CT57" s="3" t="s">
        <v>186</v>
      </c>
      <c r="CU57" s="144" t="s">
        <v>116</v>
      </c>
      <c r="CV57" s="144" t="s">
        <v>130</v>
      </c>
      <c r="CW57" s="144"/>
      <c r="DG57" s="143"/>
    </row>
    <row r="58" spans="1:111" ht="11.25">
      <c r="A58" s="3">
        <v>57</v>
      </c>
      <c r="B58" s="4">
        <v>46168.847280092603</v>
      </c>
      <c r="C58" s="4">
        <v>46168.848229166702</v>
      </c>
      <c r="D58" s="3" t="s">
        <v>432</v>
      </c>
      <c r="E58" s="3" t="s">
        <v>433</v>
      </c>
      <c r="F58" s="3" t="s">
        <v>434</v>
      </c>
      <c r="G58" s="3" t="s">
        <v>435</v>
      </c>
      <c r="H58" s="4">
        <v>46161</v>
      </c>
      <c r="I58" s="4" t="s">
        <v>135</v>
      </c>
      <c r="J58" s="3" t="s">
        <v>161</v>
      </c>
      <c r="K58" s="3"/>
      <c r="L58" s="3"/>
      <c r="M58" s="3" t="s">
        <v>108</v>
      </c>
      <c r="N58" s="3" t="s">
        <v>109</v>
      </c>
      <c r="O58" s="3" t="s">
        <v>136</v>
      </c>
      <c r="P58" s="3" t="s">
        <v>437</v>
      </c>
      <c r="Q58" s="3" t="s">
        <v>443</v>
      </c>
      <c r="R58" s="3"/>
      <c r="S58" s="3"/>
      <c r="T58" s="3"/>
      <c r="U58" s="3" t="s">
        <v>21</v>
      </c>
      <c r="V58" s="3" t="s">
        <v>177</v>
      </c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 t="s">
        <v>448</v>
      </c>
      <c r="AH58" s="3" t="s">
        <v>445</v>
      </c>
      <c r="AI58" s="3" t="s">
        <v>446</v>
      </c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144"/>
      <c r="CN58" s="144"/>
      <c r="CO58" s="144"/>
      <c r="CP58" s="144"/>
      <c r="CQ58" s="144"/>
      <c r="CR58" s="144" t="s">
        <v>149</v>
      </c>
      <c r="CS58" s="144" t="s">
        <v>449</v>
      </c>
      <c r="CT58" s="3" t="s">
        <v>186</v>
      </c>
      <c r="CU58" s="144" t="s">
        <v>116</v>
      </c>
      <c r="CV58" s="144" t="s">
        <v>130</v>
      </c>
      <c r="CW58" s="144"/>
      <c r="DG58" s="143"/>
    </row>
    <row r="59" spans="1:111" ht="11.25">
      <c r="A59" s="3">
        <v>58</v>
      </c>
      <c r="B59" s="4">
        <v>46168.848263888904</v>
      </c>
      <c r="C59" s="4">
        <v>46168.849710648101</v>
      </c>
      <c r="D59" s="3" t="s">
        <v>432</v>
      </c>
      <c r="E59" s="3" t="s">
        <v>433</v>
      </c>
      <c r="F59" s="3" t="s">
        <v>434</v>
      </c>
      <c r="G59" s="3" t="s">
        <v>435</v>
      </c>
      <c r="H59" s="4">
        <v>46148</v>
      </c>
      <c r="I59" s="4" t="s">
        <v>122</v>
      </c>
      <c r="J59" s="3" t="s">
        <v>161</v>
      </c>
      <c r="K59" s="3"/>
      <c r="L59" s="3"/>
      <c r="M59" s="3" t="s">
        <v>108</v>
      </c>
      <c r="N59" s="3" t="s">
        <v>123</v>
      </c>
      <c r="O59" s="3" t="s">
        <v>136</v>
      </c>
      <c r="P59" s="3" t="s">
        <v>437</v>
      </c>
      <c r="Q59" s="3" t="s">
        <v>450</v>
      </c>
      <c r="R59" s="3"/>
      <c r="S59" s="3"/>
      <c r="T59" s="3"/>
      <c r="U59" s="3" t="s">
        <v>25</v>
      </c>
      <c r="V59" s="3"/>
      <c r="W59" s="3"/>
      <c r="X59" s="3"/>
      <c r="Y59" s="3"/>
      <c r="Z59" s="3" t="s">
        <v>451</v>
      </c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 t="s">
        <v>452</v>
      </c>
      <c r="CM59" s="144" t="s">
        <v>453</v>
      </c>
      <c r="CN59" s="144" t="s">
        <v>454</v>
      </c>
      <c r="CO59" s="144"/>
      <c r="CP59" s="144"/>
      <c r="CQ59" s="144"/>
      <c r="CR59" s="144" t="s">
        <v>149</v>
      </c>
      <c r="CS59" s="144" t="s">
        <v>455</v>
      </c>
      <c r="CT59" s="3" t="s">
        <v>186</v>
      </c>
      <c r="CU59" s="144" t="s">
        <v>116</v>
      </c>
      <c r="CV59" s="144" t="s">
        <v>130</v>
      </c>
      <c r="CW59" s="144"/>
      <c r="DG59" s="143"/>
    </row>
    <row r="60" spans="1:111" ht="11.25">
      <c r="A60" s="3">
        <v>59</v>
      </c>
      <c r="B60" s="4">
        <v>46168.890428240702</v>
      </c>
      <c r="C60" s="4">
        <v>46168.891851851797</v>
      </c>
      <c r="D60" s="3" t="s">
        <v>170</v>
      </c>
      <c r="E60" s="3" t="s">
        <v>171</v>
      </c>
      <c r="F60" s="3" t="s">
        <v>171</v>
      </c>
      <c r="G60" s="3" t="s">
        <v>172</v>
      </c>
      <c r="H60" s="4">
        <v>46168</v>
      </c>
      <c r="I60" s="4" t="s">
        <v>160</v>
      </c>
      <c r="J60" s="3" t="s">
        <v>161</v>
      </c>
      <c r="K60" s="3"/>
      <c r="L60" s="3"/>
      <c r="M60" s="3" t="s">
        <v>108</v>
      </c>
      <c r="N60" s="3" t="s">
        <v>248</v>
      </c>
      <c r="O60" s="3" t="s">
        <v>136</v>
      </c>
      <c r="P60" s="3" t="s">
        <v>197</v>
      </c>
      <c r="Q60" s="3" t="s">
        <v>198</v>
      </c>
      <c r="R60" s="3" t="s">
        <v>456</v>
      </c>
      <c r="S60" s="3"/>
      <c r="T60" s="3"/>
      <c r="U60" s="3" t="s">
        <v>23</v>
      </c>
      <c r="V60" s="3"/>
      <c r="W60" s="3"/>
      <c r="X60" s="3" t="s">
        <v>252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144"/>
      <c r="CN60" s="144"/>
      <c r="CO60" s="144"/>
      <c r="CP60" s="144"/>
      <c r="CQ60" s="144"/>
      <c r="CR60" s="144" t="s">
        <v>149</v>
      </c>
      <c r="CS60" s="144" t="s">
        <v>181</v>
      </c>
      <c r="CT60" s="3" t="s">
        <v>186</v>
      </c>
      <c r="CU60" s="144" t="s">
        <v>129</v>
      </c>
      <c r="CV60" s="144" t="s">
        <v>130</v>
      </c>
      <c r="CW60" s="144"/>
      <c r="DG60" s="143"/>
    </row>
    <row r="61" spans="1:111" ht="11.25">
      <c r="A61" s="3">
        <v>60</v>
      </c>
      <c r="B61" s="4">
        <v>46169.4440972222</v>
      </c>
      <c r="C61" s="4">
        <v>46169.450462963003</v>
      </c>
      <c r="D61" s="3" t="s">
        <v>457</v>
      </c>
      <c r="E61" s="3" t="s">
        <v>458</v>
      </c>
      <c r="F61" s="3" t="s">
        <v>458</v>
      </c>
      <c r="G61" s="3" t="s">
        <v>459</v>
      </c>
      <c r="H61" s="4">
        <v>46167</v>
      </c>
      <c r="I61" s="4" t="s">
        <v>107</v>
      </c>
      <c r="J61" s="3" t="s">
        <v>161</v>
      </c>
      <c r="K61" s="3"/>
      <c r="L61" s="3"/>
      <c r="M61" s="3" t="s">
        <v>108</v>
      </c>
      <c r="N61" s="3" t="s">
        <v>123</v>
      </c>
      <c r="O61" s="3" t="s">
        <v>460</v>
      </c>
      <c r="P61" s="3" t="s">
        <v>461</v>
      </c>
      <c r="Q61" s="3" t="s">
        <v>462</v>
      </c>
      <c r="R61" s="3"/>
      <c r="S61" s="3"/>
      <c r="T61" s="3"/>
      <c r="U61" s="3" t="s">
        <v>22</v>
      </c>
      <c r="V61" s="3"/>
      <c r="W61" s="3" t="s">
        <v>329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 t="s">
        <v>463</v>
      </c>
      <c r="AW61" s="3" t="s">
        <v>464</v>
      </c>
      <c r="AX61" s="3" t="s">
        <v>465</v>
      </c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144"/>
      <c r="CN61" s="144"/>
      <c r="CO61" s="144"/>
      <c r="CP61" s="144"/>
      <c r="CQ61" s="144"/>
      <c r="CR61" s="144" t="s">
        <v>149</v>
      </c>
      <c r="CS61" s="144" t="s">
        <v>466</v>
      </c>
      <c r="CT61" s="3" t="s">
        <v>467</v>
      </c>
      <c r="CU61" s="144" t="s">
        <v>151</v>
      </c>
      <c r="CV61" s="144" t="s">
        <v>130</v>
      </c>
      <c r="CW61" s="144"/>
      <c r="DG61" s="143"/>
    </row>
    <row r="62" spans="1:111" ht="11.25">
      <c r="A62" s="3">
        <v>61</v>
      </c>
      <c r="B62" s="4">
        <v>46175.552939814799</v>
      </c>
      <c r="C62" s="4">
        <v>46175.596643518496</v>
      </c>
      <c r="D62" s="3" t="s">
        <v>468</v>
      </c>
      <c r="E62" s="3" t="s">
        <v>469</v>
      </c>
      <c r="F62" s="3" t="s">
        <v>470</v>
      </c>
      <c r="G62" s="3" t="s">
        <v>471</v>
      </c>
      <c r="H62" s="4">
        <v>46146</v>
      </c>
      <c r="I62" s="4" t="s">
        <v>107</v>
      </c>
      <c r="J62" s="3" t="s">
        <v>161</v>
      </c>
      <c r="K62" s="3"/>
      <c r="L62" s="3"/>
      <c r="M62" s="3" t="s">
        <v>108</v>
      </c>
      <c r="N62" s="3" t="s">
        <v>109</v>
      </c>
      <c r="O62" s="3" t="s">
        <v>472</v>
      </c>
      <c r="P62" s="3" t="s">
        <v>473</v>
      </c>
      <c r="Q62" s="3" t="s">
        <v>474</v>
      </c>
      <c r="R62" s="3"/>
      <c r="S62" s="3"/>
      <c r="T62" s="3"/>
      <c r="U62" s="3" t="s">
        <v>22</v>
      </c>
      <c r="V62" s="3"/>
      <c r="W62" s="3" t="s">
        <v>329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 t="s">
        <v>475</v>
      </c>
      <c r="AW62" s="3" t="s">
        <v>476</v>
      </c>
      <c r="AX62" s="3" t="s">
        <v>477</v>
      </c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144"/>
      <c r="CN62" s="144"/>
      <c r="CO62" s="144"/>
      <c r="CP62" s="144"/>
      <c r="CQ62" s="144"/>
      <c r="CR62" s="144" t="s">
        <v>149</v>
      </c>
      <c r="CS62" s="144" t="s">
        <v>478</v>
      </c>
      <c r="CT62" s="3" t="s">
        <v>186</v>
      </c>
      <c r="CU62" s="144" t="s">
        <v>151</v>
      </c>
      <c r="CV62" s="144" t="s">
        <v>169</v>
      </c>
      <c r="CW62" s="144"/>
      <c r="DG62" s="143"/>
    </row>
    <row r="63" spans="1:111" ht="11.25">
      <c r="A63" s="3">
        <v>62</v>
      </c>
      <c r="B63" s="4">
        <v>46175.605706018498</v>
      </c>
      <c r="C63" s="4">
        <v>46175.607592592598</v>
      </c>
      <c r="D63" s="3" t="s">
        <v>468</v>
      </c>
      <c r="E63" s="3" t="s">
        <v>469</v>
      </c>
      <c r="F63" s="3" t="s">
        <v>469</v>
      </c>
      <c r="G63" s="3" t="s">
        <v>471</v>
      </c>
      <c r="H63" s="4">
        <v>46146</v>
      </c>
      <c r="I63" s="4" t="s">
        <v>479</v>
      </c>
      <c r="J63" s="3" t="s">
        <v>161</v>
      </c>
      <c r="K63" s="3"/>
      <c r="L63" s="3"/>
      <c r="M63" s="3" t="s">
        <v>108</v>
      </c>
      <c r="N63" s="3" t="s">
        <v>109</v>
      </c>
      <c r="O63" s="3" t="s">
        <v>472</v>
      </c>
      <c r="P63" s="3" t="s">
        <v>480</v>
      </c>
      <c r="Q63" s="3" t="s">
        <v>481</v>
      </c>
      <c r="R63" s="3"/>
      <c r="S63" s="3"/>
      <c r="T63" s="3"/>
      <c r="U63" s="3" t="s">
        <v>25</v>
      </c>
      <c r="V63" s="3"/>
      <c r="W63" s="3"/>
      <c r="X63" s="3"/>
      <c r="Y63" s="3"/>
      <c r="Z63" s="3" t="s">
        <v>256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 t="s">
        <v>482</v>
      </c>
      <c r="CJ63" s="3" t="s">
        <v>483</v>
      </c>
      <c r="CK63" s="3" t="s">
        <v>484</v>
      </c>
      <c r="CL63" s="3"/>
      <c r="CM63" s="144"/>
      <c r="CN63" s="144"/>
      <c r="CO63" s="144"/>
      <c r="CP63" s="144"/>
      <c r="CQ63" s="144"/>
      <c r="CR63" s="144" t="s">
        <v>149</v>
      </c>
      <c r="CS63" s="144" t="s">
        <v>478</v>
      </c>
      <c r="CT63" s="3" t="s">
        <v>485</v>
      </c>
      <c r="CU63" s="144" t="s">
        <v>129</v>
      </c>
      <c r="CV63" s="144" t="s">
        <v>169</v>
      </c>
      <c r="CW63" s="144"/>
      <c r="DG63" s="143"/>
    </row>
    <row r="64" spans="1:111" ht="11.25">
      <c r="A64" s="3">
        <v>63</v>
      </c>
      <c r="B64" s="4">
        <v>46175.6077083333</v>
      </c>
      <c r="C64" s="4">
        <v>46175.626226851797</v>
      </c>
      <c r="D64" s="3" t="s">
        <v>468</v>
      </c>
      <c r="E64" s="3" t="s">
        <v>469</v>
      </c>
      <c r="F64" s="3" t="s">
        <v>470</v>
      </c>
      <c r="G64" s="3" t="s">
        <v>471</v>
      </c>
      <c r="H64" s="4">
        <v>46146</v>
      </c>
      <c r="I64" s="4" t="s">
        <v>135</v>
      </c>
      <c r="J64" s="3" t="s">
        <v>161</v>
      </c>
      <c r="K64" s="3"/>
      <c r="L64" s="3"/>
      <c r="M64" s="3" t="s">
        <v>108</v>
      </c>
      <c r="N64" s="3" t="s">
        <v>109</v>
      </c>
      <c r="O64" s="3" t="s">
        <v>472</v>
      </c>
      <c r="P64" s="3" t="s">
        <v>486</v>
      </c>
      <c r="Q64" s="3" t="s">
        <v>487</v>
      </c>
      <c r="R64" s="3"/>
      <c r="S64" s="3"/>
      <c r="T64" s="3"/>
      <c r="U64" s="3" t="s">
        <v>22</v>
      </c>
      <c r="V64" s="3"/>
      <c r="W64" s="3" t="s">
        <v>124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 t="s">
        <v>488</v>
      </c>
      <c r="AZ64" s="3" t="s">
        <v>489</v>
      </c>
      <c r="BA64" s="3" t="s">
        <v>127</v>
      </c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144"/>
      <c r="CN64" s="144"/>
      <c r="CO64" s="144"/>
      <c r="CP64" s="144"/>
      <c r="CQ64" s="144"/>
      <c r="CR64" s="144" t="s">
        <v>149</v>
      </c>
      <c r="CS64" s="144" t="s">
        <v>144</v>
      </c>
      <c r="CT64" s="3" t="s">
        <v>186</v>
      </c>
      <c r="CU64" s="144" t="s">
        <v>151</v>
      </c>
      <c r="CV64" s="144" t="s">
        <v>117</v>
      </c>
      <c r="CW64" s="144"/>
      <c r="DG64" s="143"/>
    </row>
    <row r="65" spans="1:111" ht="11.25">
      <c r="A65" s="3">
        <v>64</v>
      </c>
      <c r="B65" s="4">
        <v>46175.6264814815</v>
      </c>
      <c r="C65" s="4">
        <v>46175.627800925897</v>
      </c>
      <c r="D65" s="3" t="s">
        <v>468</v>
      </c>
      <c r="E65" s="3" t="s">
        <v>469</v>
      </c>
      <c r="F65" s="3" t="s">
        <v>469</v>
      </c>
      <c r="G65" s="3" t="s">
        <v>471</v>
      </c>
      <c r="H65" s="4">
        <v>46150</v>
      </c>
      <c r="I65" s="4" t="s">
        <v>490</v>
      </c>
      <c r="J65" s="3" t="s">
        <v>161</v>
      </c>
      <c r="K65" s="3"/>
      <c r="L65" s="3"/>
      <c r="M65" s="3" t="s">
        <v>108</v>
      </c>
      <c r="N65" s="3" t="s">
        <v>109</v>
      </c>
      <c r="O65" s="3" t="s">
        <v>472</v>
      </c>
      <c r="P65" s="3" t="s">
        <v>486</v>
      </c>
      <c r="Q65" s="3" t="s">
        <v>491</v>
      </c>
      <c r="R65" s="3"/>
      <c r="S65" s="3"/>
      <c r="T65" s="3"/>
      <c r="U65" s="3" t="s">
        <v>22</v>
      </c>
      <c r="V65" s="3"/>
      <c r="W65" s="3" t="s">
        <v>199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 t="s">
        <v>492</v>
      </c>
      <c r="BI65" s="3" t="s">
        <v>493</v>
      </c>
      <c r="BJ65" s="3" t="s">
        <v>494</v>
      </c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144"/>
      <c r="CN65" s="144"/>
      <c r="CO65" s="144"/>
      <c r="CP65" s="144"/>
      <c r="CQ65" s="144"/>
      <c r="CR65" s="144" t="s">
        <v>149</v>
      </c>
      <c r="CS65" s="144" t="s">
        <v>226</v>
      </c>
      <c r="CT65" s="3" t="s">
        <v>186</v>
      </c>
      <c r="CU65" s="144" t="s">
        <v>116</v>
      </c>
      <c r="CV65" s="144" t="s">
        <v>169</v>
      </c>
      <c r="CW65" s="144"/>
      <c r="DG65" s="143"/>
    </row>
    <row r="66" spans="1:111" ht="11.25">
      <c r="A66" s="3">
        <v>65</v>
      </c>
      <c r="B66" s="4">
        <v>46175.791006944397</v>
      </c>
      <c r="C66" s="4">
        <v>46175.793055555601</v>
      </c>
      <c r="D66" s="3" t="s">
        <v>495</v>
      </c>
      <c r="E66" s="3" t="s">
        <v>496</v>
      </c>
      <c r="F66" s="3" t="s">
        <v>496</v>
      </c>
      <c r="G66" s="3" t="s">
        <v>497</v>
      </c>
      <c r="H66" s="4">
        <v>46174</v>
      </c>
      <c r="I66" s="4" t="s">
        <v>195</v>
      </c>
      <c r="J66" s="3" t="s">
        <v>187</v>
      </c>
      <c r="K66" s="3" t="s">
        <v>254</v>
      </c>
      <c r="L66" s="3"/>
      <c r="M66" s="3" t="s">
        <v>305</v>
      </c>
      <c r="N66" s="3" t="s">
        <v>123</v>
      </c>
      <c r="O66" s="3" t="s">
        <v>498</v>
      </c>
      <c r="P66" s="3"/>
      <c r="Q66" s="3" t="s">
        <v>499</v>
      </c>
      <c r="R66" s="3"/>
      <c r="S66" s="3"/>
      <c r="T66" s="3"/>
      <c r="U66" s="3" t="s">
        <v>22</v>
      </c>
      <c r="V66" s="3"/>
      <c r="W66" s="3" t="s">
        <v>124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 t="s">
        <v>157</v>
      </c>
      <c r="AZ66" s="3" t="s">
        <v>158</v>
      </c>
      <c r="BA66" s="3" t="s">
        <v>127</v>
      </c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144"/>
      <c r="CN66" s="144"/>
      <c r="CO66" s="144"/>
      <c r="CP66" s="144"/>
      <c r="CQ66" s="144"/>
      <c r="CR66" s="144" t="s">
        <v>143</v>
      </c>
      <c r="CS66" s="144" t="s">
        <v>144</v>
      </c>
      <c r="CT66" s="3" t="s">
        <v>500</v>
      </c>
      <c r="CU66" s="144" t="s">
        <v>116</v>
      </c>
      <c r="CV66" s="144" t="s">
        <v>117</v>
      </c>
      <c r="CW66" s="144"/>
      <c r="DG66" s="143"/>
    </row>
    <row r="67" spans="1:111" s="146" customFormat="1" ht="11.25">
      <c r="A67" s="3">
        <v>66</v>
      </c>
      <c r="B67" s="4">
        <v>46175.794259259303</v>
      </c>
      <c r="C67" s="4">
        <v>46175.798113425903</v>
      </c>
      <c r="D67" s="3" t="s">
        <v>501</v>
      </c>
      <c r="E67" s="3" t="s">
        <v>502</v>
      </c>
      <c r="F67" s="3" t="s">
        <v>502</v>
      </c>
      <c r="G67" s="3" t="s">
        <v>503</v>
      </c>
      <c r="H67" s="4">
        <v>46177</v>
      </c>
      <c r="I67" s="4" t="s">
        <v>173</v>
      </c>
      <c r="J67" s="3" t="s">
        <v>174</v>
      </c>
      <c r="K67" s="3"/>
      <c r="L67" s="3" t="s">
        <v>504</v>
      </c>
      <c r="M67" s="3" t="s">
        <v>108</v>
      </c>
      <c r="N67" s="3" t="s">
        <v>109</v>
      </c>
      <c r="O67" s="3" t="s">
        <v>505</v>
      </c>
      <c r="P67" s="3"/>
      <c r="Q67" s="3" t="s">
        <v>506</v>
      </c>
      <c r="R67" s="3"/>
      <c r="S67" s="3"/>
      <c r="T67" s="3"/>
      <c r="U67" s="3" t="s">
        <v>22</v>
      </c>
      <c r="V67" s="3"/>
      <c r="W67" s="3" t="s">
        <v>199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 t="s">
        <v>280</v>
      </c>
      <c r="BI67" s="3" t="s">
        <v>208</v>
      </c>
      <c r="BJ67" s="3" t="s">
        <v>507</v>
      </c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145"/>
      <c r="CN67" s="145"/>
      <c r="CO67" s="145"/>
      <c r="CP67" s="145"/>
      <c r="CQ67" s="145"/>
      <c r="CR67" s="145" t="s">
        <v>143</v>
      </c>
      <c r="CS67" s="145" t="s">
        <v>181</v>
      </c>
      <c r="CT67" s="3" t="s">
        <v>508</v>
      </c>
      <c r="CU67" s="145" t="s">
        <v>116</v>
      </c>
      <c r="CV67" s="145" t="s">
        <v>130</v>
      </c>
      <c r="CW67" s="145"/>
      <c r="CX67" s="145"/>
      <c r="CY67" s="145"/>
      <c r="CZ67" s="145"/>
      <c r="DA67" s="145"/>
      <c r="DB67" s="145"/>
      <c r="DC67" s="145"/>
      <c r="DD67" s="145"/>
      <c r="DE67" s="145"/>
      <c r="DF67" s="145"/>
    </row>
    <row r="68" spans="1:111" ht="11.25">
      <c r="A68" s="3">
        <v>67</v>
      </c>
      <c r="B68" s="4">
        <v>46175.798159722202</v>
      </c>
      <c r="C68" s="4">
        <v>46175.802662037</v>
      </c>
      <c r="D68" s="3" t="s">
        <v>501</v>
      </c>
      <c r="E68" s="3" t="s">
        <v>502</v>
      </c>
      <c r="F68" s="3" t="s">
        <v>502</v>
      </c>
      <c r="G68" s="3" t="s">
        <v>503</v>
      </c>
      <c r="H68" s="4">
        <v>46147</v>
      </c>
      <c r="I68" s="4" t="s">
        <v>122</v>
      </c>
      <c r="J68" s="3" t="s">
        <v>174</v>
      </c>
      <c r="K68" s="3"/>
      <c r="L68" s="3" t="s">
        <v>504</v>
      </c>
      <c r="M68" s="3" t="s">
        <v>108</v>
      </c>
      <c r="N68" s="3" t="s">
        <v>123</v>
      </c>
      <c r="O68" s="3" t="s">
        <v>505</v>
      </c>
      <c r="P68" s="3"/>
      <c r="Q68" s="3" t="s">
        <v>509</v>
      </c>
      <c r="R68" s="3"/>
      <c r="S68" s="3" t="s">
        <v>510</v>
      </c>
      <c r="T68" s="3"/>
      <c r="U68" s="3" t="s">
        <v>23</v>
      </c>
      <c r="V68" s="3"/>
      <c r="W68" s="3"/>
      <c r="X68" s="3" t="s">
        <v>511</v>
      </c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144"/>
      <c r="CN68" s="144"/>
      <c r="CO68" s="144"/>
      <c r="CP68" s="144"/>
      <c r="CQ68" s="144"/>
      <c r="CR68" s="144" t="s">
        <v>149</v>
      </c>
      <c r="CS68" s="144" t="s">
        <v>150</v>
      </c>
      <c r="CT68" s="3" t="s">
        <v>512</v>
      </c>
      <c r="CU68" s="144" t="s">
        <v>151</v>
      </c>
      <c r="CV68" s="144" t="s">
        <v>130</v>
      </c>
      <c r="CW68" s="144"/>
      <c r="DG68" s="143"/>
    </row>
    <row r="69" spans="1:111" ht="11.25">
      <c r="A69" s="3">
        <v>68</v>
      </c>
      <c r="B69" s="4">
        <v>46175.808611111097</v>
      </c>
      <c r="C69" s="4">
        <v>46175.810937499999</v>
      </c>
      <c r="D69" s="3" t="s">
        <v>513</v>
      </c>
      <c r="E69" s="3" t="s">
        <v>514</v>
      </c>
      <c r="F69" s="3" t="s">
        <v>515</v>
      </c>
      <c r="G69" s="3" t="s">
        <v>516</v>
      </c>
      <c r="H69" s="4">
        <v>46155</v>
      </c>
      <c r="I69" s="4" t="s">
        <v>135</v>
      </c>
      <c r="J69" s="3" t="s">
        <v>161</v>
      </c>
      <c r="K69" s="3"/>
      <c r="L69" s="3"/>
      <c r="M69" s="3" t="s">
        <v>108</v>
      </c>
      <c r="N69" s="3" t="s">
        <v>109</v>
      </c>
      <c r="O69" s="3" t="s">
        <v>472</v>
      </c>
      <c r="P69" s="3" t="s">
        <v>517</v>
      </c>
      <c r="Q69" s="3" t="s">
        <v>518</v>
      </c>
      <c r="R69" s="3"/>
      <c r="S69" s="3"/>
      <c r="T69" s="3"/>
      <c r="U69" s="3" t="s">
        <v>24</v>
      </c>
      <c r="V69" s="3"/>
      <c r="W69" s="3"/>
      <c r="X69" s="3"/>
      <c r="Y69" s="3" t="s">
        <v>419</v>
      </c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 t="s">
        <v>519</v>
      </c>
      <c r="CA69" s="3" t="s">
        <v>520</v>
      </c>
      <c r="CB69" s="3" t="s">
        <v>521</v>
      </c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144"/>
      <c r="CN69" s="144"/>
      <c r="CO69" s="144"/>
      <c r="CP69" s="144"/>
      <c r="CQ69" s="144"/>
      <c r="CR69" s="144" t="s">
        <v>149</v>
      </c>
      <c r="CS69" s="144" t="s">
        <v>144</v>
      </c>
      <c r="CT69" s="3" t="s">
        <v>186</v>
      </c>
      <c r="CU69" s="144" t="s">
        <v>151</v>
      </c>
      <c r="CV69" s="144" t="s">
        <v>130</v>
      </c>
      <c r="CW69" s="144"/>
      <c r="DG69" s="143"/>
    </row>
    <row r="70" spans="1:111" ht="11.25">
      <c r="A70" s="3">
        <v>69</v>
      </c>
      <c r="B70" s="4">
        <v>46175.8109722222</v>
      </c>
      <c r="C70" s="4">
        <v>46175.815162036997</v>
      </c>
      <c r="D70" s="3" t="s">
        <v>513</v>
      </c>
      <c r="E70" s="3" t="s">
        <v>514</v>
      </c>
      <c r="F70" s="3" t="s">
        <v>515</v>
      </c>
      <c r="G70" s="3" t="s">
        <v>516</v>
      </c>
      <c r="H70" s="4">
        <v>46162</v>
      </c>
      <c r="I70" s="4" t="s">
        <v>135</v>
      </c>
      <c r="J70" s="3" t="s">
        <v>174</v>
      </c>
      <c r="K70" s="3"/>
      <c r="L70" s="3" t="s">
        <v>522</v>
      </c>
      <c r="M70" s="3" t="s">
        <v>108</v>
      </c>
      <c r="N70" s="3" t="s">
        <v>109</v>
      </c>
      <c r="O70" s="3" t="s">
        <v>472</v>
      </c>
      <c r="P70" s="3"/>
      <c r="Q70" s="3" t="s">
        <v>523</v>
      </c>
      <c r="R70" s="3"/>
      <c r="S70" s="3"/>
      <c r="T70" s="3"/>
      <c r="U70" s="3" t="s">
        <v>24</v>
      </c>
      <c r="V70" s="3"/>
      <c r="W70" s="3"/>
      <c r="X70" s="3"/>
      <c r="Y70" s="3" t="s">
        <v>524</v>
      </c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 t="s">
        <v>525</v>
      </c>
      <c r="AK70" s="3" t="s">
        <v>526</v>
      </c>
      <c r="AL70" s="3" t="s">
        <v>527</v>
      </c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144"/>
      <c r="CN70" s="144"/>
      <c r="CO70" s="144"/>
      <c r="CP70" s="144"/>
      <c r="CQ70" s="144"/>
      <c r="CR70" s="144" t="s">
        <v>143</v>
      </c>
      <c r="CS70" s="144" t="s">
        <v>150</v>
      </c>
      <c r="CT70" s="3" t="s">
        <v>528</v>
      </c>
      <c r="CU70" s="144" t="s">
        <v>116</v>
      </c>
      <c r="CV70" s="144" t="s">
        <v>117</v>
      </c>
      <c r="CW70" s="144"/>
      <c r="DG70" s="143"/>
    </row>
    <row r="71" spans="1:111" ht="11.25">
      <c r="A71" s="3">
        <v>70</v>
      </c>
      <c r="B71" s="4">
        <v>46175.812881944403</v>
      </c>
      <c r="C71" s="4">
        <v>46175.817870370403</v>
      </c>
      <c r="D71" s="3" t="s">
        <v>529</v>
      </c>
      <c r="E71" s="3" t="s">
        <v>530</v>
      </c>
      <c r="F71" s="3" t="s">
        <v>530</v>
      </c>
      <c r="G71" s="3" t="s">
        <v>531</v>
      </c>
      <c r="H71" s="4">
        <v>46146</v>
      </c>
      <c r="I71" s="4" t="s">
        <v>190</v>
      </c>
      <c r="J71" s="3" t="s">
        <v>174</v>
      </c>
      <c r="K71" s="3"/>
      <c r="L71" s="3" t="s">
        <v>532</v>
      </c>
      <c r="M71" s="3" t="s">
        <v>196</v>
      </c>
      <c r="N71" s="3" t="s">
        <v>109</v>
      </c>
      <c r="O71" s="3" t="s">
        <v>427</v>
      </c>
      <c r="P71" s="3"/>
      <c r="Q71" s="3" t="s">
        <v>533</v>
      </c>
      <c r="R71" s="3"/>
      <c r="S71" s="3"/>
      <c r="T71" s="3"/>
      <c r="U71" s="3" t="s">
        <v>24</v>
      </c>
      <c r="V71" s="3"/>
      <c r="W71" s="3"/>
      <c r="X71" s="3"/>
      <c r="Y71" s="3" t="s">
        <v>190</v>
      </c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 t="s">
        <v>262</v>
      </c>
      <c r="CG71" s="3" t="s">
        <v>192</v>
      </c>
      <c r="CH71" s="3" t="s">
        <v>141</v>
      </c>
      <c r="CI71" s="3"/>
      <c r="CJ71" s="3"/>
      <c r="CK71" s="3"/>
      <c r="CL71" s="3"/>
      <c r="CM71" s="144"/>
      <c r="CN71" s="144"/>
      <c r="CO71" s="144"/>
      <c r="CP71" s="144"/>
      <c r="CQ71" s="144"/>
      <c r="CR71" s="144" t="s">
        <v>149</v>
      </c>
      <c r="CS71" s="144" t="s">
        <v>181</v>
      </c>
      <c r="CT71" s="3" t="s">
        <v>186</v>
      </c>
      <c r="CU71" s="144" t="s">
        <v>116</v>
      </c>
      <c r="CV71" s="144" t="s">
        <v>130</v>
      </c>
      <c r="CW71" s="144"/>
      <c r="DG71" s="143"/>
    </row>
    <row r="72" spans="1:111" ht="11.25">
      <c r="A72" s="3">
        <v>71</v>
      </c>
      <c r="B72" s="4">
        <v>46175.818877314799</v>
      </c>
      <c r="C72" s="4">
        <v>46175.820590277799</v>
      </c>
      <c r="D72" s="3" t="s">
        <v>513</v>
      </c>
      <c r="E72" s="3" t="s">
        <v>514</v>
      </c>
      <c r="F72" s="3" t="s">
        <v>515</v>
      </c>
      <c r="G72" s="3" t="s">
        <v>516</v>
      </c>
      <c r="H72" s="4">
        <v>46154</v>
      </c>
      <c r="I72" s="4" t="s">
        <v>135</v>
      </c>
      <c r="J72" s="3" t="s">
        <v>161</v>
      </c>
      <c r="K72" s="3"/>
      <c r="L72" s="3"/>
      <c r="M72" s="3" t="s">
        <v>108</v>
      </c>
      <c r="N72" s="3" t="s">
        <v>109</v>
      </c>
      <c r="O72" s="3" t="s">
        <v>472</v>
      </c>
      <c r="P72" s="3" t="s">
        <v>517</v>
      </c>
      <c r="Q72" s="3" t="s">
        <v>518</v>
      </c>
      <c r="R72" s="3"/>
      <c r="S72" s="3"/>
      <c r="T72" s="3"/>
      <c r="U72" s="3" t="s">
        <v>22</v>
      </c>
      <c r="V72" s="3"/>
      <c r="W72" s="3" t="s">
        <v>199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 t="s">
        <v>534</v>
      </c>
      <c r="BI72" s="3" t="s">
        <v>535</v>
      </c>
      <c r="BJ72" s="3" t="s">
        <v>536</v>
      </c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144"/>
      <c r="CN72" s="144"/>
      <c r="CO72" s="144"/>
      <c r="CP72" s="144"/>
      <c r="CQ72" s="144"/>
      <c r="CR72" s="144" t="s">
        <v>149</v>
      </c>
      <c r="CS72" s="144" t="s">
        <v>144</v>
      </c>
      <c r="CT72" s="3" t="s">
        <v>186</v>
      </c>
      <c r="CU72" s="144" t="s">
        <v>151</v>
      </c>
      <c r="CV72" s="144" t="s">
        <v>130</v>
      </c>
      <c r="CW72" s="144"/>
      <c r="DG72" s="143"/>
    </row>
    <row r="73" spans="1:111" ht="11.25">
      <c r="A73" s="3">
        <v>72</v>
      </c>
      <c r="B73" s="4">
        <v>46175.820625</v>
      </c>
      <c r="C73" s="4">
        <v>46175.822673611103</v>
      </c>
      <c r="D73" s="3" t="s">
        <v>513</v>
      </c>
      <c r="E73" s="3" t="s">
        <v>514</v>
      </c>
      <c r="F73" s="3" t="s">
        <v>515</v>
      </c>
      <c r="G73" s="3" t="s">
        <v>516</v>
      </c>
      <c r="H73" s="4">
        <v>46163</v>
      </c>
      <c r="I73" s="4" t="s">
        <v>195</v>
      </c>
      <c r="J73" s="3" t="s">
        <v>161</v>
      </c>
      <c r="K73" s="3"/>
      <c r="L73" s="3"/>
      <c r="M73" s="3" t="s">
        <v>221</v>
      </c>
      <c r="N73" s="3" t="s">
        <v>109</v>
      </c>
      <c r="O73" s="3" t="s">
        <v>472</v>
      </c>
      <c r="P73" s="3" t="s">
        <v>517</v>
      </c>
      <c r="Q73" s="3" t="s">
        <v>518</v>
      </c>
      <c r="R73" s="3"/>
      <c r="S73" s="3"/>
      <c r="T73" s="3"/>
      <c r="U73" s="3" t="s">
        <v>21</v>
      </c>
      <c r="V73" s="3" t="s">
        <v>537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 t="s">
        <v>538</v>
      </c>
      <c r="BC73" s="3" t="s">
        <v>539</v>
      </c>
      <c r="BD73" s="3" t="s">
        <v>540</v>
      </c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144"/>
      <c r="CN73" s="144"/>
      <c r="CO73" s="144"/>
      <c r="CP73" s="144"/>
      <c r="CQ73" s="144"/>
      <c r="CR73" s="144" t="s">
        <v>143</v>
      </c>
      <c r="CS73" s="144" t="s">
        <v>478</v>
      </c>
      <c r="CT73" s="3" t="s">
        <v>541</v>
      </c>
      <c r="CU73" s="144" t="s">
        <v>116</v>
      </c>
      <c r="CV73" s="144" t="s">
        <v>117</v>
      </c>
      <c r="CW73" s="144"/>
      <c r="DG73" s="143"/>
    </row>
    <row r="74" spans="1:111" ht="11.25">
      <c r="A74" s="3">
        <v>73</v>
      </c>
      <c r="B74" s="4">
        <v>46175.822708333297</v>
      </c>
      <c r="C74" s="4">
        <v>46175.824490740699</v>
      </c>
      <c r="D74" s="3" t="s">
        <v>513</v>
      </c>
      <c r="E74" s="3" t="s">
        <v>514</v>
      </c>
      <c r="F74" s="3" t="s">
        <v>515</v>
      </c>
      <c r="G74" s="3" t="s">
        <v>516</v>
      </c>
      <c r="H74" s="4">
        <v>46228</v>
      </c>
      <c r="I74" s="4" t="s">
        <v>135</v>
      </c>
      <c r="J74" s="3" t="s">
        <v>161</v>
      </c>
      <c r="K74" s="3"/>
      <c r="L74" s="3"/>
      <c r="M74" s="3" t="s">
        <v>108</v>
      </c>
      <c r="N74" s="3" t="s">
        <v>109</v>
      </c>
      <c r="O74" s="3" t="s">
        <v>472</v>
      </c>
      <c r="P74" s="3" t="s">
        <v>517</v>
      </c>
      <c r="Q74" s="3" t="s">
        <v>518</v>
      </c>
      <c r="R74" s="3"/>
      <c r="S74" s="3"/>
      <c r="T74" s="3"/>
      <c r="U74" s="3" t="s">
        <v>24</v>
      </c>
      <c r="V74" s="3"/>
      <c r="W74" s="3"/>
      <c r="X74" s="3"/>
      <c r="Y74" s="3" t="s">
        <v>164</v>
      </c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 t="s">
        <v>542</v>
      </c>
      <c r="BX74" s="3" t="s">
        <v>543</v>
      </c>
      <c r="BY74" s="3" t="s">
        <v>544</v>
      </c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144"/>
      <c r="CN74" s="144"/>
      <c r="CO74" s="144"/>
      <c r="CP74" s="144"/>
      <c r="CQ74" s="144"/>
      <c r="CR74" s="144" t="s">
        <v>149</v>
      </c>
      <c r="CS74" s="144" t="s">
        <v>181</v>
      </c>
      <c r="CT74" s="3" t="s">
        <v>186</v>
      </c>
      <c r="CU74" s="144" t="s">
        <v>151</v>
      </c>
      <c r="CV74" s="144" t="s">
        <v>130</v>
      </c>
      <c r="CW74" s="144"/>
      <c r="DG74" s="143"/>
    </row>
    <row r="75" spans="1:111" ht="11.25">
      <c r="A75" s="3">
        <v>74</v>
      </c>
      <c r="B75" s="4">
        <v>46175.824537036999</v>
      </c>
      <c r="C75" s="4">
        <v>46175.826157407399</v>
      </c>
      <c r="D75" s="3" t="s">
        <v>513</v>
      </c>
      <c r="E75" s="3" t="s">
        <v>514</v>
      </c>
      <c r="F75" s="3" t="s">
        <v>515</v>
      </c>
      <c r="G75" s="3" t="s">
        <v>516</v>
      </c>
      <c r="H75" s="4">
        <v>46168</v>
      </c>
      <c r="I75" s="4" t="s">
        <v>135</v>
      </c>
      <c r="J75" s="3" t="s">
        <v>161</v>
      </c>
      <c r="K75" s="3"/>
      <c r="L75" s="3"/>
      <c r="M75" s="3" t="s">
        <v>108</v>
      </c>
      <c r="N75" s="3" t="s">
        <v>109</v>
      </c>
      <c r="O75" s="3" t="s">
        <v>472</v>
      </c>
      <c r="P75" s="3" t="s">
        <v>517</v>
      </c>
      <c r="Q75" s="3" t="s">
        <v>518</v>
      </c>
      <c r="R75" s="3"/>
      <c r="S75" s="3"/>
      <c r="T75" s="3"/>
      <c r="U75" s="3" t="s">
        <v>22</v>
      </c>
      <c r="V75" s="3"/>
      <c r="W75" s="3" t="s">
        <v>321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 t="s">
        <v>545</v>
      </c>
      <c r="BR75" s="3" t="s">
        <v>411</v>
      </c>
      <c r="BS75" s="3" t="s">
        <v>412</v>
      </c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144"/>
      <c r="CN75" s="144"/>
      <c r="CO75" s="144"/>
      <c r="CP75" s="144"/>
      <c r="CQ75" s="144"/>
      <c r="CR75" s="144" t="s">
        <v>546</v>
      </c>
      <c r="CS75" s="144" t="s">
        <v>233</v>
      </c>
      <c r="CT75" s="3" t="s">
        <v>547</v>
      </c>
      <c r="CU75" s="144" t="s">
        <v>116</v>
      </c>
      <c r="CV75" s="144" t="s">
        <v>117</v>
      </c>
      <c r="CW75" s="144"/>
      <c r="DG75" s="143"/>
    </row>
    <row r="76" spans="1:111" ht="11.25">
      <c r="A76" s="3">
        <v>75</v>
      </c>
      <c r="B76" s="4">
        <v>46175.8179282407</v>
      </c>
      <c r="C76" s="4">
        <v>46175.840092592603</v>
      </c>
      <c r="D76" s="3" t="s">
        <v>529</v>
      </c>
      <c r="E76" s="3" t="s">
        <v>530</v>
      </c>
      <c r="F76" s="3" t="s">
        <v>530</v>
      </c>
      <c r="G76" s="3" t="s">
        <v>531</v>
      </c>
      <c r="H76" s="4">
        <v>46149</v>
      </c>
      <c r="I76" s="4" t="s">
        <v>190</v>
      </c>
      <c r="J76" s="3" t="s">
        <v>174</v>
      </c>
      <c r="K76" s="3"/>
      <c r="L76" s="3" t="s">
        <v>532</v>
      </c>
      <c r="M76" s="3" t="s">
        <v>196</v>
      </c>
      <c r="N76" s="3" t="s">
        <v>109</v>
      </c>
      <c r="O76" s="3" t="s">
        <v>427</v>
      </c>
      <c r="P76" s="3"/>
      <c r="Q76" s="3" t="s">
        <v>548</v>
      </c>
      <c r="R76" s="3"/>
      <c r="S76" s="3"/>
      <c r="T76" s="3"/>
      <c r="U76" s="3" t="s">
        <v>24</v>
      </c>
      <c r="V76" s="3"/>
      <c r="W76" s="3"/>
      <c r="X76" s="3"/>
      <c r="Y76" s="3" t="s">
        <v>190</v>
      </c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 t="s">
        <v>141</v>
      </c>
      <c r="CG76" s="3" t="s">
        <v>141</v>
      </c>
      <c r="CH76" s="3" t="s">
        <v>141</v>
      </c>
      <c r="CI76" s="3"/>
      <c r="CJ76" s="3"/>
      <c r="CK76" s="3"/>
      <c r="CL76" s="145"/>
      <c r="CM76" s="144"/>
      <c r="CN76" s="144"/>
      <c r="CO76" s="144"/>
      <c r="CP76" s="144"/>
      <c r="CQ76" s="144"/>
      <c r="CR76" s="144" t="s">
        <v>149</v>
      </c>
      <c r="CS76" s="144" t="s">
        <v>181</v>
      </c>
      <c r="CT76" s="3" t="s">
        <v>186</v>
      </c>
      <c r="CU76" s="144" t="s">
        <v>116</v>
      </c>
      <c r="CV76" s="144" t="s">
        <v>130</v>
      </c>
      <c r="CW76" s="144"/>
      <c r="DG76" s="143"/>
    </row>
    <row r="77" spans="1:111" ht="11.25">
      <c r="A77" s="3">
        <v>76</v>
      </c>
      <c r="B77" s="4">
        <v>46176.443553240701</v>
      </c>
      <c r="C77" s="4">
        <v>46176.447615740697</v>
      </c>
      <c r="D77" s="3" t="s">
        <v>549</v>
      </c>
      <c r="E77" s="3" t="s">
        <v>550</v>
      </c>
      <c r="F77" s="3" t="s">
        <v>551</v>
      </c>
      <c r="G77" s="3" t="s">
        <v>552</v>
      </c>
      <c r="H77" s="4">
        <v>46176</v>
      </c>
      <c r="I77" s="4" t="s">
        <v>195</v>
      </c>
      <c r="J77" s="3" t="s">
        <v>161</v>
      </c>
      <c r="K77" s="3"/>
      <c r="L77" s="3"/>
      <c r="M77" s="3" t="s">
        <v>196</v>
      </c>
      <c r="N77" s="3" t="s">
        <v>123</v>
      </c>
      <c r="O77" s="3" t="s">
        <v>553</v>
      </c>
      <c r="P77" s="3" t="s">
        <v>554</v>
      </c>
      <c r="Q77" s="3"/>
      <c r="R77" s="3"/>
      <c r="S77" s="3"/>
      <c r="T77" s="3"/>
      <c r="U77" s="3" t="s">
        <v>22</v>
      </c>
      <c r="V77" s="3"/>
      <c r="W77" s="3" t="s">
        <v>124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 t="s">
        <v>332</v>
      </c>
      <c r="AZ77" s="3" t="s">
        <v>555</v>
      </c>
      <c r="BA77" s="3" t="s">
        <v>334</v>
      </c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144"/>
      <c r="CN77" s="144"/>
      <c r="CO77" s="144"/>
      <c r="CP77" s="144"/>
      <c r="CQ77" s="144"/>
      <c r="CR77" s="144" t="s">
        <v>143</v>
      </c>
      <c r="CS77" s="144" t="s">
        <v>181</v>
      </c>
      <c r="CT77" s="3" t="s">
        <v>186</v>
      </c>
      <c r="CU77" s="144" t="s">
        <v>129</v>
      </c>
      <c r="CV77" s="144" t="s">
        <v>169</v>
      </c>
      <c r="CW77" s="144"/>
      <c r="DG77" s="143"/>
    </row>
    <row r="78" spans="1:111" ht="11.25">
      <c r="A78" s="3">
        <v>77</v>
      </c>
      <c r="B78" s="4">
        <v>46176.529421296298</v>
      </c>
      <c r="C78" s="4">
        <v>46176.5307060185</v>
      </c>
      <c r="D78" s="3" t="s">
        <v>556</v>
      </c>
      <c r="E78" s="3" t="s">
        <v>557</v>
      </c>
      <c r="F78" s="3" t="s">
        <v>557</v>
      </c>
      <c r="G78" s="3" t="s">
        <v>558</v>
      </c>
      <c r="H78" s="4">
        <v>46176</v>
      </c>
      <c r="I78" s="4" t="s">
        <v>122</v>
      </c>
      <c r="J78" s="3" t="s">
        <v>161</v>
      </c>
      <c r="K78" s="3"/>
      <c r="L78" s="3"/>
      <c r="M78" s="3" t="s">
        <v>196</v>
      </c>
      <c r="N78" s="3" t="s">
        <v>248</v>
      </c>
      <c r="O78" s="3" t="s">
        <v>498</v>
      </c>
      <c r="P78" s="3" t="s">
        <v>559</v>
      </c>
      <c r="Q78" s="3"/>
      <c r="R78" s="3"/>
      <c r="S78" s="3"/>
      <c r="T78" s="3"/>
      <c r="U78" s="3" t="s">
        <v>25</v>
      </c>
      <c r="V78" s="3"/>
      <c r="W78" s="3"/>
      <c r="X78" s="3"/>
      <c r="Y78" s="3"/>
      <c r="Z78" s="3" t="s">
        <v>451</v>
      </c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 t="s">
        <v>560</v>
      </c>
      <c r="CM78" s="144" t="s">
        <v>561</v>
      </c>
      <c r="CN78" s="144" t="s">
        <v>562</v>
      </c>
      <c r="CO78" s="144"/>
      <c r="CP78" s="144"/>
      <c r="CQ78" s="144"/>
      <c r="CR78" s="144" t="s">
        <v>149</v>
      </c>
      <c r="CS78" s="144" t="s">
        <v>563</v>
      </c>
      <c r="CT78" s="3" t="s">
        <v>564</v>
      </c>
      <c r="CU78" s="144" t="s">
        <v>116</v>
      </c>
      <c r="CV78" s="144" t="s">
        <v>130</v>
      </c>
      <c r="CW78" s="144"/>
      <c r="DG78" s="143"/>
    </row>
    <row r="79" spans="1:111" ht="11.25">
      <c r="A79" s="3">
        <v>78</v>
      </c>
      <c r="B79" s="4">
        <v>46176.527696759302</v>
      </c>
      <c r="C79" s="4">
        <v>46176.5467824074</v>
      </c>
      <c r="D79" s="3" t="s">
        <v>565</v>
      </c>
      <c r="E79" s="3" t="s">
        <v>566</v>
      </c>
      <c r="F79" s="3" t="s">
        <v>567</v>
      </c>
      <c r="G79" s="3" t="s">
        <v>568</v>
      </c>
      <c r="H79" s="4">
        <v>46155</v>
      </c>
      <c r="I79" s="4" t="s">
        <v>436</v>
      </c>
      <c r="J79" s="3" t="s">
        <v>161</v>
      </c>
      <c r="K79" s="3"/>
      <c r="L79" s="3"/>
      <c r="M79" s="3" t="s">
        <v>108</v>
      </c>
      <c r="N79" s="3" t="s">
        <v>248</v>
      </c>
      <c r="O79" s="3" t="s">
        <v>498</v>
      </c>
      <c r="P79" s="3" t="s">
        <v>569</v>
      </c>
      <c r="Q79" s="3" t="s">
        <v>570</v>
      </c>
      <c r="R79" s="3"/>
      <c r="S79" s="3"/>
      <c r="T79" s="3"/>
      <c r="U79" s="3" t="s">
        <v>22</v>
      </c>
      <c r="V79" s="3"/>
      <c r="W79" s="3" t="s">
        <v>124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 t="s">
        <v>571</v>
      </c>
      <c r="AZ79" s="3" t="s">
        <v>571</v>
      </c>
      <c r="BA79" s="3" t="s">
        <v>571</v>
      </c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144"/>
      <c r="CN79" s="144"/>
      <c r="CO79" s="144"/>
      <c r="CP79" s="144"/>
      <c r="CQ79" s="144"/>
      <c r="CR79" s="144" t="s">
        <v>149</v>
      </c>
      <c r="CS79" s="144" t="s">
        <v>144</v>
      </c>
      <c r="CT79" s="3" t="s">
        <v>572</v>
      </c>
      <c r="CU79" s="144" t="s">
        <v>151</v>
      </c>
      <c r="CV79" s="144" t="s">
        <v>130</v>
      </c>
      <c r="CW79" s="144"/>
      <c r="DG79" s="143"/>
    </row>
    <row r="80" spans="1:111" ht="11.25">
      <c r="A80" s="3">
        <v>79</v>
      </c>
      <c r="B80" s="4">
        <v>46176.627997685202</v>
      </c>
      <c r="C80" s="4">
        <v>46176.636736111097</v>
      </c>
      <c r="D80" s="3" t="s">
        <v>468</v>
      </c>
      <c r="E80" s="3" t="s">
        <v>469</v>
      </c>
      <c r="F80" s="3" t="s">
        <v>469</v>
      </c>
      <c r="G80" s="3" t="s">
        <v>471</v>
      </c>
      <c r="H80" s="4">
        <v>46150</v>
      </c>
      <c r="I80" s="4" t="s">
        <v>135</v>
      </c>
      <c r="J80" s="3" t="s">
        <v>161</v>
      </c>
      <c r="K80" s="3"/>
      <c r="L80" s="3"/>
      <c r="M80" s="3" t="s">
        <v>108</v>
      </c>
      <c r="N80" s="3" t="s">
        <v>109</v>
      </c>
      <c r="O80" s="3" t="s">
        <v>472</v>
      </c>
      <c r="P80" s="3" t="s">
        <v>486</v>
      </c>
      <c r="Q80" s="3" t="s">
        <v>486</v>
      </c>
      <c r="R80" s="3"/>
      <c r="S80" s="3"/>
      <c r="T80" s="3"/>
      <c r="U80" s="3" t="s">
        <v>22</v>
      </c>
      <c r="V80" s="3"/>
      <c r="W80" s="3" t="s">
        <v>124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 t="s">
        <v>573</v>
      </c>
      <c r="AZ80" s="3" t="s">
        <v>574</v>
      </c>
      <c r="BA80" s="3" t="s">
        <v>575</v>
      </c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145"/>
      <c r="CM80" s="144"/>
      <c r="CN80" s="144"/>
      <c r="CO80" s="144"/>
      <c r="CP80" s="144"/>
      <c r="CQ80" s="144"/>
      <c r="CR80" s="144" t="s">
        <v>149</v>
      </c>
      <c r="CS80" s="144" t="s">
        <v>144</v>
      </c>
      <c r="CT80" s="3" t="s">
        <v>576</v>
      </c>
      <c r="CU80" s="144" t="s">
        <v>151</v>
      </c>
      <c r="CV80" s="144" t="s">
        <v>117</v>
      </c>
      <c r="CW80" s="144"/>
      <c r="DG80" s="143"/>
    </row>
    <row r="81" spans="1:111" ht="11.25">
      <c r="A81" s="3">
        <v>80</v>
      </c>
      <c r="B81" s="4">
        <v>46176.636793981503</v>
      </c>
      <c r="C81" s="4">
        <v>46176.638032407398</v>
      </c>
      <c r="D81" s="3" t="s">
        <v>468</v>
      </c>
      <c r="E81" s="3" t="s">
        <v>469</v>
      </c>
      <c r="F81" s="3" t="s">
        <v>469</v>
      </c>
      <c r="G81" s="3" t="s">
        <v>471</v>
      </c>
      <c r="H81" s="4">
        <v>46150</v>
      </c>
      <c r="I81" s="4" t="s">
        <v>135</v>
      </c>
      <c r="J81" s="3" t="s">
        <v>161</v>
      </c>
      <c r="K81" s="3"/>
      <c r="L81" s="3"/>
      <c r="M81" s="3" t="s">
        <v>108</v>
      </c>
      <c r="N81" s="3" t="s">
        <v>109</v>
      </c>
      <c r="O81" s="3" t="s">
        <v>472</v>
      </c>
      <c r="P81" s="3" t="s">
        <v>577</v>
      </c>
      <c r="Q81" s="3" t="s">
        <v>578</v>
      </c>
      <c r="R81" s="3"/>
      <c r="S81" s="3"/>
      <c r="T81" s="3"/>
      <c r="U81" s="3" t="s">
        <v>25</v>
      </c>
      <c r="V81" s="3"/>
      <c r="W81" s="3"/>
      <c r="X81" s="3"/>
      <c r="Y81" s="3"/>
      <c r="Z81" s="3" t="s">
        <v>256</v>
      </c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 t="s">
        <v>579</v>
      </c>
      <c r="CJ81" s="3" t="s">
        <v>580</v>
      </c>
      <c r="CK81" s="3" t="s">
        <v>581</v>
      </c>
      <c r="CL81" s="3"/>
      <c r="CM81" s="144"/>
      <c r="CN81" s="144"/>
      <c r="CO81" s="144"/>
      <c r="CP81" s="144"/>
      <c r="CQ81" s="144"/>
      <c r="CR81" s="144" t="s">
        <v>149</v>
      </c>
      <c r="CS81" s="144" t="s">
        <v>181</v>
      </c>
      <c r="CT81" s="3" t="s">
        <v>186</v>
      </c>
      <c r="CU81" s="144" t="s">
        <v>116</v>
      </c>
      <c r="CV81" s="144" t="s">
        <v>117</v>
      </c>
      <c r="CW81" s="144"/>
      <c r="DG81" s="143"/>
    </row>
    <row r="82" spans="1:111" ht="11.25">
      <c r="A82" s="5">
        <v>81</v>
      </c>
      <c r="B82" s="6">
        <v>46176.662060185197</v>
      </c>
      <c r="C82" s="6">
        <v>46176.665578703702</v>
      </c>
      <c r="D82" s="5" t="s">
        <v>468</v>
      </c>
      <c r="E82" s="5" t="s">
        <v>469</v>
      </c>
      <c r="F82" s="5" t="s">
        <v>469</v>
      </c>
      <c r="G82" s="5" t="s">
        <v>471</v>
      </c>
      <c r="H82" s="6">
        <v>46157</v>
      </c>
      <c r="I82" s="6" t="s">
        <v>582</v>
      </c>
      <c r="J82" s="5" t="s">
        <v>161</v>
      </c>
      <c r="K82" s="5"/>
      <c r="L82" s="5"/>
      <c r="M82" s="5" t="s">
        <v>108</v>
      </c>
      <c r="N82" s="5" t="s">
        <v>109</v>
      </c>
      <c r="O82" s="5" t="s">
        <v>472</v>
      </c>
      <c r="P82" s="5" t="s">
        <v>486</v>
      </c>
      <c r="Q82" s="5" t="s">
        <v>583</v>
      </c>
      <c r="R82" s="5"/>
      <c r="S82" s="5"/>
      <c r="T82" s="5"/>
      <c r="U82" s="5" t="s">
        <v>22</v>
      </c>
      <c r="V82" s="5"/>
      <c r="W82" s="5" t="s">
        <v>199</v>
      </c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 t="s">
        <v>584</v>
      </c>
      <c r="BI82" s="5" t="s">
        <v>284</v>
      </c>
      <c r="BJ82" s="5" t="s">
        <v>295</v>
      </c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R82" s="1" t="s">
        <v>149</v>
      </c>
      <c r="CS82" s="1" t="s">
        <v>478</v>
      </c>
      <c r="CT82" s="5" t="s">
        <v>186</v>
      </c>
      <c r="CU82" s="1" t="s">
        <v>151</v>
      </c>
      <c r="CV82" s="1" t="s">
        <v>117</v>
      </c>
      <c r="CW82" s="144"/>
      <c r="DG82" s="143"/>
    </row>
    <row r="83" spans="1:111" ht="11.25">
      <c r="A83" s="5">
        <v>82</v>
      </c>
      <c r="B83" s="6">
        <v>46176.71875</v>
      </c>
      <c r="C83" s="6">
        <v>46176.733495370398</v>
      </c>
      <c r="D83" s="5" t="s">
        <v>238</v>
      </c>
      <c r="E83" s="5" t="s">
        <v>239</v>
      </c>
      <c r="F83" s="5" t="s">
        <v>239</v>
      </c>
      <c r="G83" s="5" t="s">
        <v>240</v>
      </c>
      <c r="H83" s="6">
        <v>46174</v>
      </c>
      <c r="I83" s="6" t="s">
        <v>107</v>
      </c>
      <c r="J83" s="5" t="s">
        <v>161</v>
      </c>
      <c r="K83" s="5"/>
      <c r="L83" s="5"/>
      <c r="M83" s="5" t="s">
        <v>108</v>
      </c>
      <c r="N83" s="5" t="s">
        <v>109</v>
      </c>
      <c r="O83" s="5" t="s">
        <v>241</v>
      </c>
      <c r="P83" s="5" t="s">
        <v>585</v>
      </c>
      <c r="Q83" s="5" t="s">
        <v>586</v>
      </c>
      <c r="R83" s="5"/>
      <c r="S83" s="5"/>
      <c r="T83" s="5"/>
      <c r="U83" s="5" t="s">
        <v>22</v>
      </c>
      <c r="V83" s="5"/>
      <c r="W83" s="5" t="s">
        <v>124</v>
      </c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 t="s">
        <v>587</v>
      </c>
      <c r="AZ83" s="5" t="s">
        <v>588</v>
      </c>
      <c r="BA83" s="5" t="s">
        <v>141</v>
      </c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R83" s="1" t="s">
        <v>149</v>
      </c>
      <c r="CS83" s="1" t="s">
        <v>181</v>
      </c>
      <c r="CT83" s="5" t="s">
        <v>186</v>
      </c>
      <c r="CU83" s="1" t="s">
        <v>129</v>
      </c>
      <c r="CV83" s="1" t="s">
        <v>130</v>
      </c>
      <c r="CW83" s="144"/>
      <c r="DG83" s="143"/>
    </row>
    <row r="84" spans="1:111" ht="11.25">
      <c r="A84" s="5">
        <v>83</v>
      </c>
      <c r="B84" s="6">
        <v>46176.733553240701</v>
      </c>
      <c r="C84" s="6">
        <v>46176.738553240699</v>
      </c>
      <c r="D84" s="5" t="s">
        <v>238</v>
      </c>
      <c r="E84" s="5" t="s">
        <v>239</v>
      </c>
      <c r="F84" s="5" t="s">
        <v>239</v>
      </c>
      <c r="G84" s="5" t="s">
        <v>240</v>
      </c>
      <c r="H84" s="6">
        <v>46175</v>
      </c>
      <c r="I84" s="6" t="s">
        <v>160</v>
      </c>
      <c r="J84" s="5" t="s">
        <v>161</v>
      </c>
      <c r="K84" s="5"/>
      <c r="L84" s="5"/>
      <c r="M84" s="5" t="s">
        <v>108</v>
      </c>
      <c r="N84" s="5" t="s">
        <v>123</v>
      </c>
      <c r="O84" s="5" t="s">
        <v>241</v>
      </c>
      <c r="P84" s="5" t="s">
        <v>361</v>
      </c>
      <c r="Q84" s="5" t="s">
        <v>242</v>
      </c>
      <c r="R84" s="5"/>
      <c r="S84" s="5"/>
      <c r="T84" s="5"/>
      <c r="U84" s="5" t="s">
        <v>24</v>
      </c>
      <c r="V84" s="5"/>
      <c r="W84" s="5"/>
      <c r="X84" s="5"/>
      <c r="Y84" s="5" t="s">
        <v>164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 t="s">
        <v>589</v>
      </c>
      <c r="BX84" s="5" t="s">
        <v>590</v>
      </c>
      <c r="BY84" s="5" t="s">
        <v>591</v>
      </c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R84" s="1" t="s">
        <v>143</v>
      </c>
      <c r="CS84" s="1" t="s">
        <v>144</v>
      </c>
      <c r="CT84" s="5" t="s">
        <v>186</v>
      </c>
      <c r="CU84" s="1" t="s">
        <v>151</v>
      </c>
      <c r="CV84" s="1" t="s">
        <v>169</v>
      </c>
      <c r="CW84" s="144"/>
      <c r="DG84" s="143"/>
    </row>
    <row r="85" spans="1:111" ht="11.25">
      <c r="A85" s="5">
        <v>84</v>
      </c>
      <c r="B85" s="6">
        <v>46176.729988425897</v>
      </c>
      <c r="C85" s="6">
        <v>46176.739456018498</v>
      </c>
      <c r="D85" s="5" t="s">
        <v>592</v>
      </c>
      <c r="E85" s="5" t="s">
        <v>593</v>
      </c>
      <c r="F85" s="5" t="s">
        <v>594</v>
      </c>
      <c r="G85" s="5" t="s">
        <v>595</v>
      </c>
      <c r="H85" s="6">
        <v>46148</v>
      </c>
      <c r="I85" s="6" t="s">
        <v>122</v>
      </c>
      <c r="J85" s="5" t="s">
        <v>161</v>
      </c>
      <c r="K85" s="5"/>
      <c r="L85" s="5"/>
      <c r="M85" s="5" t="s">
        <v>108</v>
      </c>
      <c r="N85" s="5" t="s">
        <v>123</v>
      </c>
      <c r="O85" s="5" t="s">
        <v>596</v>
      </c>
      <c r="P85" s="5" t="s">
        <v>597</v>
      </c>
      <c r="Q85" s="5" t="s">
        <v>598</v>
      </c>
      <c r="R85" s="5"/>
      <c r="S85" s="5"/>
      <c r="T85" s="5"/>
      <c r="U85" s="5" t="s">
        <v>22</v>
      </c>
      <c r="V85" s="5"/>
      <c r="W85" s="5" t="s">
        <v>329</v>
      </c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 t="s">
        <v>599</v>
      </c>
      <c r="AW85" s="5" t="s">
        <v>600</v>
      </c>
      <c r="AX85" s="5" t="s">
        <v>601</v>
      </c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R85" s="1" t="s">
        <v>143</v>
      </c>
      <c r="CS85" s="1" t="s">
        <v>181</v>
      </c>
      <c r="CT85" s="5" t="s">
        <v>602</v>
      </c>
      <c r="CU85" s="1" t="s">
        <v>129</v>
      </c>
      <c r="CV85" s="1" t="s">
        <v>130</v>
      </c>
      <c r="CW85" s="144"/>
      <c r="DG85" s="143"/>
    </row>
    <row r="86" spans="1:111" ht="11.25">
      <c r="A86" s="5">
        <v>85</v>
      </c>
      <c r="B86" s="6">
        <v>46177.020347222198</v>
      </c>
      <c r="C86" s="6">
        <v>46177.022384259297</v>
      </c>
      <c r="D86" s="5" t="s">
        <v>468</v>
      </c>
      <c r="E86" s="5" t="s">
        <v>469</v>
      </c>
      <c r="F86" s="5" t="s">
        <v>469</v>
      </c>
      <c r="G86" s="5" t="s">
        <v>471</v>
      </c>
      <c r="H86" s="6">
        <v>46157</v>
      </c>
      <c r="I86" s="6" t="s">
        <v>135</v>
      </c>
      <c r="J86" s="5" t="s">
        <v>161</v>
      </c>
      <c r="K86" s="5"/>
      <c r="L86" s="5"/>
      <c r="M86" s="5" t="s">
        <v>108</v>
      </c>
      <c r="N86" s="5" t="s">
        <v>109</v>
      </c>
      <c r="O86" s="5" t="s">
        <v>472</v>
      </c>
      <c r="P86" s="5" t="s">
        <v>603</v>
      </c>
      <c r="Q86" s="5" t="s">
        <v>603</v>
      </c>
      <c r="R86" s="5"/>
      <c r="S86" s="5"/>
      <c r="T86" s="5"/>
      <c r="U86" s="5" t="s">
        <v>21</v>
      </c>
      <c r="V86" s="5" t="s">
        <v>177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 t="s">
        <v>604</v>
      </c>
      <c r="AH86" s="5" t="s">
        <v>605</v>
      </c>
      <c r="AI86" s="5" t="s">
        <v>180</v>
      </c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R86" s="1" t="s">
        <v>143</v>
      </c>
      <c r="CS86" s="1" t="s">
        <v>606</v>
      </c>
      <c r="CT86" s="5" t="s">
        <v>186</v>
      </c>
      <c r="CU86" s="1" t="s">
        <v>116</v>
      </c>
      <c r="CV86" s="1" t="s">
        <v>117</v>
      </c>
      <c r="CW86" s="144"/>
      <c r="DG86" s="143"/>
    </row>
    <row r="87" spans="1:111" ht="11.25">
      <c r="A87" s="5">
        <v>86</v>
      </c>
      <c r="B87" s="6">
        <v>46177.025972222204</v>
      </c>
      <c r="C87" s="6">
        <v>46177.027037036998</v>
      </c>
      <c r="D87" s="5" t="s">
        <v>468</v>
      </c>
      <c r="E87" s="5" t="s">
        <v>469</v>
      </c>
      <c r="F87" s="5" t="s">
        <v>469</v>
      </c>
      <c r="G87" s="5" t="s">
        <v>471</v>
      </c>
      <c r="H87" s="6">
        <v>46162</v>
      </c>
      <c r="I87" s="6" t="s">
        <v>122</v>
      </c>
      <c r="J87" s="5" t="s">
        <v>161</v>
      </c>
      <c r="K87" s="5"/>
      <c r="L87" s="5"/>
      <c r="M87" s="5" t="s">
        <v>108</v>
      </c>
      <c r="N87" s="5" t="s">
        <v>123</v>
      </c>
      <c r="O87" s="5" t="s">
        <v>472</v>
      </c>
      <c r="P87" s="5" t="s">
        <v>473</v>
      </c>
      <c r="Q87" s="5" t="s">
        <v>607</v>
      </c>
      <c r="R87" s="5"/>
      <c r="S87" s="5"/>
      <c r="T87" s="5"/>
      <c r="U87" s="5" t="s">
        <v>25</v>
      </c>
      <c r="V87" s="5"/>
      <c r="W87" s="5"/>
      <c r="X87" s="5"/>
      <c r="Y87" s="5"/>
      <c r="Z87" s="5" t="s">
        <v>256</v>
      </c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 t="s">
        <v>608</v>
      </c>
      <c r="CJ87" s="5" t="s">
        <v>609</v>
      </c>
      <c r="CK87" s="5" t="s">
        <v>610</v>
      </c>
      <c r="CL87" s="5"/>
      <c r="CR87" s="1" t="s">
        <v>149</v>
      </c>
      <c r="CS87" s="1" t="s">
        <v>478</v>
      </c>
      <c r="CT87" s="5" t="s">
        <v>186</v>
      </c>
      <c r="CU87" s="1" t="s">
        <v>151</v>
      </c>
      <c r="CV87" s="1" t="s">
        <v>117</v>
      </c>
      <c r="CW87" s="144"/>
      <c r="DG87" s="143"/>
    </row>
    <row r="88" spans="1:111" ht="11.25">
      <c r="A88" s="5">
        <v>87</v>
      </c>
      <c r="B88" s="6">
        <v>46177.030810185199</v>
      </c>
      <c r="C88" s="6">
        <v>46177.032708333303</v>
      </c>
      <c r="D88" s="5" t="s">
        <v>468</v>
      </c>
      <c r="E88" s="5" t="s">
        <v>469</v>
      </c>
      <c r="F88" s="5" t="s">
        <v>469</v>
      </c>
      <c r="G88" s="5" t="s">
        <v>471</v>
      </c>
      <c r="H88" s="6">
        <v>46164</v>
      </c>
      <c r="I88" s="6" t="s">
        <v>135</v>
      </c>
      <c r="J88" s="5" t="s">
        <v>161</v>
      </c>
      <c r="K88" s="5"/>
      <c r="L88" s="5"/>
      <c r="M88" s="5" t="s">
        <v>108</v>
      </c>
      <c r="N88" s="5" t="s">
        <v>109</v>
      </c>
      <c r="O88" s="5" t="s">
        <v>472</v>
      </c>
      <c r="P88" s="5" t="s">
        <v>486</v>
      </c>
      <c r="Q88" s="5" t="s">
        <v>611</v>
      </c>
      <c r="R88" s="5"/>
      <c r="S88" s="5"/>
      <c r="T88" s="5"/>
      <c r="U88" s="5" t="s">
        <v>22</v>
      </c>
      <c r="V88" s="5"/>
      <c r="W88" s="5" t="s">
        <v>124</v>
      </c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 t="s">
        <v>612</v>
      </c>
      <c r="AZ88" s="5" t="s">
        <v>613</v>
      </c>
      <c r="BA88" s="5" t="s">
        <v>127</v>
      </c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R88" s="1" t="s">
        <v>149</v>
      </c>
      <c r="CS88" s="1" t="s">
        <v>144</v>
      </c>
      <c r="CT88" s="5" t="s">
        <v>186</v>
      </c>
      <c r="CU88" s="1" t="s">
        <v>151</v>
      </c>
      <c r="CV88" s="1" t="s">
        <v>117</v>
      </c>
      <c r="CW88" s="144"/>
      <c r="DG88" s="143"/>
    </row>
    <row r="89" spans="1:111" ht="11.25">
      <c r="A89" s="5">
        <v>88</v>
      </c>
      <c r="B89" s="6">
        <v>46177.032881944397</v>
      </c>
      <c r="C89" s="6">
        <v>46177.034016203703</v>
      </c>
      <c r="D89" s="5" t="s">
        <v>468</v>
      </c>
      <c r="E89" s="5" t="s">
        <v>469</v>
      </c>
      <c r="F89" s="5" t="s">
        <v>469</v>
      </c>
      <c r="G89" s="5" t="s">
        <v>471</v>
      </c>
      <c r="H89" s="6">
        <v>46168</v>
      </c>
      <c r="I89" s="6" t="s">
        <v>135</v>
      </c>
      <c r="J89" s="5" t="s">
        <v>187</v>
      </c>
      <c r="K89" s="5" t="s">
        <v>254</v>
      </c>
      <c r="L89" s="5"/>
      <c r="M89" s="5" t="s">
        <v>108</v>
      </c>
      <c r="N89" s="5" t="s">
        <v>123</v>
      </c>
      <c r="O89" s="5" t="s">
        <v>472</v>
      </c>
      <c r="P89" s="5"/>
      <c r="Q89" s="5" t="s">
        <v>614</v>
      </c>
      <c r="R89" s="5"/>
      <c r="S89" s="5"/>
      <c r="T89" s="5"/>
      <c r="U89" s="5" t="s">
        <v>22</v>
      </c>
      <c r="V89" s="5"/>
      <c r="W89" s="5" t="s">
        <v>302</v>
      </c>
      <c r="X89" s="5"/>
      <c r="Y89" s="5"/>
      <c r="Z89" s="5"/>
      <c r="AA89" s="5" t="s">
        <v>615</v>
      </c>
      <c r="AB89" s="5" t="s">
        <v>616</v>
      </c>
      <c r="AC89" s="5" t="s">
        <v>617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R89" s="1" t="s">
        <v>149</v>
      </c>
      <c r="CS89" s="1" t="s">
        <v>150</v>
      </c>
      <c r="CT89" s="5" t="s">
        <v>186</v>
      </c>
      <c r="CU89" s="1" t="s">
        <v>151</v>
      </c>
      <c r="CV89" s="1" t="s">
        <v>117</v>
      </c>
      <c r="CW89" s="144"/>
      <c r="DG89" s="143"/>
    </row>
    <row r="90" spans="1:111" ht="11.25">
      <c r="A90" s="5">
        <v>89</v>
      </c>
      <c r="B90" s="6">
        <v>46177.495000000003</v>
      </c>
      <c r="C90" s="6">
        <v>46177.4983796296</v>
      </c>
      <c r="D90" s="5" t="s">
        <v>227</v>
      </c>
      <c r="E90" s="5" t="s">
        <v>228</v>
      </c>
      <c r="F90" s="5" t="s">
        <v>228</v>
      </c>
      <c r="G90" s="5" t="s">
        <v>229</v>
      </c>
      <c r="H90" s="6">
        <v>46167</v>
      </c>
      <c r="I90" s="6" t="s">
        <v>135</v>
      </c>
      <c r="J90" s="5" t="s">
        <v>161</v>
      </c>
      <c r="K90" s="5"/>
      <c r="L90" s="5"/>
      <c r="M90" s="5" t="s">
        <v>108</v>
      </c>
      <c r="N90" s="5" t="s">
        <v>109</v>
      </c>
      <c r="O90" s="5" t="s">
        <v>136</v>
      </c>
      <c r="P90" s="5" t="s">
        <v>155</v>
      </c>
      <c r="Q90" s="5" t="s">
        <v>618</v>
      </c>
      <c r="R90" s="5"/>
      <c r="S90" s="5"/>
      <c r="T90" s="5"/>
      <c r="U90" s="5" t="s">
        <v>22</v>
      </c>
      <c r="V90" s="5"/>
      <c r="W90" s="5" t="s">
        <v>329</v>
      </c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 t="s">
        <v>619</v>
      </c>
      <c r="AW90" s="5" t="s">
        <v>620</v>
      </c>
      <c r="AX90" s="5" t="s">
        <v>141</v>
      </c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R90" s="1" t="s">
        <v>149</v>
      </c>
      <c r="CS90" s="1" t="s">
        <v>181</v>
      </c>
      <c r="CT90" s="5" t="s">
        <v>186</v>
      </c>
      <c r="CU90" s="1" t="s">
        <v>151</v>
      </c>
      <c r="CV90" s="1" t="s">
        <v>130</v>
      </c>
      <c r="CW90" s="144"/>
      <c r="DG90" s="143"/>
    </row>
    <row r="91" spans="1:111" ht="11.25">
      <c r="A91" s="5">
        <v>90</v>
      </c>
      <c r="B91" s="6">
        <v>46178.503483796303</v>
      </c>
      <c r="C91" s="6">
        <v>46178.508368055598</v>
      </c>
      <c r="D91" s="5" t="s">
        <v>413</v>
      </c>
      <c r="E91" s="5" t="s">
        <v>414</v>
      </c>
      <c r="F91" s="5" t="s">
        <v>415</v>
      </c>
      <c r="G91" s="5" t="s">
        <v>416</v>
      </c>
      <c r="H91" s="6">
        <v>46161</v>
      </c>
      <c r="I91" s="6" t="s">
        <v>107</v>
      </c>
      <c r="J91" s="5" t="s">
        <v>161</v>
      </c>
      <c r="K91" s="5"/>
      <c r="L91" s="5"/>
      <c r="M91" s="5" t="s">
        <v>108</v>
      </c>
      <c r="N91" s="5" t="s">
        <v>109</v>
      </c>
      <c r="O91" s="5" t="s">
        <v>136</v>
      </c>
      <c r="P91" s="5" t="s">
        <v>621</v>
      </c>
      <c r="Q91" s="5" t="s">
        <v>622</v>
      </c>
      <c r="R91" s="5"/>
      <c r="S91" s="5"/>
      <c r="T91" s="5"/>
      <c r="U91" s="5" t="s">
        <v>22</v>
      </c>
      <c r="V91" s="5"/>
      <c r="W91" s="5" t="s">
        <v>329</v>
      </c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 t="s">
        <v>623</v>
      </c>
      <c r="AW91" s="5" t="s">
        <v>624</v>
      </c>
      <c r="AX91" s="5" t="s">
        <v>625</v>
      </c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R91" s="1" t="s">
        <v>143</v>
      </c>
      <c r="CS91" s="1" t="s">
        <v>181</v>
      </c>
      <c r="CT91" s="5" t="s">
        <v>626</v>
      </c>
      <c r="CU91" s="1" t="s">
        <v>151</v>
      </c>
      <c r="CV91" s="1" t="s">
        <v>130</v>
      </c>
      <c r="CW91" s="144"/>
      <c r="DG91" s="143"/>
    </row>
    <row r="92" spans="1:111" ht="11.25">
      <c r="A92" s="5">
        <v>91</v>
      </c>
      <c r="B92" s="6">
        <v>46178.508472222202</v>
      </c>
      <c r="C92" s="6">
        <v>46178.511331018497</v>
      </c>
      <c r="D92" s="5" t="s">
        <v>413</v>
      </c>
      <c r="E92" s="5" t="s">
        <v>414</v>
      </c>
      <c r="F92" s="5" t="s">
        <v>415</v>
      </c>
      <c r="G92" s="5" t="s">
        <v>416</v>
      </c>
      <c r="H92" s="6">
        <v>46162</v>
      </c>
      <c r="I92" s="6" t="s">
        <v>160</v>
      </c>
      <c r="J92" s="5" t="s">
        <v>174</v>
      </c>
      <c r="K92" s="5"/>
      <c r="L92" s="5" t="s">
        <v>627</v>
      </c>
      <c r="M92" s="5" t="s">
        <v>108</v>
      </c>
      <c r="N92" s="5" t="s">
        <v>123</v>
      </c>
      <c r="O92" s="5" t="s">
        <v>136</v>
      </c>
      <c r="P92" s="5"/>
      <c r="Q92" s="5" t="s">
        <v>418</v>
      </c>
      <c r="R92" s="5"/>
      <c r="S92" s="5"/>
      <c r="T92" s="5"/>
      <c r="U92" s="5" t="s">
        <v>24</v>
      </c>
      <c r="V92" s="5"/>
      <c r="W92" s="5"/>
      <c r="X92" s="5"/>
      <c r="Y92" s="5" t="s">
        <v>419</v>
      </c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 t="s">
        <v>628</v>
      </c>
      <c r="CA92" s="5" t="s">
        <v>629</v>
      </c>
      <c r="CB92" s="5" t="s">
        <v>630</v>
      </c>
      <c r="CC92" s="5"/>
      <c r="CD92" s="5"/>
      <c r="CE92" s="5"/>
      <c r="CF92" s="5"/>
      <c r="CG92" s="5"/>
      <c r="CH92" s="5"/>
      <c r="CI92" s="5"/>
      <c r="CJ92" s="5"/>
      <c r="CK92" s="5"/>
      <c r="CL92" s="5"/>
      <c r="CR92" s="1" t="s">
        <v>149</v>
      </c>
      <c r="CS92" s="1" t="s">
        <v>226</v>
      </c>
      <c r="CT92" s="5" t="s">
        <v>631</v>
      </c>
      <c r="CU92" s="1" t="s">
        <v>116</v>
      </c>
      <c r="CV92" s="1" t="s">
        <v>169</v>
      </c>
      <c r="CW92" s="144"/>
      <c r="DG92" s="143"/>
    </row>
    <row r="93" spans="1:111" ht="11.25">
      <c r="A93" s="5">
        <v>92</v>
      </c>
      <c r="B93" s="6">
        <v>46178.511377314797</v>
      </c>
      <c r="C93" s="6">
        <v>46178.513935185198</v>
      </c>
      <c r="D93" s="5" t="s">
        <v>413</v>
      </c>
      <c r="E93" s="5" t="s">
        <v>414</v>
      </c>
      <c r="F93" s="5" t="s">
        <v>415</v>
      </c>
      <c r="G93" s="5" t="s">
        <v>416</v>
      </c>
      <c r="H93" s="6">
        <v>46162</v>
      </c>
      <c r="I93" s="6" t="s">
        <v>135</v>
      </c>
      <c r="J93" s="5" t="s">
        <v>187</v>
      </c>
      <c r="K93" s="5" t="s">
        <v>188</v>
      </c>
      <c r="L93" s="5"/>
      <c r="M93" s="5" t="s">
        <v>108</v>
      </c>
      <c r="N93" s="5" t="s">
        <v>123</v>
      </c>
      <c r="O93" s="5" t="s">
        <v>136</v>
      </c>
      <c r="P93" s="5"/>
      <c r="Q93" s="5" t="s">
        <v>632</v>
      </c>
      <c r="R93" s="5"/>
      <c r="S93" s="5"/>
      <c r="T93" s="5"/>
      <c r="U93" s="5" t="s">
        <v>24</v>
      </c>
      <c r="V93" s="5"/>
      <c r="W93" s="5"/>
      <c r="X93" s="5"/>
      <c r="Y93" s="5" t="s">
        <v>190</v>
      </c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 t="s">
        <v>633</v>
      </c>
      <c r="CG93" s="5" t="s">
        <v>633</v>
      </c>
      <c r="CH93" s="5" t="s">
        <v>141</v>
      </c>
      <c r="CI93" s="5"/>
      <c r="CJ93" s="5"/>
      <c r="CK93" s="5"/>
      <c r="CL93" s="5"/>
      <c r="CR93" s="1" t="s">
        <v>149</v>
      </c>
      <c r="CS93" s="1" t="s">
        <v>181</v>
      </c>
      <c r="CT93" s="5" t="s">
        <v>186</v>
      </c>
      <c r="CU93" s="1" t="s">
        <v>151</v>
      </c>
      <c r="CV93" s="1" t="s">
        <v>130</v>
      </c>
      <c r="CW93" s="144"/>
      <c r="DG93" s="143"/>
    </row>
    <row r="94" spans="1:111" ht="11.25">
      <c r="A94" s="5">
        <v>93</v>
      </c>
      <c r="B94" s="6">
        <v>46178.513993055603</v>
      </c>
      <c r="C94" s="6">
        <v>46178.516863425903</v>
      </c>
      <c r="D94" s="5" t="s">
        <v>413</v>
      </c>
      <c r="E94" s="5" t="s">
        <v>414</v>
      </c>
      <c r="F94" s="5" t="s">
        <v>415</v>
      </c>
      <c r="G94" s="5" t="s">
        <v>416</v>
      </c>
      <c r="H94" s="6">
        <v>46163</v>
      </c>
      <c r="I94" s="6" t="s">
        <v>160</v>
      </c>
      <c r="J94" s="5" t="s">
        <v>187</v>
      </c>
      <c r="K94" s="5" t="s">
        <v>634</v>
      </c>
      <c r="L94" s="5"/>
      <c r="M94" s="5" t="s">
        <v>108</v>
      </c>
      <c r="N94" s="5" t="s">
        <v>123</v>
      </c>
      <c r="O94" s="5" t="s">
        <v>136</v>
      </c>
      <c r="P94" s="5"/>
      <c r="Q94" s="5" t="s">
        <v>418</v>
      </c>
      <c r="R94" s="5"/>
      <c r="S94" s="5"/>
      <c r="T94" s="5"/>
      <c r="U94" s="5" t="s">
        <v>24</v>
      </c>
      <c r="V94" s="5"/>
      <c r="W94" s="5"/>
      <c r="X94" s="5"/>
      <c r="Y94" s="5" t="s">
        <v>190</v>
      </c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 t="s">
        <v>635</v>
      </c>
      <c r="CG94" s="5" t="s">
        <v>636</v>
      </c>
      <c r="CH94" s="5" t="s">
        <v>637</v>
      </c>
      <c r="CI94" s="5"/>
      <c r="CJ94" s="5"/>
      <c r="CK94" s="5"/>
      <c r="CL94" s="5"/>
      <c r="CR94" s="1" t="s">
        <v>149</v>
      </c>
      <c r="CS94" s="1" t="s">
        <v>150</v>
      </c>
      <c r="CT94" s="5" t="s">
        <v>638</v>
      </c>
      <c r="CU94" s="1" t="s">
        <v>151</v>
      </c>
      <c r="CV94" s="1" t="s">
        <v>130</v>
      </c>
      <c r="CW94" s="144"/>
      <c r="DG94" s="143"/>
    </row>
    <row r="95" spans="1:111" ht="11.25">
      <c r="A95" s="5">
        <v>94</v>
      </c>
      <c r="B95" s="6">
        <v>46178.516944444404</v>
      </c>
      <c r="C95" s="6">
        <v>46178.519085648099</v>
      </c>
      <c r="D95" s="5" t="s">
        <v>413</v>
      </c>
      <c r="E95" s="5" t="s">
        <v>414</v>
      </c>
      <c r="F95" s="5" t="s">
        <v>415</v>
      </c>
      <c r="G95" s="5" t="s">
        <v>416</v>
      </c>
      <c r="H95" s="6">
        <v>46163</v>
      </c>
      <c r="I95" s="6" t="s">
        <v>160</v>
      </c>
      <c r="J95" s="5" t="s">
        <v>187</v>
      </c>
      <c r="K95" s="5" t="s">
        <v>634</v>
      </c>
      <c r="L95" s="5"/>
      <c r="M95" s="5" t="s">
        <v>108</v>
      </c>
      <c r="N95" s="5" t="s">
        <v>248</v>
      </c>
      <c r="O95" s="5" t="s">
        <v>136</v>
      </c>
      <c r="P95" s="5"/>
      <c r="Q95" s="5" t="s">
        <v>639</v>
      </c>
      <c r="R95" s="5" t="s">
        <v>640</v>
      </c>
      <c r="S95" s="5"/>
      <c r="T95" s="5"/>
      <c r="U95" s="5" t="s">
        <v>23</v>
      </c>
      <c r="V95" s="5"/>
      <c r="W95" s="5"/>
      <c r="X95" s="5" t="s">
        <v>252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R95" s="1" t="s">
        <v>149</v>
      </c>
      <c r="CS95" s="1" t="s">
        <v>181</v>
      </c>
      <c r="CT95" s="5" t="s">
        <v>641</v>
      </c>
      <c r="CU95" s="1" t="s">
        <v>151</v>
      </c>
      <c r="CV95" s="1" t="s">
        <v>130</v>
      </c>
      <c r="CW95" s="144"/>
      <c r="DG95" s="143"/>
    </row>
    <row r="96" spans="1:111" ht="11.25">
      <c r="A96" s="5">
        <v>95</v>
      </c>
      <c r="B96" s="6">
        <v>46178.519120370402</v>
      </c>
      <c r="C96" s="6">
        <v>46178.521377314799</v>
      </c>
      <c r="D96" s="5" t="s">
        <v>413</v>
      </c>
      <c r="E96" s="5" t="s">
        <v>414</v>
      </c>
      <c r="F96" s="5" t="s">
        <v>415</v>
      </c>
      <c r="G96" s="5" t="s">
        <v>416</v>
      </c>
      <c r="H96" s="6">
        <v>46167</v>
      </c>
      <c r="I96" s="6" t="s">
        <v>135</v>
      </c>
      <c r="J96" s="5" t="s">
        <v>174</v>
      </c>
      <c r="K96" s="5"/>
      <c r="L96" s="5" t="s">
        <v>627</v>
      </c>
      <c r="M96" s="5" t="s">
        <v>108</v>
      </c>
      <c r="N96" s="5" t="s">
        <v>109</v>
      </c>
      <c r="O96" s="5" t="s">
        <v>136</v>
      </c>
      <c r="P96" s="5"/>
      <c r="Q96" s="5" t="s">
        <v>418</v>
      </c>
      <c r="R96" s="5"/>
      <c r="S96" s="5"/>
      <c r="T96" s="5"/>
      <c r="U96" s="5" t="s">
        <v>22</v>
      </c>
      <c r="V96" s="5"/>
      <c r="W96" s="5" t="s">
        <v>321</v>
      </c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 t="s">
        <v>642</v>
      </c>
      <c r="BR96" s="5" t="s">
        <v>643</v>
      </c>
      <c r="BS96" s="5" t="s">
        <v>644</v>
      </c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R96" s="1" t="s">
        <v>149</v>
      </c>
      <c r="CS96" s="1" t="s">
        <v>181</v>
      </c>
      <c r="CT96" s="5" t="s">
        <v>645</v>
      </c>
      <c r="CU96" s="1" t="s">
        <v>151</v>
      </c>
      <c r="CV96" s="1" t="s">
        <v>130</v>
      </c>
      <c r="CW96" s="144"/>
      <c r="DG96" s="143"/>
    </row>
    <row r="97" spans="1:111" ht="11.25">
      <c r="A97" s="5">
        <v>96</v>
      </c>
      <c r="B97" s="6">
        <v>46178.521435185197</v>
      </c>
      <c r="C97" s="6">
        <v>46178.524097222202</v>
      </c>
      <c r="D97" s="5" t="s">
        <v>413</v>
      </c>
      <c r="E97" s="5" t="s">
        <v>414</v>
      </c>
      <c r="F97" s="5" t="s">
        <v>415</v>
      </c>
      <c r="G97" s="5" t="s">
        <v>416</v>
      </c>
      <c r="H97" s="6">
        <v>46168</v>
      </c>
      <c r="I97" s="4" t="s">
        <v>195</v>
      </c>
      <c r="J97" s="5" t="s">
        <v>161</v>
      </c>
      <c r="K97" s="5"/>
      <c r="L97" s="5"/>
      <c r="M97" s="5" t="s">
        <v>196</v>
      </c>
      <c r="N97" s="5" t="s">
        <v>109</v>
      </c>
      <c r="O97" s="5" t="s">
        <v>136</v>
      </c>
      <c r="P97" s="5" t="s">
        <v>621</v>
      </c>
      <c r="Q97" s="5" t="s">
        <v>646</v>
      </c>
      <c r="R97" s="5"/>
      <c r="S97" s="5"/>
      <c r="T97" s="5"/>
      <c r="U97" s="5" t="s">
        <v>21</v>
      </c>
      <c r="V97" s="5" t="s">
        <v>177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 t="s">
        <v>647</v>
      </c>
      <c r="AH97" s="5" t="s">
        <v>648</v>
      </c>
      <c r="AI97" s="5" t="s">
        <v>649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R97" s="1" t="s">
        <v>143</v>
      </c>
      <c r="CS97" s="1" t="s">
        <v>181</v>
      </c>
      <c r="CT97" s="5" t="s">
        <v>650</v>
      </c>
      <c r="CU97" s="1" t="s">
        <v>151</v>
      </c>
      <c r="CV97" s="1" t="s">
        <v>130</v>
      </c>
      <c r="CW97" s="144"/>
      <c r="DG97" s="143"/>
    </row>
    <row r="98" spans="1:111" ht="11.25">
      <c r="A98" s="5">
        <v>97</v>
      </c>
      <c r="B98" s="6">
        <v>46178.524143518502</v>
      </c>
      <c r="C98" s="6">
        <v>46178.525381944397</v>
      </c>
      <c r="D98" s="5" t="s">
        <v>413</v>
      </c>
      <c r="E98" s="5" t="s">
        <v>414</v>
      </c>
      <c r="F98" s="5" t="s">
        <v>415</v>
      </c>
      <c r="G98" s="5" t="s">
        <v>416</v>
      </c>
      <c r="H98" s="6">
        <v>46168</v>
      </c>
      <c r="I98" s="4" t="s">
        <v>195</v>
      </c>
      <c r="J98" s="5" t="s">
        <v>161</v>
      </c>
      <c r="K98" s="5"/>
      <c r="L98" s="5"/>
      <c r="M98" s="5" t="s">
        <v>196</v>
      </c>
      <c r="N98" s="5" t="s">
        <v>109</v>
      </c>
      <c r="O98" s="5" t="s">
        <v>136</v>
      </c>
      <c r="P98" s="5" t="s">
        <v>621</v>
      </c>
      <c r="Q98" s="5" t="s">
        <v>646</v>
      </c>
      <c r="R98" s="5"/>
      <c r="S98" s="5"/>
      <c r="T98" s="5"/>
      <c r="U98" s="5" t="s">
        <v>21</v>
      </c>
      <c r="V98" s="5" t="s">
        <v>177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 t="s">
        <v>651</v>
      </c>
      <c r="AH98" s="5" t="s">
        <v>652</v>
      </c>
      <c r="AI98" s="5" t="s">
        <v>181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R98" s="1" t="s">
        <v>143</v>
      </c>
      <c r="CS98" s="1" t="s">
        <v>181</v>
      </c>
      <c r="CT98" s="5" t="s">
        <v>653</v>
      </c>
      <c r="CU98" s="1" t="s">
        <v>151</v>
      </c>
      <c r="CV98" s="1" t="s">
        <v>130</v>
      </c>
      <c r="CW98" s="144"/>
      <c r="DG98" s="143"/>
    </row>
    <row r="99" spans="1:111" ht="11.25">
      <c r="A99" s="5">
        <v>98</v>
      </c>
      <c r="B99" s="6">
        <v>46178.525428240697</v>
      </c>
      <c r="C99" s="6">
        <v>46178.527037036998</v>
      </c>
      <c r="D99" s="5" t="s">
        <v>413</v>
      </c>
      <c r="E99" s="5" t="s">
        <v>414</v>
      </c>
      <c r="F99" s="5" t="s">
        <v>415</v>
      </c>
      <c r="G99" s="5" t="s">
        <v>416</v>
      </c>
      <c r="H99" s="6">
        <v>46169</v>
      </c>
      <c r="I99" s="6" t="s">
        <v>654</v>
      </c>
      <c r="J99" s="5" t="s">
        <v>174</v>
      </c>
      <c r="K99" s="5"/>
      <c r="L99" s="5" t="s">
        <v>627</v>
      </c>
      <c r="M99" s="5" t="s">
        <v>108</v>
      </c>
      <c r="N99" s="5" t="s">
        <v>109</v>
      </c>
      <c r="O99" s="5" t="s">
        <v>136</v>
      </c>
      <c r="P99" s="5"/>
      <c r="Q99" s="5" t="s">
        <v>655</v>
      </c>
      <c r="R99" s="5"/>
      <c r="S99" s="5"/>
      <c r="T99" s="5"/>
      <c r="U99" s="5" t="s">
        <v>24</v>
      </c>
      <c r="V99" s="5"/>
      <c r="W99" s="5"/>
      <c r="X99" s="5"/>
      <c r="Y99" s="5" t="s">
        <v>656</v>
      </c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R99" s="1" t="s">
        <v>149</v>
      </c>
      <c r="CS99" s="1" t="s">
        <v>226</v>
      </c>
      <c r="CT99" s="5" t="s">
        <v>657</v>
      </c>
      <c r="CU99" s="1" t="s">
        <v>116</v>
      </c>
      <c r="CV99" s="1" t="s">
        <v>169</v>
      </c>
      <c r="CW99" s="144" t="s">
        <v>655</v>
      </c>
      <c r="DG99" s="143"/>
    </row>
    <row r="100" spans="1:111" ht="11.25">
      <c r="A100" s="5">
        <v>99</v>
      </c>
      <c r="B100" s="6">
        <v>46178.527083333298</v>
      </c>
      <c r="C100" s="6">
        <v>46178.53</v>
      </c>
      <c r="D100" s="5" t="s">
        <v>413</v>
      </c>
      <c r="E100" s="5" t="s">
        <v>414</v>
      </c>
      <c r="F100" s="5" t="s">
        <v>415</v>
      </c>
      <c r="G100" s="5" t="s">
        <v>416</v>
      </c>
      <c r="H100" s="6">
        <v>46171</v>
      </c>
      <c r="I100" s="6" t="s">
        <v>135</v>
      </c>
      <c r="J100" s="5" t="s">
        <v>174</v>
      </c>
      <c r="K100" s="5"/>
      <c r="L100" s="5" t="s">
        <v>627</v>
      </c>
      <c r="M100" s="5" t="s">
        <v>108</v>
      </c>
      <c r="N100" s="5" t="s">
        <v>109</v>
      </c>
      <c r="O100" s="5" t="s">
        <v>136</v>
      </c>
      <c r="P100" s="5"/>
      <c r="Q100" s="5" t="s">
        <v>655</v>
      </c>
      <c r="R100" s="5"/>
      <c r="S100" s="5"/>
      <c r="T100" s="5"/>
      <c r="U100" s="5" t="s">
        <v>24</v>
      </c>
      <c r="V100" s="5"/>
      <c r="W100" s="5"/>
      <c r="X100" s="5"/>
      <c r="Y100" s="5" t="s">
        <v>524</v>
      </c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 t="s">
        <v>658</v>
      </c>
      <c r="AK100" s="5" t="s">
        <v>659</v>
      </c>
      <c r="AL100" s="5" t="s">
        <v>660</v>
      </c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R100" s="1" t="s">
        <v>143</v>
      </c>
      <c r="CS100" s="1" t="s">
        <v>661</v>
      </c>
      <c r="CT100" s="5" t="s">
        <v>662</v>
      </c>
      <c r="CU100" s="1" t="s">
        <v>151</v>
      </c>
      <c r="CV100" s="1" t="s">
        <v>169</v>
      </c>
      <c r="CW100" s="144"/>
      <c r="DG100" s="143"/>
    </row>
    <row r="101" spans="1:111" ht="11.25">
      <c r="A101" s="5">
        <v>100</v>
      </c>
      <c r="B101" s="6">
        <v>46178.530046296299</v>
      </c>
      <c r="C101" s="6">
        <v>46178.531759259298</v>
      </c>
      <c r="D101" s="5" t="s">
        <v>413</v>
      </c>
      <c r="E101" s="5" t="s">
        <v>414</v>
      </c>
      <c r="F101" s="5" t="s">
        <v>415</v>
      </c>
      <c r="G101" s="5" t="s">
        <v>416</v>
      </c>
      <c r="H101" s="6">
        <v>46171</v>
      </c>
      <c r="I101" s="6" t="s">
        <v>107</v>
      </c>
      <c r="J101" s="5" t="s">
        <v>174</v>
      </c>
      <c r="K101" s="5"/>
      <c r="L101" s="5" t="s">
        <v>627</v>
      </c>
      <c r="M101" s="5" t="s">
        <v>108</v>
      </c>
      <c r="N101" s="5" t="s">
        <v>109</v>
      </c>
      <c r="O101" s="5" t="s">
        <v>136</v>
      </c>
      <c r="P101" s="5"/>
      <c r="Q101" s="5" t="s">
        <v>418</v>
      </c>
      <c r="R101" s="5"/>
      <c r="S101" s="5"/>
      <c r="T101" s="5"/>
      <c r="U101" s="5" t="s">
        <v>21</v>
      </c>
      <c r="V101" s="5" t="s">
        <v>177</v>
      </c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 t="s">
        <v>663</v>
      </c>
      <c r="AH101" s="5" t="s">
        <v>664</v>
      </c>
      <c r="AI101" s="5" t="s">
        <v>665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R101" s="1" t="s">
        <v>149</v>
      </c>
      <c r="CS101" s="1" t="s">
        <v>233</v>
      </c>
      <c r="CT101" s="5" t="s">
        <v>666</v>
      </c>
      <c r="CU101" s="1" t="s">
        <v>151</v>
      </c>
      <c r="CV101" s="1" t="s">
        <v>169</v>
      </c>
      <c r="CW101" s="144"/>
      <c r="DG101" s="143"/>
    </row>
    <row r="102" spans="1:111" ht="11.25">
      <c r="A102" s="5">
        <v>101</v>
      </c>
      <c r="B102" s="6">
        <v>46178.531828703701</v>
      </c>
      <c r="C102" s="6">
        <v>46178.533344907402</v>
      </c>
      <c r="D102" s="5" t="s">
        <v>413</v>
      </c>
      <c r="E102" s="5" t="s">
        <v>414</v>
      </c>
      <c r="F102" s="5" t="s">
        <v>415</v>
      </c>
      <c r="G102" s="5" t="s">
        <v>416</v>
      </c>
      <c r="H102" s="6">
        <v>46171</v>
      </c>
      <c r="I102" s="6" t="s">
        <v>107</v>
      </c>
      <c r="J102" s="5" t="s">
        <v>174</v>
      </c>
      <c r="K102" s="5"/>
      <c r="L102" s="5" t="s">
        <v>627</v>
      </c>
      <c r="M102" s="5" t="s">
        <v>108</v>
      </c>
      <c r="N102" s="5" t="s">
        <v>109</v>
      </c>
      <c r="O102" s="5" t="s">
        <v>136</v>
      </c>
      <c r="P102" s="5"/>
      <c r="Q102" s="5" t="s">
        <v>418</v>
      </c>
      <c r="R102" s="5"/>
      <c r="S102" s="5"/>
      <c r="T102" s="5"/>
      <c r="U102" s="5" t="s">
        <v>22</v>
      </c>
      <c r="V102" s="5"/>
      <c r="W102" s="5" t="s">
        <v>146</v>
      </c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 t="s">
        <v>316</v>
      </c>
      <c r="BL102" s="5" t="s">
        <v>667</v>
      </c>
      <c r="BM102" s="5" t="s">
        <v>318</v>
      </c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R102" s="1" t="s">
        <v>149</v>
      </c>
      <c r="CS102" s="1" t="s">
        <v>150</v>
      </c>
      <c r="CT102" s="5" t="s">
        <v>668</v>
      </c>
      <c r="CU102" s="1" t="s">
        <v>151</v>
      </c>
      <c r="CV102" s="1" t="s">
        <v>130</v>
      </c>
      <c r="CW102" s="144"/>
      <c r="DG102" s="143"/>
    </row>
    <row r="103" spans="1:111" ht="11.25">
      <c r="A103" s="5">
        <v>102</v>
      </c>
      <c r="B103" s="6">
        <v>46178.533449074101</v>
      </c>
      <c r="C103" s="6">
        <v>46178.535092592603</v>
      </c>
      <c r="D103" s="5" t="s">
        <v>413</v>
      </c>
      <c r="E103" s="5" t="s">
        <v>414</v>
      </c>
      <c r="F103" s="5" t="s">
        <v>415</v>
      </c>
      <c r="G103" s="5" t="s">
        <v>416</v>
      </c>
      <c r="H103" s="6">
        <v>46171</v>
      </c>
      <c r="I103" s="6" t="s">
        <v>107</v>
      </c>
      <c r="J103" s="5" t="s">
        <v>174</v>
      </c>
      <c r="K103" s="5"/>
      <c r="L103" s="5" t="s">
        <v>627</v>
      </c>
      <c r="M103" s="5" t="s">
        <v>108</v>
      </c>
      <c r="N103" s="5" t="s">
        <v>109</v>
      </c>
      <c r="O103" s="5" t="s">
        <v>136</v>
      </c>
      <c r="P103" s="5"/>
      <c r="Q103" s="5" t="s">
        <v>418</v>
      </c>
      <c r="R103" s="5"/>
      <c r="S103" s="5"/>
      <c r="T103" s="5"/>
      <c r="U103" s="5" t="s">
        <v>22</v>
      </c>
      <c r="V103" s="5"/>
      <c r="W103" s="5" t="s">
        <v>110</v>
      </c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 t="s">
        <v>402</v>
      </c>
      <c r="BO103" s="5" t="s">
        <v>112</v>
      </c>
      <c r="BP103" s="5" t="s">
        <v>669</v>
      </c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R103" s="1" t="s">
        <v>143</v>
      </c>
      <c r="CS103" s="1" t="s">
        <v>150</v>
      </c>
      <c r="CT103" s="5" t="s">
        <v>670</v>
      </c>
      <c r="CU103" s="1" t="s">
        <v>151</v>
      </c>
      <c r="CV103" s="1" t="s">
        <v>130</v>
      </c>
      <c r="CW103" s="144"/>
      <c r="DG103" s="143"/>
    </row>
    <row r="104" spans="1:111" ht="11.25">
      <c r="A104" s="5">
        <v>103</v>
      </c>
      <c r="B104" s="6">
        <v>46178.598564814798</v>
      </c>
      <c r="C104" s="6">
        <v>46178.598912037</v>
      </c>
      <c r="D104" s="5" t="s">
        <v>152</v>
      </c>
      <c r="E104" s="5" t="s">
        <v>153</v>
      </c>
      <c r="F104" s="5" t="s">
        <v>216</v>
      </c>
      <c r="G104" s="5" t="s">
        <v>154</v>
      </c>
      <c r="H104" s="6">
        <v>46171</v>
      </c>
      <c r="I104" s="6" t="s">
        <v>107</v>
      </c>
      <c r="J104" s="5" t="s">
        <v>174</v>
      </c>
      <c r="K104" s="5"/>
      <c r="L104" s="5" t="s">
        <v>671</v>
      </c>
      <c r="M104" s="5" t="s">
        <v>108</v>
      </c>
      <c r="N104" s="5" t="s">
        <v>109</v>
      </c>
      <c r="O104" s="5" t="s">
        <v>136</v>
      </c>
      <c r="P104" s="5"/>
      <c r="Q104" s="5" t="s">
        <v>672</v>
      </c>
      <c r="R104" s="5"/>
      <c r="S104" s="5"/>
      <c r="T104" s="5"/>
      <c r="U104" s="5" t="s">
        <v>22</v>
      </c>
      <c r="V104" s="5"/>
      <c r="W104" s="5" t="s">
        <v>329</v>
      </c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 t="s">
        <v>673</v>
      </c>
      <c r="AW104" s="5" t="s">
        <v>674</v>
      </c>
      <c r="AX104" s="5" t="s">
        <v>477</v>
      </c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R104" s="1" t="s">
        <v>143</v>
      </c>
      <c r="CS104" s="1" t="s">
        <v>150</v>
      </c>
      <c r="CT104" s="5" t="s">
        <v>675</v>
      </c>
      <c r="CU104" s="1" t="s">
        <v>151</v>
      </c>
      <c r="CV104" s="1" t="s">
        <v>130</v>
      </c>
      <c r="CW104" s="144"/>
      <c r="DG104" s="143"/>
    </row>
    <row r="105" spans="1:111" ht="11.25">
      <c r="A105" s="5">
        <v>104</v>
      </c>
      <c r="B105" s="6">
        <v>46178.598946759303</v>
      </c>
      <c r="C105" s="6">
        <v>46178.601261574098</v>
      </c>
      <c r="D105" s="5" t="s">
        <v>152</v>
      </c>
      <c r="E105" s="5" t="s">
        <v>153</v>
      </c>
      <c r="F105" s="5" t="s">
        <v>153</v>
      </c>
      <c r="G105" s="5" t="s">
        <v>154</v>
      </c>
      <c r="H105" s="6">
        <v>46170</v>
      </c>
      <c r="I105" s="4" t="s">
        <v>195</v>
      </c>
      <c r="J105" s="5" t="s">
        <v>161</v>
      </c>
      <c r="K105" s="5"/>
      <c r="L105" s="5"/>
      <c r="M105" s="5" t="s">
        <v>305</v>
      </c>
      <c r="N105" s="5" t="s">
        <v>109</v>
      </c>
      <c r="O105" s="5" t="s">
        <v>136</v>
      </c>
      <c r="P105" s="5" t="s">
        <v>676</v>
      </c>
      <c r="Q105" s="5"/>
      <c r="R105" s="5"/>
      <c r="S105" s="5"/>
      <c r="T105" s="5"/>
      <c r="U105" s="5" t="s">
        <v>24</v>
      </c>
      <c r="V105" s="5"/>
      <c r="W105" s="5"/>
      <c r="X105" s="5"/>
      <c r="Y105" s="5" t="s">
        <v>656</v>
      </c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R105" s="1" t="s">
        <v>149</v>
      </c>
      <c r="CS105" s="1" t="s">
        <v>150</v>
      </c>
      <c r="CT105" s="5" t="s">
        <v>186</v>
      </c>
      <c r="CU105" s="1" t="s">
        <v>116</v>
      </c>
      <c r="CV105" s="1" t="s">
        <v>169</v>
      </c>
      <c r="CW105" s="144" t="s">
        <v>677</v>
      </c>
      <c r="DG105" s="143"/>
    </row>
    <row r="106" spans="1:111" ht="11.25">
      <c r="A106" s="5">
        <v>105</v>
      </c>
      <c r="B106" s="6">
        <v>46178.603240740696</v>
      </c>
      <c r="C106" s="6">
        <v>46178.604953703703</v>
      </c>
      <c r="D106" s="5" t="s">
        <v>152</v>
      </c>
      <c r="E106" s="5" t="s">
        <v>153</v>
      </c>
      <c r="F106" s="5" t="s">
        <v>153</v>
      </c>
      <c r="G106" s="5" t="s">
        <v>154</v>
      </c>
      <c r="H106" s="6">
        <v>46199</v>
      </c>
      <c r="I106" s="4" t="s">
        <v>195</v>
      </c>
      <c r="J106" s="5" t="s">
        <v>161</v>
      </c>
      <c r="K106" s="5"/>
      <c r="L106" s="5"/>
      <c r="M106" s="5" t="s">
        <v>305</v>
      </c>
      <c r="N106" s="5" t="s">
        <v>109</v>
      </c>
      <c r="O106" s="5" t="s">
        <v>136</v>
      </c>
      <c r="P106" s="5" t="s">
        <v>678</v>
      </c>
      <c r="Q106" s="5" t="s">
        <v>679</v>
      </c>
      <c r="R106" s="5"/>
      <c r="S106" s="5"/>
      <c r="T106" s="5"/>
      <c r="U106" s="5" t="s">
        <v>24</v>
      </c>
      <c r="V106" s="5"/>
      <c r="W106" s="5"/>
      <c r="X106" s="5"/>
      <c r="Y106" s="5" t="s">
        <v>656</v>
      </c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R106" s="1" t="s">
        <v>149</v>
      </c>
      <c r="CS106" s="1" t="s">
        <v>150</v>
      </c>
      <c r="CT106" s="5" t="s">
        <v>680</v>
      </c>
      <c r="CU106" s="1" t="s">
        <v>116</v>
      </c>
      <c r="CV106" s="1" t="s">
        <v>169</v>
      </c>
      <c r="CW106" s="144" t="s">
        <v>681</v>
      </c>
      <c r="DG106" s="143"/>
    </row>
    <row r="107" spans="1:111" ht="11.25">
      <c r="A107" s="5">
        <v>106</v>
      </c>
      <c r="B107" s="6">
        <v>46178.615474537</v>
      </c>
      <c r="C107" s="6">
        <v>46178.621481481503</v>
      </c>
      <c r="D107" s="5" t="s">
        <v>131</v>
      </c>
      <c r="E107" s="5" t="s">
        <v>132</v>
      </c>
      <c r="F107" s="5" t="s">
        <v>133</v>
      </c>
      <c r="G107" s="5" t="s">
        <v>134</v>
      </c>
      <c r="H107" s="6">
        <v>46149</v>
      </c>
      <c r="I107" s="6" t="s">
        <v>160</v>
      </c>
      <c r="J107" s="5" t="s">
        <v>161</v>
      </c>
      <c r="K107" s="5"/>
      <c r="L107" s="5"/>
      <c r="M107" s="5" t="s">
        <v>108</v>
      </c>
      <c r="N107" s="5" t="s">
        <v>109</v>
      </c>
      <c r="O107" s="5" t="s">
        <v>136</v>
      </c>
      <c r="P107" s="5" t="s">
        <v>682</v>
      </c>
      <c r="Q107" s="5" t="s">
        <v>683</v>
      </c>
      <c r="R107" s="5"/>
      <c r="S107" s="5"/>
      <c r="T107" s="5"/>
      <c r="U107" s="5" t="s">
        <v>22</v>
      </c>
      <c r="V107" s="5"/>
      <c r="W107" s="5" t="s">
        <v>146</v>
      </c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 t="s">
        <v>147</v>
      </c>
      <c r="BL107" s="5" t="s">
        <v>684</v>
      </c>
      <c r="BM107" s="5" t="s">
        <v>141</v>
      </c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R107" s="1" t="s">
        <v>149</v>
      </c>
      <c r="CS107" s="1" t="s">
        <v>181</v>
      </c>
      <c r="CT107" s="5" t="s">
        <v>186</v>
      </c>
      <c r="CU107" s="1" t="s">
        <v>129</v>
      </c>
      <c r="CV107" s="1" t="s">
        <v>130</v>
      </c>
      <c r="CW107" s="144"/>
      <c r="DG107" s="143"/>
    </row>
    <row r="108" spans="1:111" ht="11.25">
      <c r="A108" s="5">
        <v>107</v>
      </c>
      <c r="B108" s="6">
        <v>46178.621608796297</v>
      </c>
      <c r="C108" s="6">
        <v>46178.638298611098</v>
      </c>
      <c r="D108" s="5" t="s">
        <v>131</v>
      </c>
      <c r="E108" s="5" t="s">
        <v>132</v>
      </c>
      <c r="F108" s="5" t="s">
        <v>133</v>
      </c>
      <c r="G108" s="5" t="s">
        <v>134</v>
      </c>
      <c r="H108" s="6">
        <v>46185</v>
      </c>
      <c r="I108" s="4" t="s">
        <v>195</v>
      </c>
      <c r="J108" s="5" t="s">
        <v>161</v>
      </c>
      <c r="K108" s="5"/>
      <c r="L108" s="5"/>
      <c r="M108" s="5" t="s">
        <v>196</v>
      </c>
      <c r="N108" s="5" t="s">
        <v>109</v>
      </c>
      <c r="O108" s="5" t="s">
        <v>136</v>
      </c>
      <c r="P108" s="5" t="s">
        <v>685</v>
      </c>
      <c r="Q108" s="5" t="s">
        <v>686</v>
      </c>
      <c r="R108" s="5"/>
      <c r="S108" s="5"/>
      <c r="T108" s="5"/>
      <c r="U108" s="5" t="s">
        <v>22</v>
      </c>
      <c r="V108" s="5"/>
      <c r="W108" s="5" t="s">
        <v>124</v>
      </c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 t="s">
        <v>687</v>
      </c>
      <c r="AZ108" s="5" t="s">
        <v>333</v>
      </c>
      <c r="BA108" s="5" t="s">
        <v>688</v>
      </c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R108" s="1" t="s">
        <v>143</v>
      </c>
      <c r="CS108" s="1" t="s">
        <v>150</v>
      </c>
      <c r="CT108" s="5" t="s">
        <v>689</v>
      </c>
      <c r="CU108" s="1" t="s">
        <v>129</v>
      </c>
      <c r="CV108" s="1" t="s">
        <v>130</v>
      </c>
      <c r="CW108" s="144"/>
      <c r="DG108" s="143"/>
    </row>
    <row r="109" spans="1:111" ht="11.25">
      <c r="A109" s="5">
        <v>108</v>
      </c>
      <c r="B109" s="6">
        <v>46178.638576388897</v>
      </c>
      <c r="C109" s="6">
        <v>46178.641828703701</v>
      </c>
      <c r="D109" s="5" t="s">
        <v>131</v>
      </c>
      <c r="E109" s="5" t="s">
        <v>132</v>
      </c>
      <c r="F109" s="5" t="s">
        <v>133</v>
      </c>
      <c r="G109" s="5" t="s">
        <v>134</v>
      </c>
      <c r="H109" s="6">
        <v>46155</v>
      </c>
      <c r="I109" s="4" t="s">
        <v>195</v>
      </c>
      <c r="J109" s="5" t="s">
        <v>161</v>
      </c>
      <c r="K109" s="5"/>
      <c r="L109" s="5"/>
      <c r="M109" s="5" t="s">
        <v>221</v>
      </c>
      <c r="N109" s="5" t="s">
        <v>109</v>
      </c>
      <c r="O109" s="5" t="s">
        <v>136</v>
      </c>
      <c r="P109" s="5" t="s">
        <v>690</v>
      </c>
      <c r="Q109" s="5" t="s">
        <v>686</v>
      </c>
      <c r="R109" s="5"/>
      <c r="S109" s="5"/>
      <c r="T109" s="5"/>
      <c r="U109" s="5" t="s">
        <v>22</v>
      </c>
      <c r="V109" s="5"/>
      <c r="W109" s="5" t="s">
        <v>124</v>
      </c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 t="s">
        <v>691</v>
      </c>
      <c r="AZ109" s="5" t="s">
        <v>333</v>
      </c>
      <c r="BA109" s="5" t="s">
        <v>141</v>
      </c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R109" s="1" t="s">
        <v>546</v>
      </c>
      <c r="CS109" s="1" t="s">
        <v>150</v>
      </c>
      <c r="CT109" s="5" t="s">
        <v>692</v>
      </c>
      <c r="CU109" s="1" t="s">
        <v>129</v>
      </c>
      <c r="CV109" s="1" t="s">
        <v>169</v>
      </c>
      <c r="CW109" s="144"/>
      <c r="DG109" s="143"/>
    </row>
    <row r="110" spans="1:111" ht="11.25">
      <c r="A110" s="5">
        <v>109</v>
      </c>
      <c r="B110" s="6">
        <v>46178.6421527778</v>
      </c>
      <c r="C110" s="6">
        <v>46178.643263888902</v>
      </c>
      <c r="D110" s="5" t="s">
        <v>131</v>
      </c>
      <c r="E110" s="5" t="s">
        <v>132</v>
      </c>
      <c r="F110" s="5" t="s">
        <v>133</v>
      </c>
      <c r="G110" s="5" t="s">
        <v>134</v>
      </c>
      <c r="H110" s="6">
        <v>46195</v>
      </c>
      <c r="I110" s="6" t="s">
        <v>135</v>
      </c>
      <c r="J110" s="5" t="s">
        <v>161</v>
      </c>
      <c r="K110" s="5"/>
      <c r="L110" s="5"/>
      <c r="M110" s="5" t="s">
        <v>108</v>
      </c>
      <c r="N110" s="5" t="s">
        <v>109</v>
      </c>
      <c r="O110" s="5" t="s">
        <v>136</v>
      </c>
      <c r="P110" s="5" t="s">
        <v>693</v>
      </c>
      <c r="Q110" s="5" t="s">
        <v>694</v>
      </c>
      <c r="R110" s="5"/>
      <c r="S110" s="5"/>
      <c r="T110" s="5"/>
      <c r="U110" s="5" t="s">
        <v>22</v>
      </c>
      <c r="V110" s="5"/>
      <c r="W110" s="5" t="s">
        <v>199</v>
      </c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 t="s">
        <v>695</v>
      </c>
      <c r="BI110" s="5" t="s">
        <v>288</v>
      </c>
      <c r="BJ110" s="5" t="s">
        <v>278</v>
      </c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R110" s="1" t="s">
        <v>149</v>
      </c>
      <c r="CS110" s="1" t="s">
        <v>181</v>
      </c>
      <c r="CT110" s="5" t="s">
        <v>696</v>
      </c>
      <c r="CU110" s="1" t="s">
        <v>129</v>
      </c>
      <c r="CV110" s="1" t="s">
        <v>130</v>
      </c>
      <c r="CW110" s="144"/>
      <c r="DG110" s="143"/>
    </row>
    <row r="111" spans="1:111" ht="11.25">
      <c r="A111" s="5">
        <v>110</v>
      </c>
      <c r="B111" s="6">
        <v>46178.6511805556</v>
      </c>
      <c r="C111" s="6">
        <v>46178.652743055602</v>
      </c>
      <c r="D111" s="5" t="s">
        <v>152</v>
      </c>
      <c r="E111" s="5" t="s">
        <v>153</v>
      </c>
      <c r="F111" s="5" t="s">
        <v>216</v>
      </c>
      <c r="G111" s="5" t="s">
        <v>154</v>
      </c>
      <c r="H111" s="6">
        <v>46162</v>
      </c>
      <c r="I111" s="6" t="s">
        <v>135</v>
      </c>
      <c r="J111" s="5" t="s">
        <v>174</v>
      </c>
      <c r="K111" s="5"/>
      <c r="L111" s="5" t="s">
        <v>697</v>
      </c>
      <c r="M111" s="5" t="s">
        <v>196</v>
      </c>
      <c r="N111" s="5" t="s">
        <v>109</v>
      </c>
      <c r="O111" s="5" t="s">
        <v>136</v>
      </c>
      <c r="P111" s="5"/>
      <c r="Q111" s="5" t="s">
        <v>698</v>
      </c>
      <c r="R111" s="5"/>
      <c r="S111" s="5"/>
      <c r="T111" s="5"/>
      <c r="U111" s="5" t="s">
        <v>22</v>
      </c>
      <c r="V111" s="5"/>
      <c r="W111" s="5" t="s">
        <v>124</v>
      </c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 t="s">
        <v>699</v>
      </c>
      <c r="AZ111" s="5" t="s">
        <v>700</v>
      </c>
      <c r="BA111" s="5" t="s">
        <v>701</v>
      </c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R111" s="1" t="s">
        <v>149</v>
      </c>
      <c r="CS111" s="1" t="s">
        <v>181</v>
      </c>
      <c r="CT111" s="5" t="s">
        <v>702</v>
      </c>
      <c r="CU111" s="1" t="s">
        <v>151</v>
      </c>
      <c r="CV111" s="1" t="s">
        <v>130</v>
      </c>
      <c r="CW111" s="144"/>
      <c r="DG111" s="143"/>
    </row>
    <row r="112" spans="1:111" ht="11.25">
      <c r="A112" s="5">
        <v>111</v>
      </c>
      <c r="B112" s="6">
        <v>46178.669571759303</v>
      </c>
      <c r="C112" s="6">
        <v>46178.6713773148</v>
      </c>
      <c r="D112" s="5" t="s">
        <v>296</v>
      </c>
      <c r="E112" s="5" t="s">
        <v>297</v>
      </c>
      <c r="F112" s="5" t="s">
        <v>297</v>
      </c>
      <c r="G112" s="5" t="s">
        <v>298</v>
      </c>
      <c r="H112" s="6">
        <v>46171</v>
      </c>
      <c r="I112" s="6" t="s">
        <v>135</v>
      </c>
      <c r="J112" s="5" t="s">
        <v>174</v>
      </c>
      <c r="K112" s="5"/>
      <c r="L112" s="5" t="s">
        <v>349</v>
      </c>
      <c r="M112" s="5" t="s">
        <v>108</v>
      </c>
      <c r="N112" s="5" t="s">
        <v>109</v>
      </c>
      <c r="O112" s="5" t="s">
        <v>136</v>
      </c>
      <c r="P112" s="5"/>
      <c r="Q112" s="5" t="s">
        <v>114</v>
      </c>
      <c r="R112" s="5"/>
      <c r="S112" s="5"/>
      <c r="T112" s="5"/>
      <c r="U112" s="5" t="s">
        <v>21</v>
      </c>
      <c r="V112" s="5" t="s">
        <v>177</v>
      </c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 t="s">
        <v>444</v>
      </c>
      <c r="AH112" s="5" t="s">
        <v>703</v>
      </c>
      <c r="AI112" s="5" t="s">
        <v>704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R112" s="1" t="s">
        <v>143</v>
      </c>
      <c r="CS112" s="1" t="s">
        <v>181</v>
      </c>
      <c r="CT112" s="5" t="s">
        <v>186</v>
      </c>
      <c r="CU112" s="1" t="s">
        <v>151</v>
      </c>
      <c r="CV112" s="1" t="s">
        <v>130</v>
      </c>
      <c r="CW112" s="144"/>
      <c r="DG112" s="143"/>
    </row>
    <row r="113" spans="1:111" ht="11.25">
      <c r="A113" s="5">
        <v>112</v>
      </c>
      <c r="B113" s="6">
        <v>46178.671412037002</v>
      </c>
      <c r="C113" s="6">
        <v>46178.675196759301</v>
      </c>
      <c r="D113" s="5" t="s">
        <v>296</v>
      </c>
      <c r="E113" s="5" t="s">
        <v>297</v>
      </c>
      <c r="F113" s="5" t="s">
        <v>297</v>
      </c>
      <c r="G113" s="5" t="s">
        <v>298</v>
      </c>
      <c r="H113" s="6">
        <v>46154</v>
      </c>
      <c r="I113" s="6" t="s">
        <v>107</v>
      </c>
      <c r="J113" s="5" t="s">
        <v>161</v>
      </c>
      <c r="K113" s="5"/>
      <c r="L113" s="5"/>
      <c r="M113" s="5" t="s">
        <v>108</v>
      </c>
      <c r="N113" s="5" t="s">
        <v>109</v>
      </c>
      <c r="O113" s="5" t="s">
        <v>136</v>
      </c>
      <c r="P113" s="5" t="s">
        <v>327</v>
      </c>
      <c r="Q113" s="5"/>
      <c r="R113" s="5"/>
      <c r="S113" s="5"/>
      <c r="T113" s="5"/>
      <c r="U113" s="5" t="s">
        <v>24</v>
      </c>
      <c r="V113" s="5"/>
      <c r="W113" s="5"/>
      <c r="X113" s="5"/>
      <c r="Y113" s="5" t="s">
        <v>705</v>
      </c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 t="s">
        <v>706</v>
      </c>
      <c r="AT113" s="5" t="s">
        <v>707</v>
      </c>
      <c r="AU113" s="5" t="s">
        <v>708</v>
      </c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R113" s="1" t="s">
        <v>143</v>
      </c>
      <c r="CS113" s="1" t="s">
        <v>709</v>
      </c>
      <c r="CT113" s="5" t="s">
        <v>710</v>
      </c>
      <c r="CU113" s="1" t="s">
        <v>151</v>
      </c>
      <c r="CV113" s="1" t="s">
        <v>130</v>
      </c>
      <c r="CW113" s="144"/>
      <c r="DG113" s="143"/>
    </row>
    <row r="114" spans="1:111" ht="11.25">
      <c r="A114" s="5">
        <v>113</v>
      </c>
      <c r="B114" s="6">
        <v>46178.678194444401</v>
      </c>
      <c r="C114" s="6">
        <v>46178.680347222202</v>
      </c>
      <c r="D114" s="5" t="s">
        <v>296</v>
      </c>
      <c r="E114" s="5" t="s">
        <v>297</v>
      </c>
      <c r="F114" s="5" t="s">
        <v>297</v>
      </c>
      <c r="G114" s="5" t="s">
        <v>298</v>
      </c>
      <c r="H114" s="6">
        <v>46167</v>
      </c>
      <c r="I114" s="4" t="s">
        <v>195</v>
      </c>
      <c r="J114" s="5" t="s">
        <v>161</v>
      </c>
      <c r="K114" s="5"/>
      <c r="L114" s="5"/>
      <c r="M114" s="5" t="s">
        <v>196</v>
      </c>
      <c r="N114" s="5" t="s">
        <v>109</v>
      </c>
      <c r="O114" s="5" t="s">
        <v>136</v>
      </c>
      <c r="P114" s="5" t="s">
        <v>711</v>
      </c>
      <c r="Q114" s="5" t="s">
        <v>712</v>
      </c>
      <c r="R114" s="5"/>
      <c r="S114" s="5"/>
      <c r="T114" s="5"/>
      <c r="U114" s="5" t="s">
        <v>22</v>
      </c>
      <c r="V114" s="5"/>
      <c r="W114" s="5" t="s">
        <v>199</v>
      </c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 t="s">
        <v>713</v>
      </c>
      <c r="BI114" s="5" t="s">
        <v>259</v>
      </c>
      <c r="BJ114" s="5" t="s">
        <v>714</v>
      </c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R114" s="1" t="s">
        <v>149</v>
      </c>
      <c r="CS114" s="1" t="s">
        <v>181</v>
      </c>
      <c r="CT114" s="5" t="s">
        <v>715</v>
      </c>
      <c r="CU114" s="1" t="s">
        <v>129</v>
      </c>
      <c r="CV114" s="1" t="s">
        <v>130</v>
      </c>
      <c r="CW114" s="144"/>
      <c r="DG114" s="143"/>
    </row>
    <row r="115" spans="1:111" ht="11.25">
      <c r="A115" s="5">
        <v>114</v>
      </c>
      <c r="B115" s="6">
        <v>46178.682905092603</v>
      </c>
      <c r="C115" s="6">
        <v>46178.685150463003</v>
      </c>
      <c r="D115" s="5" t="s">
        <v>296</v>
      </c>
      <c r="E115" s="5" t="s">
        <v>297</v>
      </c>
      <c r="F115" s="5" t="s">
        <v>297</v>
      </c>
      <c r="G115" s="5" t="s">
        <v>298</v>
      </c>
      <c r="H115" s="6">
        <v>46148</v>
      </c>
      <c r="I115" s="4" t="s">
        <v>195</v>
      </c>
      <c r="J115" s="5" t="s">
        <v>174</v>
      </c>
      <c r="K115" s="5"/>
      <c r="L115" s="5" t="s">
        <v>711</v>
      </c>
      <c r="M115" s="5" t="s">
        <v>196</v>
      </c>
      <c r="N115" s="5" t="s">
        <v>109</v>
      </c>
      <c r="O115" s="5" t="s">
        <v>136</v>
      </c>
      <c r="P115" s="5"/>
      <c r="Q115" s="5" t="s">
        <v>712</v>
      </c>
      <c r="R115" s="5"/>
      <c r="S115" s="5"/>
      <c r="T115" s="5"/>
      <c r="U115" s="5" t="s">
        <v>22</v>
      </c>
      <c r="V115" s="5"/>
      <c r="W115" s="5" t="s">
        <v>199</v>
      </c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 t="s">
        <v>716</v>
      </c>
      <c r="BI115" s="5" t="s">
        <v>259</v>
      </c>
      <c r="BJ115" s="5" t="s">
        <v>714</v>
      </c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R115" s="1" t="s">
        <v>149</v>
      </c>
      <c r="CS115" s="1" t="s">
        <v>181</v>
      </c>
      <c r="CT115" s="5" t="s">
        <v>253</v>
      </c>
      <c r="CU115" s="1" t="s">
        <v>129</v>
      </c>
      <c r="CV115" s="1" t="s">
        <v>130</v>
      </c>
      <c r="CW115" s="144"/>
      <c r="DG115" s="143"/>
    </row>
    <row r="116" spans="1:111" ht="11.25">
      <c r="A116" s="5">
        <v>115</v>
      </c>
      <c r="B116" s="6">
        <v>46178.687650462998</v>
      </c>
      <c r="C116" s="6">
        <v>46178.690486111103</v>
      </c>
      <c r="D116" s="5" t="s">
        <v>296</v>
      </c>
      <c r="E116" s="5" t="s">
        <v>297</v>
      </c>
      <c r="F116" s="5" t="s">
        <v>297</v>
      </c>
      <c r="G116" s="5" t="s">
        <v>298</v>
      </c>
      <c r="H116" s="6">
        <v>46157</v>
      </c>
      <c r="I116" s="4" t="s">
        <v>195</v>
      </c>
      <c r="J116" s="5" t="s">
        <v>161</v>
      </c>
      <c r="K116" s="5"/>
      <c r="L116" s="5"/>
      <c r="M116" s="5" t="s">
        <v>196</v>
      </c>
      <c r="N116" s="5" t="s">
        <v>109</v>
      </c>
      <c r="O116" s="5" t="s">
        <v>136</v>
      </c>
      <c r="P116" s="5" t="s">
        <v>711</v>
      </c>
      <c r="Q116" s="5" t="s">
        <v>712</v>
      </c>
      <c r="R116" s="5"/>
      <c r="S116" s="5"/>
      <c r="T116" s="5"/>
      <c r="U116" s="5" t="s">
        <v>22</v>
      </c>
      <c r="V116" s="5"/>
      <c r="W116" s="5" t="s">
        <v>199</v>
      </c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 t="s">
        <v>534</v>
      </c>
      <c r="BI116" s="5" t="s">
        <v>284</v>
      </c>
      <c r="BJ116" s="5" t="s">
        <v>717</v>
      </c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R116" s="1" t="s">
        <v>143</v>
      </c>
      <c r="CS116" s="1" t="s">
        <v>181</v>
      </c>
      <c r="CT116" s="5" t="s">
        <v>186</v>
      </c>
      <c r="CU116" s="1" t="s">
        <v>129</v>
      </c>
      <c r="CV116" s="1" t="s">
        <v>130</v>
      </c>
      <c r="CW116" s="144"/>
      <c r="DG116" s="143"/>
    </row>
    <row r="117" spans="1:111" ht="11.25">
      <c r="A117" s="5">
        <v>116</v>
      </c>
      <c r="B117" s="6">
        <v>46178.696342592601</v>
      </c>
      <c r="C117" s="6">
        <v>46178.698460648098</v>
      </c>
      <c r="D117" s="5" t="s">
        <v>351</v>
      </c>
      <c r="E117" s="5" t="s">
        <v>352</v>
      </c>
      <c r="F117" s="5" t="s">
        <v>718</v>
      </c>
      <c r="G117" s="5" t="s">
        <v>354</v>
      </c>
      <c r="H117" s="6">
        <v>46168</v>
      </c>
      <c r="I117" s="6" t="s">
        <v>107</v>
      </c>
      <c r="J117" s="5" t="s">
        <v>161</v>
      </c>
      <c r="K117" s="5"/>
      <c r="L117" s="5"/>
      <c r="M117" s="5" t="s">
        <v>108</v>
      </c>
      <c r="N117" s="5" t="s">
        <v>109</v>
      </c>
      <c r="O117" s="5" t="s">
        <v>136</v>
      </c>
      <c r="P117" s="5" t="s">
        <v>366</v>
      </c>
      <c r="Q117" s="5" t="s">
        <v>719</v>
      </c>
      <c r="R117" s="5"/>
      <c r="S117" s="5"/>
      <c r="T117" s="5"/>
      <c r="U117" s="5" t="s">
        <v>21</v>
      </c>
      <c r="V117" s="5" t="s">
        <v>177</v>
      </c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 t="s">
        <v>720</v>
      </c>
      <c r="AH117" s="5" t="s">
        <v>721</v>
      </c>
      <c r="AI117" s="5" t="s">
        <v>722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R117" s="1" t="s">
        <v>149</v>
      </c>
      <c r="CS117" s="1" t="s">
        <v>181</v>
      </c>
      <c r="CT117" s="5" t="s">
        <v>723</v>
      </c>
      <c r="CU117" s="1" t="s">
        <v>116</v>
      </c>
      <c r="CV117" s="1" t="s">
        <v>130</v>
      </c>
      <c r="CW117" s="144"/>
      <c r="DG117" s="143"/>
    </row>
    <row r="118" spans="1:111" ht="11.25">
      <c r="A118" s="5">
        <v>117</v>
      </c>
      <c r="B118" s="6">
        <v>46178.828252314801</v>
      </c>
      <c r="C118" s="6">
        <v>46178.829965277801</v>
      </c>
      <c r="D118" s="5" t="s">
        <v>270</v>
      </c>
      <c r="E118" s="5" t="s">
        <v>271</v>
      </c>
      <c r="F118" s="5" t="s">
        <v>271</v>
      </c>
      <c r="G118" s="5" t="s">
        <v>273</v>
      </c>
      <c r="H118" s="6">
        <v>46155</v>
      </c>
      <c r="I118" s="4" t="s">
        <v>195</v>
      </c>
      <c r="J118" s="5" t="s">
        <v>161</v>
      </c>
      <c r="K118" s="5"/>
      <c r="L118" s="5"/>
      <c r="M118" s="5" t="s">
        <v>305</v>
      </c>
      <c r="N118" s="5" t="s">
        <v>109</v>
      </c>
      <c r="O118" s="5" t="s">
        <v>136</v>
      </c>
      <c r="P118" s="5" t="s">
        <v>724</v>
      </c>
      <c r="Q118" s="5" t="s">
        <v>725</v>
      </c>
      <c r="R118" s="5"/>
      <c r="S118" s="5"/>
      <c r="T118" s="5"/>
      <c r="U118" s="5" t="s">
        <v>22</v>
      </c>
      <c r="V118" s="5"/>
      <c r="W118" s="5" t="s">
        <v>124</v>
      </c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 t="s">
        <v>726</v>
      </c>
      <c r="AZ118" s="5" t="s">
        <v>727</v>
      </c>
      <c r="BA118" s="5" t="s">
        <v>127</v>
      </c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R118" s="1" t="s">
        <v>149</v>
      </c>
      <c r="CS118" s="1" t="s">
        <v>181</v>
      </c>
      <c r="CT118" s="5" t="s">
        <v>728</v>
      </c>
      <c r="CU118" s="1" t="s">
        <v>129</v>
      </c>
      <c r="CV118" s="1" t="s">
        <v>130</v>
      </c>
      <c r="CW118" s="144"/>
      <c r="DG118" s="143"/>
    </row>
    <row r="119" spans="1:111" ht="11.25">
      <c r="A119" s="5">
        <v>118</v>
      </c>
      <c r="B119" s="6">
        <v>46178.83</v>
      </c>
      <c r="C119" s="6">
        <v>46178.833275463003</v>
      </c>
      <c r="D119" s="5" t="s">
        <v>270</v>
      </c>
      <c r="E119" s="5" t="s">
        <v>271</v>
      </c>
      <c r="F119" s="5" t="s">
        <v>272</v>
      </c>
      <c r="G119" s="5" t="s">
        <v>273</v>
      </c>
      <c r="H119" s="6">
        <v>46184</v>
      </c>
      <c r="I119" s="6" t="s">
        <v>135</v>
      </c>
      <c r="J119" s="5" t="s">
        <v>174</v>
      </c>
      <c r="K119" s="5"/>
      <c r="L119" s="5" t="s">
        <v>274</v>
      </c>
      <c r="M119" s="5" t="s">
        <v>108</v>
      </c>
      <c r="N119" s="5" t="s">
        <v>109</v>
      </c>
      <c r="O119" s="5" t="s">
        <v>136</v>
      </c>
      <c r="P119" s="5"/>
      <c r="Q119" s="5" t="s">
        <v>729</v>
      </c>
      <c r="R119" s="5"/>
      <c r="S119" s="5"/>
      <c r="T119" s="5"/>
      <c r="U119" s="5" t="s">
        <v>22</v>
      </c>
      <c r="V119" s="5"/>
      <c r="W119" s="5" t="s">
        <v>139</v>
      </c>
      <c r="X119" s="5"/>
      <c r="Y119" s="5"/>
      <c r="Z119" s="5"/>
      <c r="AA119" s="5"/>
      <c r="AB119" s="5"/>
      <c r="AC119" s="5"/>
      <c r="AD119" s="5" t="s">
        <v>730</v>
      </c>
      <c r="AE119" s="5" t="s">
        <v>731</v>
      </c>
      <c r="AF119" s="5" t="s">
        <v>141</v>
      </c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R119" s="1" t="s">
        <v>149</v>
      </c>
      <c r="CS119" s="1" t="s">
        <v>181</v>
      </c>
      <c r="CT119" s="5" t="s">
        <v>732</v>
      </c>
      <c r="CU119" s="1" t="s">
        <v>129</v>
      </c>
      <c r="CV119" s="1" t="s">
        <v>130</v>
      </c>
      <c r="CW119" s="144"/>
      <c r="DG119" s="143"/>
    </row>
    <row r="120" spans="1:111" ht="11.25">
      <c r="A120" s="5">
        <v>119</v>
      </c>
      <c r="B120" s="6">
        <v>46178.8336921296</v>
      </c>
      <c r="C120" s="6">
        <v>46178.835416666698</v>
      </c>
      <c r="D120" s="5" t="s">
        <v>270</v>
      </c>
      <c r="E120" s="5" t="s">
        <v>271</v>
      </c>
      <c r="F120" s="5" t="s">
        <v>272</v>
      </c>
      <c r="G120" s="5" t="s">
        <v>273</v>
      </c>
      <c r="H120" s="6">
        <v>46157</v>
      </c>
      <c r="I120" s="6" t="s">
        <v>135</v>
      </c>
      <c r="J120" s="5" t="s">
        <v>161</v>
      </c>
      <c r="K120" s="5"/>
      <c r="L120" s="5"/>
      <c r="M120" s="5" t="s">
        <v>108</v>
      </c>
      <c r="N120" s="5" t="s">
        <v>109</v>
      </c>
      <c r="O120" s="5" t="s">
        <v>136</v>
      </c>
      <c r="P120" s="5" t="s">
        <v>733</v>
      </c>
      <c r="Q120" s="5" t="s">
        <v>211</v>
      </c>
      <c r="R120" s="5"/>
      <c r="S120" s="5"/>
      <c r="T120" s="5"/>
      <c r="U120" s="5" t="s">
        <v>21</v>
      </c>
      <c r="V120" s="5" t="s">
        <v>177</v>
      </c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 t="s">
        <v>734</v>
      </c>
      <c r="AH120" s="5" t="s">
        <v>735</v>
      </c>
      <c r="AI120" s="5" t="s">
        <v>736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R120" s="1" t="s">
        <v>149</v>
      </c>
      <c r="CS120" s="1" t="s">
        <v>181</v>
      </c>
      <c r="CT120" s="5" t="s">
        <v>737</v>
      </c>
      <c r="CU120" s="1" t="s">
        <v>129</v>
      </c>
      <c r="CV120" s="1" t="s">
        <v>130</v>
      </c>
      <c r="CW120" s="144"/>
      <c r="DG120" s="143"/>
    </row>
    <row r="121" spans="1:111" ht="11.25">
      <c r="A121" s="5">
        <v>120</v>
      </c>
      <c r="B121" s="6">
        <v>46178.835462962998</v>
      </c>
      <c r="C121" s="6">
        <v>46178.84</v>
      </c>
      <c r="D121" s="5" t="s">
        <v>270</v>
      </c>
      <c r="E121" s="5" t="s">
        <v>271</v>
      </c>
      <c r="F121" s="5" t="s">
        <v>272</v>
      </c>
      <c r="G121" s="5" t="s">
        <v>273</v>
      </c>
      <c r="H121" s="6">
        <v>46153</v>
      </c>
      <c r="I121" s="6" t="s">
        <v>107</v>
      </c>
      <c r="J121" s="5" t="s">
        <v>187</v>
      </c>
      <c r="K121" s="5" t="s">
        <v>188</v>
      </c>
      <c r="L121" s="5"/>
      <c r="M121" s="5" t="s">
        <v>108</v>
      </c>
      <c r="N121" s="5" t="s">
        <v>248</v>
      </c>
      <c r="O121" s="5" t="s">
        <v>136</v>
      </c>
      <c r="P121" s="5"/>
      <c r="Q121" s="5" t="s">
        <v>738</v>
      </c>
      <c r="R121" s="5" t="s">
        <v>739</v>
      </c>
      <c r="S121" s="5"/>
      <c r="T121" s="5"/>
      <c r="U121" s="5" t="s">
        <v>23</v>
      </c>
      <c r="V121" s="5"/>
      <c r="W121" s="5"/>
      <c r="X121" s="5" t="s">
        <v>252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R121" s="1" t="s">
        <v>149</v>
      </c>
      <c r="CS121" s="1" t="s">
        <v>181</v>
      </c>
      <c r="CT121" s="5" t="s">
        <v>186</v>
      </c>
      <c r="CU121" s="1" t="s">
        <v>129</v>
      </c>
      <c r="CV121" s="1" t="s">
        <v>130</v>
      </c>
      <c r="CW121" s="144"/>
      <c r="DG121" s="143"/>
    </row>
    <row r="122" spans="1:111" ht="11.25">
      <c r="A122" s="5">
        <v>121</v>
      </c>
      <c r="B122" s="6">
        <v>46178.840034722198</v>
      </c>
      <c r="C122" s="6">
        <v>46178.841412037</v>
      </c>
      <c r="D122" s="5" t="s">
        <v>270</v>
      </c>
      <c r="E122" s="5" t="s">
        <v>271</v>
      </c>
      <c r="F122" s="5" t="s">
        <v>272</v>
      </c>
      <c r="G122" s="5" t="s">
        <v>273</v>
      </c>
      <c r="H122" s="6">
        <v>46149</v>
      </c>
      <c r="I122" s="6" t="s">
        <v>122</v>
      </c>
      <c r="J122" s="5" t="s">
        <v>187</v>
      </c>
      <c r="K122" s="5" t="s">
        <v>188</v>
      </c>
      <c r="L122" s="5"/>
      <c r="M122" s="5" t="s">
        <v>108</v>
      </c>
      <c r="N122" s="5" t="s">
        <v>123</v>
      </c>
      <c r="O122" s="5" t="s">
        <v>136</v>
      </c>
      <c r="P122" s="5"/>
      <c r="Q122" s="5" t="s">
        <v>740</v>
      </c>
      <c r="R122" s="5"/>
      <c r="S122" s="5"/>
      <c r="T122" s="5"/>
      <c r="U122" s="5" t="s">
        <v>22</v>
      </c>
      <c r="V122" s="5"/>
      <c r="W122" s="5" t="s">
        <v>329</v>
      </c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 t="s">
        <v>741</v>
      </c>
      <c r="AW122" s="5" t="s">
        <v>742</v>
      </c>
      <c r="AX122" s="5" t="s">
        <v>477</v>
      </c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R122" s="1" t="s">
        <v>149</v>
      </c>
      <c r="CS122" s="1" t="s">
        <v>181</v>
      </c>
      <c r="CT122" s="5" t="s">
        <v>743</v>
      </c>
      <c r="CU122" s="1" t="s">
        <v>129</v>
      </c>
      <c r="CV122" s="1" t="s">
        <v>130</v>
      </c>
      <c r="CW122" s="144"/>
      <c r="DG122" s="143"/>
    </row>
    <row r="123" spans="1:111" ht="11.25">
      <c r="A123" s="5">
        <v>122</v>
      </c>
      <c r="B123" s="6">
        <v>46178.841435185197</v>
      </c>
      <c r="C123" s="6">
        <v>46178.842511574097</v>
      </c>
      <c r="D123" s="5" t="s">
        <v>270</v>
      </c>
      <c r="E123" s="5" t="s">
        <v>271</v>
      </c>
      <c r="F123" s="5" t="s">
        <v>271</v>
      </c>
      <c r="G123" s="5" t="s">
        <v>273</v>
      </c>
      <c r="H123" s="6">
        <v>46156</v>
      </c>
      <c r="I123" s="6" t="s">
        <v>122</v>
      </c>
      <c r="J123" s="5" t="s">
        <v>187</v>
      </c>
      <c r="K123" s="5" t="s">
        <v>744</v>
      </c>
      <c r="L123" s="5"/>
      <c r="M123" s="5" t="s">
        <v>108</v>
      </c>
      <c r="N123" s="5" t="s">
        <v>123</v>
      </c>
      <c r="O123" s="5" t="s">
        <v>136</v>
      </c>
      <c r="P123" s="5"/>
      <c r="Q123" s="5" t="s">
        <v>745</v>
      </c>
      <c r="R123" s="5"/>
      <c r="S123" s="5"/>
      <c r="T123" s="5"/>
      <c r="U123" s="5" t="s">
        <v>22</v>
      </c>
      <c r="V123" s="5"/>
      <c r="W123" s="5" t="s">
        <v>329</v>
      </c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 t="s">
        <v>741</v>
      </c>
      <c r="AW123" s="5" t="s">
        <v>746</v>
      </c>
      <c r="AX123" s="5" t="s">
        <v>747</v>
      </c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R123" s="1" t="s">
        <v>149</v>
      </c>
      <c r="CS123" s="1" t="s">
        <v>181</v>
      </c>
      <c r="CT123" s="5" t="s">
        <v>186</v>
      </c>
      <c r="CU123" s="1" t="s">
        <v>129</v>
      </c>
      <c r="CV123" s="1" t="s">
        <v>130</v>
      </c>
      <c r="CW123" s="144"/>
      <c r="DG123" s="143"/>
    </row>
    <row r="124" spans="1:111" ht="11.25">
      <c r="A124" s="5">
        <v>123</v>
      </c>
      <c r="B124" s="6">
        <v>46178.8425347222</v>
      </c>
      <c r="C124" s="6">
        <v>46178.843506944402</v>
      </c>
      <c r="D124" s="5" t="s">
        <v>270</v>
      </c>
      <c r="E124" s="5" t="s">
        <v>271</v>
      </c>
      <c r="F124" s="5" t="s">
        <v>271</v>
      </c>
      <c r="G124" s="5" t="s">
        <v>273</v>
      </c>
      <c r="H124" s="6">
        <v>46163</v>
      </c>
      <c r="I124" s="6" t="s">
        <v>122</v>
      </c>
      <c r="J124" s="5" t="s">
        <v>187</v>
      </c>
      <c r="K124" s="5" t="s">
        <v>188</v>
      </c>
      <c r="L124" s="5"/>
      <c r="M124" s="5" t="s">
        <v>108</v>
      </c>
      <c r="N124" s="5" t="s">
        <v>123</v>
      </c>
      <c r="O124" s="5" t="s">
        <v>136</v>
      </c>
      <c r="P124" s="5"/>
      <c r="Q124" s="5" t="s">
        <v>745</v>
      </c>
      <c r="R124" s="5"/>
      <c r="S124" s="5"/>
      <c r="T124" s="5"/>
      <c r="U124" s="5" t="s">
        <v>22</v>
      </c>
      <c r="V124" s="5"/>
      <c r="W124" s="5" t="s">
        <v>329</v>
      </c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 t="s">
        <v>741</v>
      </c>
      <c r="AW124" s="5" t="s">
        <v>746</v>
      </c>
      <c r="AX124" s="5" t="s">
        <v>748</v>
      </c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R124" s="1" t="s">
        <v>149</v>
      </c>
      <c r="CS124" s="1" t="s">
        <v>181</v>
      </c>
      <c r="CT124" s="5" t="s">
        <v>291</v>
      </c>
      <c r="CU124" s="1" t="s">
        <v>129</v>
      </c>
      <c r="CV124" s="1" t="s">
        <v>130</v>
      </c>
      <c r="CW124" s="144"/>
      <c r="DG124" s="143"/>
    </row>
    <row r="125" spans="1:111" ht="11.25">
      <c r="A125" s="5">
        <v>124</v>
      </c>
      <c r="B125" s="6">
        <v>46178.843541666698</v>
      </c>
      <c r="C125" s="6">
        <v>46178.844849537003</v>
      </c>
      <c r="D125" s="5" t="s">
        <v>270</v>
      </c>
      <c r="E125" s="5" t="s">
        <v>271</v>
      </c>
      <c r="F125" s="5" t="s">
        <v>272</v>
      </c>
      <c r="G125" s="5" t="s">
        <v>273</v>
      </c>
      <c r="H125" s="6">
        <v>46169</v>
      </c>
      <c r="I125" s="6" t="s">
        <v>122</v>
      </c>
      <c r="J125" s="5" t="s">
        <v>161</v>
      </c>
      <c r="K125" s="5"/>
      <c r="L125" s="5"/>
      <c r="M125" s="5" t="s">
        <v>108</v>
      </c>
      <c r="N125" s="5" t="s">
        <v>299</v>
      </c>
      <c r="O125" s="5" t="s">
        <v>136</v>
      </c>
      <c r="P125" s="5" t="s">
        <v>376</v>
      </c>
      <c r="Q125" s="5" t="s">
        <v>749</v>
      </c>
      <c r="R125" s="5"/>
      <c r="S125" s="5"/>
      <c r="T125" s="5"/>
      <c r="U125" s="5" t="s">
        <v>24</v>
      </c>
      <c r="V125" s="5"/>
      <c r="W125" s="5"/>
      <c r="X125" s="5"/>
      <c r="Y125" s="5" t="s">
        <v>419</v>
      </c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 t="s">
        <v>750</v>
      </c>
      <c r="CA125" s="5" t="s">
        <v>751</v>
      </c>
      <c r="CB125" s="5" t="s">
        <v>752</v>
      </c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R125" s="1" t="s">
        <v>149</v>
      </c>
      <c r="CS125" s="1" t="s">
        <v>181</v>
      </c>
      <c r="CT125" s="5" t="s">
        <v>186</v>
      </c>
      <c r="CU125" s="1" t="s">
        <v>129</v>
      </c>
      <c r="CV125" s="1" t="s">
        <v>130</v>
      </c>
      <c r="CW125" s="144"/>
      <c r="DG125" s="143"/>
    </row>
    <row r="126" spans="1:111" ht="11.25">
      <c r="A126" s="5">
        <v>125</v>
      </c>
      <c r="B126" s="6">
        <v>46178.844884259299</v>
      </c>
      <c r="C126" s="6">
        <v>46178.849606481497</v>
      </c>
      <c r="D126" s="5" t="s">
        <v>270</v>
      </c>
      <c r="E126" s="5" t="s">
        <v>271</v>
      </c>
      <c r="F126" s="5" t="s">
        <v>272</v>
      </c>
      <c r="G126" s="5" t="s">
        <v>273</v>
      </c>
      <c r="H126" s="6">
        <v>46169</v>
      </c>
      <c r="I126" s="6" t="s">
        <v>122</v>
      </c>
      <c r="J126" s="5" t="s">
        <v>161</v>
      </c>
      <c r="K126" s="5"/>
      <c r="L126" s="5"/>
      <c r="M126" s="5" t="s">
        <v>108</v>
      </c>
      <c r="N126" s="5" t="s">
        <v>299</v>
      </c>
      <c r="O126" s="5" t="s">
        <v>136</v>
      </c>
      <c r="P126" s="5" t="s">
        <v>376</v>
      </c>
      <c r="Q126" s="5" t="s">
        <v>753</v>
      </c>
      <c r="R126" s="5"/>
      <c r="S126" s="5"/>
      <c r="T126" s="5"/>
      <c r="U126" s="5" t="s">
        <v>21</v>
      </c>
      <c r="V126" s="5" t="s">
        <v>537</v>
      </c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 t="s">
        <v>754</v>
      </c>
      <c r="BC126" s="5" t="s">
        <v>539</v>
      </c>
      <c r="BD126" s="5" t="s">
        <v>755</v>
      </c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R126" s="1" t="s">
        <v>114</v>
      </c>
      <c r="CS126" s="1" t="s">
        <v>181</v>
      </c>
      <c r="CT126" s="5" t="s">
        <v>756</v>
      </c>
      <c r="CU126" s="1" t="s">
        <v>151</v>
      </c>
      <c r="CV126" s="1" t="s">
        <v>130</v>
      </c>
      <c r="CW126" s="144"/>
      <c r="DG126" s="143"/>
    </row>
    <row r="127" spans="1:111" ht="11.25">
      <c r="A127" s="5">
        <v>126</v>
      </c>
      <c r="B127" s="6">
        <v>46178.849652777797</v>
      </c>
      <c r="C127" s="6">
        <v>46178.850543981498</v>
      </c>
      <c r="D127" s="5" t="s">
        <v>270</v>
      </c>
      <c r="E127" s="5" t="s">
        <v>271</v>
      </c>
      <c r="F127" s="5" t="s">
        <v>271</v>
      </c>
      <c r="G127" s="5" t="s">
        <v>273</v>
      </c>
      <c r="H127" s="6">
        <v>46169</v>
      </c>
      <c r="I127" s="6" t="s">
        <v>122</v>
      </c>
      <c r="J127" s="5" t="s">
        <v>161</v>
      </c>
      <c r="K127" s="5"/>
      <c r="L127" s="5"/>
      <c r="M127" s="5" t="s">
        <v>108</v>
      </c>
      <c r="N127" s="5" t="s">
        <v>299</v>
      </c>
      <c r="O127" s="5" t="s">
        <v>136</v>
      </c>
      <c r="P127" s="5" t="s">
        <v>376</v>
      </c>
      <c r="Q127" s="5" t="s">
        <v>749</v>
      </c>
      <c r="R127" s="5"/>
      <c r="S127" s="5"/>
      <c r="T127" s="5"/>
      <c r="U127" s="5" t="s">
        <v>22</v>
      </c>
      <c r="V127" s="5"/>
      <c r="W127" s="5" t="s">
        <v>329</v>
      </c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 t="s">
        <v>741</v>
      </c>
      <c r="AW127" s="5" t="s">
        <v>757</v>
      </c>
      <c r="AX127" s="5" t="s">
        <v>758</v>
      </c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R127" s="1" t="s">
        <v>149</v>
      </c>
      <c r="CS127" s="1" t="s">
        <v>181</v>
      </c>
      <c r="CT127" s="5" t="s">
        <v>186</v>
      </c>
      <c r="CU127" s="1" t="s">
        <v>129</v>
      </c>
      <c r="CV127" s="1" t="s">
        <v>130</v>
      </c>
      <c r="CW127" s="144"/>
      <c r="DG127" s="143"/>
    </row>
    <row r="128" spans="1:111" ht="11.25">
      <c r="A128" s="5">
        <v>127</v>
      </c>
      <c r="B128" s="6">
        <v>46180.790254629603</v>
      </c>
      <c r="C128" s="6">
        <v>46180.803506944401</v>
      </c>
      <c r="D128" s="5" t="s">
        <v>759</v>
      </c>
      <c r="E128" s="5" t="s">
        <v>760</v>
      </c>
      <c r="F128" s="5" t="s">
        <v>760</v>
      </c>
      <c r="G128" s="5" t="s">
        <v>761</v>
      </c>
      <c r="H128" s="6">
        <v>46169</v>
      </c>
      <c r="I128" s="6" t="s">
        <v>135</v>
      </c>
      <c r="J128" s="5" t="s">
        <v>161</v>
      </c>
      <c r="K128" s="5"/>
      <c r="L128" s="5"/>
      <c r="M128" s="5" t="s">
        <v>108</v>
      </c>
      <c r="N128" s="5" t="s">
        <v>109</v>
      </c>
      <c r="O128" s="5" t="s">
        <v>427</v>
      </c>
      <c r="P128" s="5" t="s">
        <v>762</v>
      </c>
      <c r="Q128" s="5"/>
      <c r="R128" s="5"/>
      <c r="S128" s="5"/>
      <c r="T128" s="5"/>
      <c r="U128" s="5" t="s">
        <v>22</v>
      </c>
      <c r="V128" s="5"/>
      <c r="W128" s="5" t="s">
        <v>302</v>
      </c>
      <c r="X128" s="5"/>
      <c r="Y128" s="5"/>
      <c r="Z128" s="5"/>
      <c r="AA128" s="5" t="s">
        <v>763</v>
      </c>
      <c r="AB128" s="5" t="s">
        <v>764</v>
      </c>
      <c r="AC128" s="5" t="s">
        <v>765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R128" s="1" t="s">
        <v>149</v>
      </c>
      <c r="CS128" s="1" t="s">
        <v>150</v>
      </c>
      <c r="CT128" s="5" t="s">
        <v>766</v>
      </c>
      <c r="CU128" s="1" t="s">
        <v>129</v>
      </c>
      <c r="CV128" s="1" t="s">
        <v>130</v>
      </c>
      <c r="CW128" s="144"/>
      <c r="DG128" s="143"/>
    </row>
    <row r="129" spans="1:111" ht="11.25">
      <c r="A129" s="5">
        <v>128</v>
      </c>
      <c r="B129" s="6">
        <v>46181.416886574101</v>
      </c>
      <c r="C129" s="6">
        <v>46181.428900462997</v>
      </c>
      <c r="D129" s="5" t="s">
        <v>767</v>
      </c>
      <c r="E129" s="5" t="s">
        <v>768</v>
      </c>
      <c r="F129" s="5" t="s">
        <v>769</v>
      </c>
      <c r="G129" s="5" t="s">
        <v>770</v>
      </c>
      <c r="H129" s="6">
        <v>46175</v>
      </c>
      <c r="I129" s="6" t="s">
        <v>135</v>
      </c>
      <c r="J129" s="5" t="s">
        <v>174</v>
      </c>
      <c r="K129" s="5"/>
      <c r="L129" s="5" t="s">
        <v>771</v>
      </c>
      <c r="M129" s="5" t="s">
        <v>108</v>
      </c>
      <c r="N129" s="5" t="s">
        <v>109</v>
      </c>
      <c r="O129" s="5" t="s">
        <v>772</v>
      </c>
      <c r="P129" s="5"/>
      <c r="Q129" s="5" t="s">
        <v>773</v>
      </c>
      <c r="R129" s="5"/>
      <c r="S129" s="5"/>
      <c r="T129" s="5"/>
      <c r="U129" s="5" t="s">
        <v>24</v>
      </c>
      <c r="V129" s="5"/>
      <c r="W129" s="5"/>
      <c r="X129" s="5"/>
      <c r="Y129" s="5" t="s">
        <v>190</v>
      </c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 t="s">
        <v>262</v>
      </c>
      <c r="CG129" s="5" t="s">
        <v>192</v>
      </c>
      <c r="CH129" s="5" t="s">
        <v>193</v>
      </c>
      <c r="CI129" s="5"/>
      <c r="CJ129" s="5"/>
      <c r="CK129" s="5"/>
      <c r="CL129" s="5"/>
      <c r="CR129" s="1" t="s">
        <v>149</v>
      </c>
      <c r="CS129" s="1" t="s">
        <v>150</v>
      </c>
      <c r="CT129" s="5" t="s">
        <v>774</v>
      </c>
      <c r="CU129" s="1" t="s">
        <v>116</v>
      </c>
      <c r="CV129" s="1" t="s">
        <v>169</v>
      </c>
      <c r="CW129" s="144"/>
      <c r="DG129" s="143"/>
    </row>
    <row r="130" spans="1:111" ht="11.25">
      <c r="A130" s="5">
        <v>129</v>
      </c>
      <c r="B130" s="6">
        <v>46181.408854166701</v>
      </c>
      <c r="C130" s="6">
        <v>46181.4315740741</v>
      </c>
      <c r="D130" s="5" t="s">
        <v>775</v>
      </c>
      <c r="E130" s="5" t="s">
        <v>776</v>
      </c>
      <c r="F130" s="5" t="s">
        <v>776</v>
      </c>
      <c r="G130" s="5" t="s">
        <v>777</v>
      </c>
      <c r="H130" s="6">
        <v>46178</v>
      </c>
      <c r="I130" s="6" t="s">
        <v>436</v>
      </c>
      <c r="J130" s="5" t="s">
        <v>187</v>
      </c>
      <c r="K130" s="5" t="s">
        <v>254</v>
      </c>
      <c r="L130" s="5"/>
      <c r="M130" s="5" t="s">
        <v>108</v>
      </c>
      <c r="N130" s="5" t="s">
        <v>248</v>
      </c>
      <c r="O130" s="5" t="s">
        <v>772</v>
      </c>
      <c r="P130" s="5"/>
      <c r="Q130" s="5" t="s">
        <v>778</v>
      </c>
      <c r="R130" s="5"/>
      <c r="S130" s="5"/>
      <c r="T130" s="5"/>
      <c r="U130" s="5" t="s">
        <v>22</v>
      </c>
      <c r="V130" s="5"/>
      <c r="W130" s="5" t="s">
        <v>329</v>
      </c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 t="s">
        <v>779</v>
      </c>
      <c r="AW130" s="5" t="s">
        <v>757</v>
      </c>
      <c r="AX130" s="5" t="s">
        <v>780</v>
      </c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R130" s="1" t="s">
        <v>149</v>
      </c>
      <c r="CS130" s="1" t="s">
        <v>150</v>
      </c>
      <c r="CT130" s="5" t="s">
        <v>253</v>
      </c>
      <c r="CU130" s="1" t="s">
        <v>129</v>
      </c>
      <c r="CV130" s="1" t="s">
        <v>130</v>
      </c>
      <c r="CW130" s="144"/>
      <c r="DG130" s="143"/>
    </row>
    <row r="131" spans="1:111" ht="11.25">
      <c r="A131" s="5">
        <v>130</v>
      </c>
      <c r="B131" s="6">
        <v>46181.429004629601</v>
      </c>
      <c r="C131" s="6">
        <v>46181.435127314799</v>
      </c>
      <c r="D131" s="5" t="s">
        <v>767</v>
      </c>
      <c r="E131" s="5" t="s">
        <v>768</v>
      </c>
      <c r="F131" s="5" t="s">
        <v>769</v>
      </c>
      <c r="G131" s="5" t="s">
        <v>770</v>
      </c>
      <c r="H131" s="6">
        <v>46170</v>
      </c>
      <c r="I131" s="6" t="s">
        <v>781</v>
      </c>
      <c r="J131" s="5" t="s">
        <v>161</v>
      </c>
      <c r="K131" s="5"/>
      <c r="L131" s="5"/>
      <c r="M131" s="5" t="s">
        <v>108</v>
      </c>
      <c r="N131" s="5" t="s">
        <v>109</v>
      </c>
      <c r="O131" s="5" t="s">
        <v>772</v>
      </c>
      <c r="P131" s="5" t="s">
        <v>782</v>
      </c>
      <c r="Q131" s="5" t="s">
        <v>783</v>
      </c>
      <c r="R131" s="5"/>
      <c r="S131" s="5"/>
      <c r="T131" s="5"/>
      <c r="U131" s="5" t="s">
        <v>21</v>
      </c>
      <c r="V131" s="5" t="s">
        <v>177</v>
      </c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 t="s">
        <v>784</v>
      </c>
      <c r="AH131" s="5" t="s">
        <v>785</v>
      </c>
      <c r="AI131" s="5" t="s">
        <v>786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R131" s="1" t="s">
        <v>143</v>
      </c>
      <c r="CS131" s="1" t="s">
        <v>233</v>
      </c>
      <c r="CT131" s="5" t="s">
        <v>186</v>
      </c>
      <c r="CU131" s="1" t="s">
        <v>151</v>
      </c>
      <c r="CV131" s="1" t="s">
        <v>169</v>
      </c>
      <c r="CW131" s="144"/>
      <c r="DG131" s="143"/>
    </row>
    <row r="132" spans="1:111" ht="11.25">
      <c r="A132" s="5">
        <v>131</v>
      </c>
      <c r="B132" s="6">
        <v>46181.435706018499</v>
      </c>
      <c r="C132" s="6">
        <v>46181.439224537004</v>
      </c>
      <c r="D132" s="5" t="s">
        <v>351</v>
      </c>
      <c r="E132" s="5" t="s">
        <v>352</v>
      </c>
      <c r="F132" s="5" t="s">
        <v>787</v>
      </c>
      <c r="G132" s="5" t="s">
        <v>354</v>
      </c>
      <c r="H132" s="6">
        <v>46161</v>
      </c>
      <c r="I132" s="6" t="s">
        <v>195</v>
      </c>
      <c r="J132" s="5" t="s">
        <v>161</v>
      </c>
      <c r="K132" s="5"/>
      <c r="L132" s="5"/>
      <c r="M132" s="5" t="s">
        <v>196</v>
      </c>
      <c r="N132" s="5" t="s">
        <v>109</v>
      </c>
      <c r="O132" s="5" t="s">
        <v>136</v>
      </c>
      <c r="P132" s="5" t="s">
        <v>788</v>
      </c>
      <c r="Q132" s="5" t="s">
        <v>789</v>
      </c>
      <c r="R132" s="5"/>
      <c r="S132" s="5"/>
      <c r="T132" s="5"/>
      <c r="U132" s="5" t="s">
        <v>21</v>
      </c>
      <c r="V132" s="5" t="s">
        <v>537</v>
      </c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 t="s">
        <v>790</v>
      </c>
      <c r="BC132" s="5" t="s">
        <v>539</v>
      </c>
      <c r="BD132" s="5" t="s">
        <v>791</v>
      </c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R132" s="1" t="s">
        <v>143</v>
      </c>
      <c r="CS132" s="1" t="s">
        <v>181</v>
      </c>
      <c r="CT132" s="5" t="s">
        <v>792</v>
      </c>
      <c r="CU132" s="1" t="s">
        <v>129</v>
      </c>
      <c r="CV132" s="1" t="s">
        <v>130</v>
      </c>
      <c r="CW132" s="144"/>
      <c r="DG132" s="143"/>
    </row>
    <row r="133" spans="1:111" ht="11.25">
      <c r="A133" s="5">
        <v>132</v>
      </c>
      <c r="B133" s="6">
        <v>46181.439270833303</v>
      </c>
      <c r="C133" s="6">
        <v>46181.445775462998</v>
      </c>
      <c r="D133" s="5" t="s">
        <v>351</v>
      </c>
      <c r="E133" s="5" t="s">
        <v>352</v>
      </c>
      <c r="F133" s="5" t="s">
        <v>353</v>
      </c>
      <c r="G133" s="5" t="s">
        <v>354</v>
      </c>
      <c r="H133" s="6">
        <v>46160</v>
      </c>
      <c r="I133" s="6" t="s">
        <v>436</v>
      </c>
      <c r="J133" s="5" t="s">
        <v>187</v>
      </c>
      <c r="K133" s="5" t="s">
        <v>793</v>
      </c>
      <c r="L133" s="5"/>
      <c r="M133" s="5" t="s">
        <v>108</v>
      </c>
      <c r="N133" s="5" t="s">
        <v>123</v>
      </c>
      <c r="O133" s="5" t="s">
        <v>136</v>
      </c>
      <c r="P133" s="5"/>
      <c r="Q133" s="5" t="s">
        <v>794</v>
      </c>
      <c r="R133" s="5" t="s">
        <v>795</v>
      </c>
      <c r="S133" s="5"/>
      <c r="T133" s="5"/>
      <c r="U133" s="5" t="s">
        <v>23</v>
      </c>
      <c r="V133" s="5"/>
      <c r="W133" s="5"/>
      <c r="X133" s="5" t="s">
        <v>252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R133" s="1" t="s">
        <v>149</v>
      </c>
      <c r="CS133" s="1" t="s">
        <v>181</v>
      </c>
      <c r="CT133" s="5" t="s">
        <v>796</v>
      </c>
      <c r="CU133" s="1" t="s">
        <v>129</v>
      </c>
      <c r="CV133" s="1" t="s">
        <v>130</v>
      </c>
      <c r="CW133" s="144"/>
      <c r="DG133" s="143"/>
    </row>
    <row r="134" spans="1:111" ht="11.25">
      <c r="A134" s="5">
        <v>133</v>
      </c>
      <c r="B134" s="6">
        <v>46181.439803240697</v>
      </c>
      <c r="C134" s="6">
        <v>46181.445914351803</v>
      </c>
      <c r="D134" s="5" t="s">
        <v>797</v>
      </c>
      <c r="E134" s="5" t="s">
        <v>798</v>
      </c>
      <c r="F134" s="5" t="s">
        <v>799</v>
      </c>
      <c r="G134" s="5" t="s">
        <v>800</v>
      </c>
      <c r="H134" s="6">
        <v>46176</v>
      </c>
      <c r="I134" s="6" t="s">
        <v>135</v>
      </c>
      <c r="J134" s="5" t="s">
        <v>174</v>
      </c>
      <c r="K134" s="5"/>
      <c r="L134" s="5" t="s">
        <v>801</v>
      </c>
      <c r="M134" s="5" t="s">
        <v>221</v>
      </c>
      <c r="N134" s="5" t="s">
        <v>109</v>
      </c>
      <c r="O134" s="5" t="s">
        <v>772</v>
      </c>
      <c r="P134" s="5"/>
      <c r="Q134" s="5" t="s">
        <v>802</v>
      </c>
      <c r="R134" s="5"/>
      <c r="S134" s="5"/>
      <c r="T134" s="5"/>
      <c r="U134" s="5" t="s">
        <v>22</v>
      </c>
      <c r="V134" s="5"/>
      <c r="W134" s="5" t="s">
        <v>302</v>
      </c>
      <c r="X134" s="5"/>
      <c r="Y134" s="5"/>
      <c r="Z134" s="5"/>
      <c r="AA134" s="5" t="s">
        <v>803</v>
      </c>
      <c r="AB134" s="5" t="s">
        <v>304</v>
      </c>
      <c r="AC134" s="5" t="s">
        <v>804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R134" s="1" t="s">
        <v>149</v>
      </c>
      <c r="CS134" s="1" t="s">
        <v>478</v>
      </c>
      <c r="CT134" s="5" t="s">
        <v>802</v>
      </c>
      <c r="CU134" s="1" t="s">
        <v>151</v>
      </c>
      <c r="CV134" s="1" t="s">
        <v>117</v>
      </c>
      <c r="CW134" s="144"/>
      <c r="DG134" s="143"/>
    </row>
    <row r="135" spans="1:111" ht="11.25">
      <c r="A135" s="5">
        <v>134</v>
      </c>
      <c r="B135" s="6">
        <v>46181.445891203701</v>
      </c>
      <c r="C135" s="6">
        <v>46181.449618055602</v>
      </c>
      <c r="D135" s="5" t="s">
        <v>351</v>
      </c>
      <c r="E135" s="5" t="s">
        <v>352</v>
      </c>
      <c r="F135" s="5" t="s">
        <v>353</v>
      </c>
      <c r="G135" s="5" t="s">
        <v>354</v>
      </c>
      <c r="H135" s="6">
        <v>46167</v>
      </c>
      <c r="I135" s="6" t="s">
        <v>195</v>
      </c>
      <c r="J135" s="5" t="s">
        <v>161</v>
      </c>
      <c r="K135" s="5"/>
      <c r="L135" s="5"/>
      <c r="M135" s="5" t="s">
        <v>108</v>
      </c>
      <c r="N135" s="5" t="s">
        <v>123</v>
      </c>
      <c r="O135" s="5" t="s">
        <v>136</v>
      </c>
      <c r="P135" s="5" t="s">
        <v>805</v>
      </c>
      <c r="Q135" s="5" t="s">
        <v>390</v>
      </c>
      <c r="R135" s="5"/>
      <c r="S135" s="5"/>
      <c r="T135" s="5"/>
      <c r="U135" s="5" t="s">
        <v>21</v>
      </c>
      <c r="V135" s="5" t="s">
        <v>177</v>
      </c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 t="s">
        <v>806</v>
      </c>
      <c r="AH135" s="5" t="s">
        <v>807</v>
      </c>
      <c r="AI135" s="5" t="s">
        <v>808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R135" s="1" t="s">
        <v>149</v>
      </c>
      <c r="CS135" s="1" t="s">
        <v>181</v>
      </c>
      <c r="CT135" s="5" t="s">
        <v>809</v>
      </c>
      <c r="CU135" s="1" t="s">
        <v>129</v>
      </c>
      <c r="CV135" s="1" t="s">
        <v>130</v>
      </c>
      <c r="CW135" s="144"/>
      <c r="DG135" s="143"/>
    </row>
    <row r="136" spans="1:111" ht="11.25">
      <c r="A136" s="5">
        <v>135</v>
      </c>
      <c r="B136" s="6">
        <v>46181.449652777803</v>
      </c>
      <c r="C136" s="6">
        <v>46181.452604166698</v>
      </c>
      <c r="D136" s="5" t="s">
        <v>351</v>
      </c>
      <c r="E136" s="5" t="s">
        <v>352</v>
      </c>
      <c r="F136" s="5" t="s">
        <v>353</v>
      </c>
      <c r="G136" s="5" t="s">
        <v>354</v>
      </c>
      <c r="H136" s="6">
        <v>46196</v>
      </c>
      <c r="I136" s="6" t="s">
        <v>107</v>
      </c>
      <c r="J136" s="5" t="s">
        <v>161</v>
      </c>
      <c r="K136" s="5"/>
      <c r="L136" s="5"/>
      <c r="M136" s="5" t="s">
        <v>108</v>
      </c>
      <c r="N136" s="5" t="s">
        <v>109</v>
      </c>
      <c r="O136" s="5" t="s">
        <v>136</v>
      </c>
      <c r="P136" s="5" t="s">
        <v>810</v>
      </c>
      <c r="Q136" s="5" t="s">
        <v>810</v>
      </c>
      <c r="R136" s="5"/>
      <c r="S136" s="5"/>
      <c r="T136" s="5"/>
      <c r="U136" s="5" t="s">
        <v>22</v>
      </c>
      <c r="V136" s="5"/>
      <c r="W136" s="5" t="s">
        <v>329</v>
      </c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 t="s">
        <v>811</v>
      </c>
      <c r="AW136" s="5" t="s">
        <v>812</v>
      </c>
      <c r="AX136" s="5" t="s">
        <v>477</v>
      </c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R136" s="1" t="s">
        <v>149</v>
      </c>
      <c r="CS136" s="1" t="s">
        <v>181</v>
      </c>
      <c r="CT136" s="5" t="s">
        <v>813</v>
      </c>
      <c r="CU136" s="1" t="s">
        <v>129</v>
      </c>
      <c r="CV136" s="1" t="s">
        <v>130</v>
      </c>
      <c r="CW136" s="144"/>
      <c r="DG136" s="143"/>
    </row>
    <row r="137" spans="1:111" ht="11.25">
      <c r="A137" s="5">
        <v>136</v>
      </c>
      <c r="B137" s="6">
        <v>46181.452731481499</v>
      </c>
      <c r="C137" s="6">
        <v>46181.456597222197</v>
      </c>
      <c r="D137" s="5" t="s">
        <v>351</v>
      </c>
      <c r="E137" s="5" t="s">
        <v>352</v>
      </c>
      <c r="F137" s="5" t="s">
        <v>353</v>
      </c>
      <c r="G137" s="5" t="s">
        <v>354</v>
      </c>
      <c r="H137" s="6">
        <v>46161</v>
      </c>
      <c r="I137" s="6" t="s">
        <v>107</v>
      </c>
      <c r="J137" s="5" t="s">
        <v>161</v>
      </c>
      <c r="K137" s="5"/>
      <c r="L137" s="5"/>
      <c r="M137" s="5" t="s">
        <v>108</v>
      </c>
      <c r="N137" s="5" t="s">
        <v>109</v>
      </c>
      <c r="O137" s="5" t="s">
        <v>136</v>
      </c>
      <c r="P137" s="5" t="s">
        <v>366</v>
      </c>
      <c r="Q137" s="5" t="s">
        <v>390</v>
      </c>
      <c r="R137" s="5"/>
      <c r="S137" s="5"/>
      <c r="T137" s="5"/>
      <c r="U137" s="5" t="s">
        <v>22</v>
      </c>
      <c r="V137" s="5"/>
      <c r="W137" s="5" t="s">
        <v>124</v>
      </c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 t="s">
        <v>814</v>
      </c>
      <c r="AZ137" s="5" t="s">
        <v>815</v>
      </c>
      <c r="BA137" s="5" t="s">
        <v>245</v>
      </c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R137" s="1" t="s">
        <v>114</v>
      </c>
      <c r="CS137" s="1" t="s">
        <v>181</v>
      </c>
      <c r="CT137" s="5" t="s">
        <v>816</v>
      </c>
      <c r="CU137" s="1" t="s">
        <v>129</v>
      </c>
      <c r="CV137" s="1" t="s">
        <v>130</v>
      </c>
      <c r="CW137" s="144"/>
      <c r="DG137" s="143"/>
    </row>
    <row r="138" spans="1:111" ht="11.25">
      <c r="A138" s="5">
        <v>137</v>
      </c>
      <c r="B138" s="6">
        <v>46181.408969907403</v>
      </c>
      <c r="C138" s="6">
        <v>46181.493865740696</v>
      </c>
      <c r="D138" s="5" t="s">
        <v>817</v>
      </c>
      <c r="E138" s="5" t="s">
        <v>818</v>
      </c>
      <c r="F138" s="5" t="s">
        <v>818</v>
      </c>
      <c r="G138" s="5" t="s">
        <v>819</v>
      </c>
      <c r="H138" s="6">
        <v>46154</v>
      </c>
      <c r="I138" s="6" t="s">
        <v>122</v>
      </c>
      <c r="J138" s="5" t="s">
        <v>161</v>
      </c>
      <c r="K138" s="5"/>
      <c r="L138" s="5"/>
      <c r="M138" s="5" t="s">
        <v>196</v>
      </c>
      <c r="N138" s="5" t="s">
        <v>123</v>
      </c>
      <c r="O138" s="5" t="s">
        <v>772</v>
      </c>
      <c r="P138" s="5" t="s">
        <v>820</v>
      </c>
      <c r="Q138" s="5" t="s">
        <v>821</v>
      </c>
      <c r="R138" s="5"/>
      <c r="S138" s="5"/>
      <c r="T138" s="5"/>
      <c r="U138" s="5" t="s">
        <v>22</v>
      </c>
      <c r="V138" s="5"/>
      <c r="W138" s="5" t="s">
        <v>302</v>
      </c>
      <c r="X138" s="5"/>
      <c r="Y138" s="5"/>
      <c r="Z138" s="5"/>
      <c r="AA138" s="5" t="s">
        <v>822</v>
      </c>
      <c r="AB138" s="5" t="s">
        <v>823</v>
      </c>
      <c r="AC138" s="5" t="s">
        <v>824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R138" s="1" t="s">
        <v>143</v>
      </c>
      <c r="CS138" s="1" t="s">
        <v>144</v>
      </c>
      <c r="CT138" s="5" t="s">
        <v>186</v>
      </c>
      <c r="CU138" s="1" t="s">
        <v>151</v>
      </c>
      <c r="CV138" s="1" t="s">
        <v>169</v>
      </c>
      <c r="CW138" s="144"/>
      <c r="DG138" s="143"/>
    </row>
    <row r="139" spans="1:111" ht="11.25">
      <c r="A139" s="5">
        <v>138</v>
      </c>
      <c r="B139" s="6">
        <v>46181.409050925897</v>
      </c>
      <c r="C139" s="6">
        <v>46181.533449074101</v>
      </c>
      <c r="D139" s="5" t="s">
        <v>825</v>
      </c>
      <c r="E139" s="5" t="s">
        <v>826</v>
      </c>
      <c r="F139" s="5" t="s">
        <v>827</v>
      </c>
      <c r="G139" s="5" t="s">
        <v>828</v>
      </c>
      <c r="H139" s="6">
        <v>46156</v>
      </c>
      <c r="I139" s="6" t="s">
        <v>122</v>
      </c>
      <c r="J139" s="5" t="s">
        <v>161</v>
      </c>
      <c r="K139" s="5"/>
      <c r="L139" s="5"/>
      <c r="M139" s="5" t="s">
        <v>108</v>
      </c>
      <c r="N139" s="5" t="s">
        <v>123</v>
      </c>
      <c r="O139" s="5" t="s">
        <v>772</v>
      </c>
      <c r="P139" s="5" t="s">
        <v>829</v>
      </c>
      <c r="Q139" s="5" t="s">
        <v>830</v>
      </c>
      <c r="R139" s="5"/>
      <c r="S139" s="5"/>
      <c r="T139" s="5"/>
      <c r="U139" s="5" t="s">
        <v>22</v>
      </c>
      <c r="V139" s="5"/>
      <c r="W139" s="5" t="s">
        <v>329</v>
      </c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 t="s">
        <v>831</v>
      </c>
      <c r="AW139" s="5" t="s">
        <v>832</v>
      </c>
      <c r="AX139" s="5" t="s">
        <v>833</v>
      </c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R139" s="1" t="s">
        <v>149</v>
      </c>
      <c r="CS139" s="1" t="s">
        <v>144</v>
      </c>
      <c r="CT139" s="5" t="s">
        <v>834</v>
      </c>
      <c r="CU139" s="1" t="s">
        <v>151</v>
      </c>
      <c r="CV139" s="1" t="s">
        <v>117</v>
      </c>
      <c r="CW139" s="144"/>
      <c r="DG139" s="143"/>
    </row>
    <row r="140" spans="1:111" ht="11.25">
      <c r="A140" s="5">
        <v>139</v>
      </c>
      <c r="B140" s="6">
        <v>46181.533564814803</v>
      </c>
      <c r="C140" s="6">
        <v>46181.536064814798</v>
      </c>
      <c r="D140" s="5" t="s">
        <v>825</v>
      </c>
      <c r="E140" s="5" t="s">
        <v>826</v>
      </c>
      <c r="F140" s="5" t="s">
        <v>827</v>
      </c>
      <c r="G140" s="5" t="s">
        <v>828</v>
      </c>
      <c r="H140" s="6">
        <v>46163</v>
      </c>
      <c r="I140" s="6" t="s">
        <v>135</v>
      </c>
      <c r="J140" s="5" t="s">
        <v>187</v>
      </c>
      <c r="K140" s="5" t="s">
        <v>835</v>
      </c>
      <c r="L140" s="5"/>
      <c r="M140" s="5" t="s">
        <v>108</v>
      </c>
      <c r="N140" s="5" t="s">
        <v>123</v>
      </c>
      <c r="O140" s="5" t="s">
        <v>772</v>
      </c>
      <c r="P140" s="5"/>
      <c r="Q140" s="5" t="s">
        <v>836</v>
      </c>
      <c r="R140" s="5"/>
      <c r="S140" s="5"/>
      <c r="T140" s="5"/>
      <c r="U140" s="5" t="s">
        <v>25</v>
      </c>
      <c r="V140" s="5"/>
      <c r="W140" s="5"/>
      <c r="X140" s="5"/>
      <c r="Y140" s="5"/>
      <c r="Z140" s="5" t="s">
        <v>837</v>
      </c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O140" s="1" t="s">
        <v>838</v>
      </c>
      <c r="CP140" s="1" t="s">
        <v>839</v>
      </c>
      <c r="CQ140" s="1" t="s">
        <v>840</v>
      </c>
      <c r="CR140" s="1" t="s">
        <v>149</v>
      </c>
      <c r="CS140" s="1" t="s">
        <v>144</v>
      </c>
      <c r="CT140" s="5" t="s">
        <v>710</v>
      </c>
      <c r="CU140" s="1" t="s">
        <v>129</v>
      </c>
      <c r="CV140" s="1" t="s">
        <v>169</v>
      </c>
      <c r="CW140" s="144"/>
      <c r="DG140" s="143"/>
    </row>
    <row r="141" spans="1:111" ht="11.25">
      <c r="A141" s="5">
        <v>140</v>
      </c>
      <c r="B141" s="6">
        <v>46182.495150463001</v>
      </c>
      <c r="C141" s="6">
        <v>46182.515960648103</v>
      </c>
      <c r="D141" s="5" t="s">
        <v>103</v>
      </c>
      <c r="E141" s="5" t="s">
        <v>104</v>
      </c>
      <c r="F141" s="5" t="s">
        <v>375</v>
      </c>
      <c r="G141" s="5" t="s">
        <v>106</v>
      </c>
      <c r="H141" s="6">
        <v>46171</v>
      </c>
      <c r="I141" s="6" t="s">
        <v>107</v>
      </c>
      <c r="J141" s="5" t="s">
        <v>174</v>
      </c>
      <c r="K141" s="5"/>
      <c r="L141" s="5" t="s">
        <v>376</v>
      </c>
      <c r="M141" s="5" t="s">
        <v>196</v>
      </c>
      <c r="N141" s="5" t="s">
        <v>109</v>
      </c>
      <c r="O141" s="5" t="s">
        <v>136</v>
      </c>
      <c r="P141" s="5"/>
      <c r="Q141" s="5" t="s">
        <v>293</v>
      </c>
      <c r="R141" s="5"/>
      <c r="S141" s="5"/>
      <c r="T141" s="5"/>
      <c r="U141" s="5" t="s">
        <v>24</v>
      </c>
      <c r="V141" s="5"/>
      <c r="W141" s="5"/>
      <c r="X141" s="5"/>
      <c r="Y141" s="5" t="s">
        <v>705</v>
      </c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 t="s">
        <v>841</v>
      </c>
      <c r="AT141" s="5" t="s">
        <v>700</v>
      </c>
      <c r="AU141" s="5" t="s">
        <v>842</v>
      </c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R141" s="1" t="s">
        <v>149</v>
      </c>
      <c r="CS141" s="1" t="s">
        <v>181</v>
      </c>
      <c r="CT141" s="5" t="s">
        <v>843</v>
      </c>
      <c r="CU141" s="1" t="s">
        <v>129</v>
      </c>
      <c r="CV141" s="1" t="s">
        <v>130</v>
      </c>
      <c r="CW141" s="144"/>
      <c r="DG141" s="143"/>
    </row>
    <row r="142" spans="1:111" ht="11.25">
      <c r="A142" s="5">
        <v>141</v>
      </c>
      <c r="B142" s="6">
        <v>46182.515995370399</v>
      </c>
      <c r="C142" s="6">
        <v>46182.517685185201</v>
      </c>
      <c r="D142" s="5" t="s">
        <v>103</v>
      </c>
      <c r="E142" s="5" t="s">
        <v>104</v>
      </c>
      <c r="F142" s="5" t="s">
        <v>375</v>
      </c>
      <c r="G142" s="5" t="s">
        <v>106</v>
      </c>
      <c r="H142" s="6">
        <v>46181</v>
      </c>
      <c r="I142" s="6" t="s">
        <v>107</v>
      </c>
      <c r="J142" s="5" t="s">
        <v>174</v>
      </c>
      <c r="K142" s="5"/>
      <c r="L142" s="5" t="s">
        <v>376</v>
      </c>
      <c r="M142" s="5" t="s">
        <v>108</v>
      </c>
      <c r="N142" s="5" t="s">
        <v>109</v>
      </c>
      <c r="O142" s="5" t="s">
        <v>136</v>
      </c>
      <c r="P142" s="5"/>
      <c r="Q142" s="5" t="s">
        <v>293</v>
      </c>
      <c r="R142" s="5"/>
      <c r="S142" s="5"/>
      <c r="T142" s="5"/>
      <c r="U142" s="5" t="s">
        <v>22</v>
      </c>
      <c r="V142" s="5"/>
      <c r="W142" s="5" t="s">
        <v>199</v>
      </c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 t="s">
        <v>844</v>
      </c>
      <c r="BI142" s="5" t="s">
        <v>845</v>
      </c>
      <c r="BJ142" s="5" t="s">
        <v>295</v>
      </c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R142" s="1" t="s">
        <v>149</v>
      </c>
      <c r="CS142" s="1" t="s">
        <v>181</v>
      </c>
      <c r="CT142" s="5" t="s">
        <v>846</v>
      </c>
      <c r="CU142" s="1" t="s">
        <v>151</v>
      </c>
      <c r="CV142" s="1" t="s">
        <v>130</v>
      </c>
      <c r="CW142" s="144"/>
      <c r="DG142" s="143"/>
    </row>
    <row r="143" spans="1:111" ht="11.25">
      <c r="A143" s="5">
        <v>142</v>
      </c>
      <c r="B143" s="6">
        <v>46182.517719907402</v>
      </c>
      <c r="C143" s="6">
        <v>46182.519247685203</v>
      </c>
      <c r="D143" s="5" t="s">
        <v>103</v>
      </c>
      <c r="E143" s="5" t="s">
        <v>104</v>
      </c>
      <c r="F143" s="5" t="s">
        <v>375</v>
      </c>
      <c r="G143" s="5" t="s">
        <v>106</v>
      </c>
      <c r="H143" s="6">
        <v>46181</v>
      </c>
      <c r="I143" s="6" t="s">
        <v>107</v>
      </c>
      <c r="J143" s="5" t="s">
        <v>174</v>
      </c>
      <c r="K143" s="5"/>
      <c r="L143" s="5" t="s">
        <v>847</v>
      </c>
      <c r="M143" s="5" t="s">
        <v>108</v>
      </c>
      <c r="N143" s="5" t="s">
        <v>123</v>
      </c>
      <c r="O143" s="5" t="s">
        <v>136</v>
      </c>
      <c r="P143" s="5"/>
      <c r="Q143" s="5" t="s">
        <v>293</v>
      </c>
      <c r="R143" s="5" t="s">
        <v>848</v>
      </c>
      <c r="S143" s="5"/>
      <c r="T143" s="5"/>
      <c r="U143" s="5" t="s">
        <v>23</v>
      </c>
      <c r="V143" s="5"/>
      <c r="W143" s="5"/>
      <c r="X143" s="5" t="s">
        <v>252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R143" s="1" t="s">
        <v>149</v>
      </c>
      <c r="CS143" s="1" t="s">
        <v>181</v>
      </c>
      <c r="CT143" s="5" t="s">
        <v>186</v>
      </c>
      <c r="CU143" s="1" t="s">
        <v>129</v>
      </c>
      <c r="CV143" s="1" t="s">
        <v>130</v>
      </c>
      <c r="CW143" s="144"/>
      <c r="DG143" s="143"/>
    </row>
    <row r="144" spans="1:111" ht="11.25">
      <c r="A144" s="5">
        <v>143</v>
      </c>
      <c r="B144" s="6">
        <v>46184.490844907399</v>
      </c>
      <c r="C144" s="6">
        <v>46184.4941203704</v>
      </c>
      <c r="D144" s="5" t="s">
        <v>103</v>
      </c>
      <c r="E144" s="5" t="s">
        <v>104</v>
      </c>
      <c r="F144" s="5" t="s">
        <v>105</v>
      </c>
      <c r="G144" s="5" t="s">
        <v>106</v>
      </c>
      <c r="H144" s="6">
        <v>46157</v>
      </c>
      <c r="I144" s="6" t="s">
        <v>107</v>
      </c>
      <c r="J144" s="5" t="s">
        <v>174</v>
      </c>
      <c r="K144" s="5"/>
      <c r="L144" s="5" t="s">
        <v>175</v>
      </c>
      <c r="M144" s="5" t="s">
        <v>108</v>
      </c>
      <c r="N144" s="5" t="s">
        <v>109</v>
      </c>
      <c r="O144" s="5" t="s">
        <v>136</v>
      </c>
      <c r="P144" s="5"/>
      <c r="Q144" s="5" t="s">
        <v>176</v>
      </c>
      <c r="R144" s="5"/>
      <c r="S144" s="5"/>
      <c r="T144" s="5"/>
      <c r="U144" s="5" t="s">
        <v>21</v>
      </c>
      <c r="V144" s="5" t="s">
        <v>177</v>
      </c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 t="s">
        <v>849</v>
      </c>
      <c r="AH144" s="5" t="s">
        <v>850</v>
      </c>
      <c r="AI144" s="5" t="s">
        <v>851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R144" s="1" t="s">
        <v>143</v>
      </c>
      <c r="CS144" s="1" t="s">
        <v>181</v>
      </c>
      <c r="CT144" s="5" t="s">
        <v>186</v>
      </c>
      <c r="CU144" s="1" t="s">
        <v>151</v>
      </c>
      <c r="CV144" s="1" t="s">
        <v>130</v>
      </c>
      <c r="CW144" s="144"/>
      <c r="DG144" s="143"/>
    </row>
    <row r="145" spans="1:111" ht="11.25">
      <c r="A145" s="5">
        <v>144</v>
      </c>
      <c r="B145" s="6">
        <v>46184.612881944398</v>
      </c>
      <c r="C145" s="6">
        <v>46184.623437499999</v>
      </c>
      <c r="D145" s="5" t="s">
        <v>118</v>
      </c>
      <c r="E145" s="5" t="s">
        <v>119</v>
      </c>
      <c r="F145" s="5" t="s">
        <v>247</v>
      </c>
      <c r="G145" s="5" t="s">
        <v>121</v>
      </c>
      <c r="H145" s="6">
        <v>46184</v>
      </c>
      <c r="I145" s="6" t="s">
        <v>122</v>
      </c>
      <c r="J145" s="5" t="s">
        <v>187</v>
      </c>
      <c r="K145" s="5" t="s">
        <v>254</v>
      </c>
      <c r="L145" s="5"/>
      <c r="M145" s="5" t="s">
        <v>108</v>
      </c>
      <c r="N145" s="5" t="s">
        <v>123</v>
      </c>
      <c r="O145" s="5" t="s">
        <v>136</v>
      </c>
      <c r="P145" s="5"/>
      <c r="Q145" s="5" t="s">
        <v>852</v>
      </c>
      <c r="R145" s="5"/>
      <c r="S145" s="5"/>
      <c r="T145" s="5"/>
      <c r="U145" s="5" t="s">
        <v>22</v>
      </c>
      <c r="V145" s="5"/>
      <c r="W145" s="5" t="s">
        <v>329</v>
      </c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 t="s">
        <v>853</v>
      </c>
      <c r="AW145" s="5" t="s">
        <v>854</v>
      </c>
      <c r="AX145" s="5" t="s">
        <v>477</v>
      </c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R145" s="1" t="s">
        <v>114</v>
      </c>
      <c r="CS145" s="1" t="s">
        <v>144</v>
      </c>
      <c r="CT145" s="5" t="s">
        <v>855</v>
      </c>
      <c r="CU145" s="1" t="s">
        <v>116</v>
      </c>
      <c r="CV145" s="1" t="s">
        <v>169</v>
      </c>
      <c r="CW145" s="144"/>
      <c r="DG145" s="143"/>
    </row>
    <row r="146" spans="1:111" ht="11.25">
      <c r="A146" s="5">
        <v>145</v>
      </c>
      <c r="B146" s="6">
        <v>46184.628553240698</v>
      </c>
      <c r="C146" s="6">
        <v>46184.629768518498</v>
      </c>
      <c r="D146" s="5" t="s">
        <v>118</v>
      </c>
      <c r="E146" s="5" t="s">
        <v>119</v>
      </c>
      <c r="F146" s="5" t="s">
        <v>856</v>
      </c>
      <c r="G146" s="5" t="s">
        <v>121</v>
      </c>
      <c r="H146" s="6">
        <v>46184</v>
      </c>
      <c r="I146" s="6" t="s">
        <v>122</v>
      </c>
      <c r="J146" s="5" t="s">
        <v>187</v>
      </c>
      <c r="K146" s="5" t="s">
        <v>254</v>
      </c>
      <c r="L146" s="5"/>
      <c r="M146" s="5" t="s">
        <v>108</v>
      </c>
      <c r="N146" s="5" t="s">
        <v>123</v>
      </c>
      <c r="O146" s="5" t="s">
        <v>136</v>
      </c>
      <c r="P146" s="5"/>
      <c r="Q146" s="5" t="s">
        <v>857</v>
      </c>
      <c r="R146" s="5"/>
      <c r="S146" s="5"/>
      <c r="T146" s="5"/>
      <c r="U146" s="5" t="s">
        <v>22</v>
      </c>
      <c r="V146" s="5"/>
      <c r="W146" s="5" t="s">
        <v>124</v>
      </c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 t="s">
        <v>396</v>
      </c>
      <c r="AZ146" s="5" t="s">
        <v>313</v>
      </c>
      <c r="BA146" s="5" t="s">
        <v>127</v>
      </c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R146" s="1" t="s">
        <v>149</v>
      </c>
      <c r="CS146" s="1" t="s">
        <v>181</v>
      </c>
      <c r="CT146" s="5" t="s">
        <v>858</v>
      </c>
      <c r="CU146" s="1" t="s">
        <v>129</v>
      </c>
      <c r="CV146" s="1" t="s">
        <v>130</v>
      </c>
      <c r="CW146" s="144"/>
      <c r="DG146" s="143"/>
    </row>
    <row r="147" spans="1:111" ht="11.25">
      <c r="A147" s="5">
        <v>146</v>
      </c>
      <c r="B147" s="6">
        <v>46184.630949074097</v>
      </c>
      <c r="C147" s="6">
        <v>46184.633495370399</v>
      </c>
      <c r="D147" s="5" t="s">
        <v>118</v>
      </c>
      <c r="E147" s="5" t="s">
        <v>119</v>
      </c>
      <c r="F147" s="5" t="s">
        <v>247</v>
      </c>
      <c r="G147" s="5" t="s">
        <v>121</v>
      </c>
      <c r="H147" s="6">
        <v>46182</v>
      </c>
      <c r="I147" s="6" t="s">
        <v>195</v>
      </c>
      <c r="J147" s="5" t="s">
        <v>161</v>
      </c>
      <c r="K147" s="5"/>
      <c r="L147" s="5"/>
      <c r="M147" s="5" t="s">
        <v>221</v>
      </c>
      <c r="N147" s="5" t="s">
        <v>109</v>
      </c>
      <c r="O147" s="5" t="s">
        <v>136</v>
      </c>
      <c r="P147" s="5" t="s">
        <v>260</v>
      </c>
      <c r="Q147" s="5" t="s">
        <v>859</v>
      </c>
      <c r="R147" s="5"/>
      <c r="S147" s="5"/>
      <c r="T147" s="5" t="s">
        <v>860</v>
      </c>
      <c r="U147" s="5" t="s">
        <v>24</v>
      </c>
      <c r="V147" s="5"/>
      <c r="W147" s="5"/>
      <c r="X147" s="5"/>
      <c r="Y147" s="5" t="s">
        <v>19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R147" s="1" t="s">
        <v>143</v>
      </c>
      <c r="CS147" s="1" t="s">
        <v>181</v>
      </c>
      <c r="CT147" s="5" t="s">
        <v>186</v>
      </c>
      <c r="CU147" s="1" t="s">
        <v>129</v>
      </c>
      <c r="CV147" s="1" t="s">
        <v>130</v>
      </c>
      <c r="CW147" s="144" t="s">
        <v>861</v>
      </c>
      <c r="DG147" s="143"/>
    </row>
    <row r="148" spans="1:111" ht="11.25">
      <c r="A148" s="5">
        <v>147</v>
      </c>
      <c r="B148" s="6">
        <v>46185.566574074102</v>
      </c>
      <c r="C148" s="6">
        <v>46185.567696759303</v>
      </c>
      <c r="D148" s="5" t="s">
        <v>118</v>
      </c>
      <c r="E148" s="5" t="s">
        <v>119</v>
      </c>
      <c r="F148" s="5" t="s">
        <v>856</v>
      </c>
      <c r="G148" s="5" t="s">
        <v>121</v>
      </c>
      <c r="H148" s="6">
        <v>46184</v>
      </c>
      <c r="I148" s="6" t="s">
        <v>122</v>
      </c>
      <c r="J148" s="5" t="s">
        <v>187</v>
      </c>
      <c r="K148" s="5" t="s">
        <v>254</v>
      </c>
      <c r="L148" s="5"/>
      <c r="M148" s="5" t="s">
        <v>108</v>
      </c>
      <c r="N148" s="5" t="s">
        <v>123</v>
      </c>
      <c r="O148" s="5" t="s">
        <v>136</v>
      </c>
      <c r="P148" s="5"/>
      <c r="Q148" s="5" t="s">
        <v>260</v>
      </c>
      <c r="R148" s="5"/>
      <c r="S148" s="5"/>
      <c r="T148" s="5"/>
      <c r="U148" s="5" t="s">
        <v>22</v>
      </c>
      <c r="V148" s="5"/>
      <c r="W148" s="5" t="s">
        <v>329</v>
      </c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 t="s">
        <v>811</v>
      </c>
      <c r="AW148" s="5" t="s">
        <v>862</v>
      </c>
      <c r="AX148" s="5" t="s">
        <v>780</v>
      </c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R148" s="1" t="s">
        <v>143</v>
      </c>
      <c r="CS148" s="1" t="s">
        <v>181</v>
      </c>
      <c r="CT148" s="5" t="s">
        <v>863</v>
      </c>
      <c r="CU148" s="1" t="s">
        <v>129</v>
      </c>
      <c r="CV148" s="1" t="s">
        <v>130</v>
      </c>
      <c r="CW148" s="144"/>
      <c r="DG148" s="143"/>
    </row>
    <row r="149" spans="1:111" ht="11.25">
      <c r="A149" s="5">
        <v>148</v>
      </c>
      <c r="B149" s="6">
        <v>46185.815474536997</v>
      </c>
      <c r="C149" s="6">
        <v>46185.817650463003</v>
      </c>
      <c r="D149" s="5" t="s">
        <v>170</v>
      </c>
      <c r="E149" s="5" t="s">
        <v>171</v>
      </c>
      <c r="F149" s="5" t="s">
        <v>171</v>
      </c>
      <c r="G149" s="5" t="s">
        <v>172</v>
      </c>
      <c r="H149" s="6">
        <v>46170</v>
      </c>
      <c r="I149" s="6" t="s">
        <v>195</v>
      </c>
      <c r="J149" s="5" t="s">
        <v>161</v>
      </c>
      <c r="K149" s="5"/>
      <c r="L149" s="5"/>
      <c r="M149" s="5" t="s">
        <v>305</v>
      </c>
      <c r="N149" s="5" t="s">
        <v>109</v>
      </c>
      <c r="O149" s="5" t="s">
        <v>136</v>
      </c>
      <c r="P149" s="5" t="s">
        <v>197</v>
      </c>
      <c r="Q149" s="5" t="s">
        <v>864</v>
      </c>
      <c r="R149" s="5"/>
      <c r="S149" s="5"/>
      <c r="T149" s="5" t="s">
        <v>860</v>
      </c>
      <c r="U149" s="5" t="s">
        <v>24</v>
      </c>
      <c r="V149" s="5"/>
      <c r="W149" s="5"/>
      <c r="X149" s="5"/>
      <c r="Y149" s="5" t="s">
        <v>19</v>
      </c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R149" s="1" t="s">
        <v>149</v>
      </c>
      <c r="CS149" s="1" t="s">
        <v>181</v>
      </c>
      <c r="CT149" s="5" t="s">
        <v>186</v>
      </c>
      <c r="CU149" s="1" t="s">
        <v>129</v>
      </c>
      <c r="CV149" s="1" t="s">
        <v>130</v>
      </c>
      <c r="CW149" s="144" t="s">
        <v>865</v>
      </c>
      <c r="DG149" s="143"/>
    </row>
    <row r="150" spans="1:111" ht="11.25">
      <c r="A150" s="5">
        <v>149</v>
      </c>
      <c r="B150" s="6">
        <v>46185.817685185197</v>
      </c>
      <c r="C150" s="6">
        <v>46185.818958333301</v>
      </c>
      <c r="D150" s="5" t="s">
        <v>170</v>
      </c>
      <c r="E150" s="5" t="s">
        <v>171</v>
      </c>
      <c r="F150" s="5" t="s">
        <v>171</v>
      </c>
      <c r="G150" s="5" t="s">
        <v>172</v>
      </c>
      <c r="H150" s="6">
        <v>46171</v>
      </c>
      <c r="I150" s="6" t="s">
        <v>195</v>
      </c>
      <c r="J150" s="5" t="s">
        <v>161</v>
      </c>
      <c r="K150" s="5"/>
      <c r="L150" s="5"/>
      <c r="M150" s="5" t="s">
        <v>305</v>
      </c>
      <c r="N150" s="5" t="s">
        <v>109</v>
      </c>
      <c r="O150" s="5" t="s">
        <v>136</v>
      </c>
      <c r="P150" s="5" t="s">
        <v>205</v>
      </c>
      <c r="Q150" s="5" t="s">
        <v>866</v>
      </c>
      <c r="R150" s="5"/>
      <c r="S150" s="5"/>
      <c r="T150" s="5" t="s">
        <v>860</v>
      </c>
      <c r="U150" s="5" t="s">
        <v>24</v>
      </c>
      <c r="V150" s="5"/>
      <c r="W150" s="5"/>
      <c r="X150" s="5"/>
      <c r="Y150" s="5" t="s">
        <v>19</v>
      </c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R150" s="1" t="s">
        <v>149</v>
      </c>
      <c r="CS150" s="1" t="s">
        <v>181</v>
      </c>
      <c r="CT150" s="5" t="s">
        <v>186</v>
      </c>
      <c r="CU150" s="1" t="s">
        <v>129</v>
      </c>
      <c r="CV150" s="1" t="s">
        <v>130</v>
      </c>
      <c r="CW150" s="144" t="s">
        <v>867</v>
      </c>
      <c r="DG150" s="143"/>
    </row>
    <row r="151" spans="1:111" ht="11.25">
      <c r="A151" s="5">
        <v>150</v>
      </c>
      <c r="B151" s="6">
        <v>46185.819120370397</v>
      </c>
      <c r="C151" s="6">
        <v>46185.821446759299</v>
      </c>
      <c r="D151" s="5" t="s">
        <v>170</v>
      </c>
      <c r="E151" s="5" t="s">
        <v>171</v>
      </c>
      <c r="F151" s="5" t="s">
        <v>171</v>
      </c>
      <c r="G151" s="5" t="s">
        <v>172</v>
      </c>
      <c r="H151" s="6">
        <v>46160</v>
      </c>
      <c r="I151" s="6" t="s">
        <v>173</v>
      </c>
      <c r="J151" s="5" t="s">
        <v>187</v>
      </c>
      <c r="K151" s="5" t="s">
        <v>188</v>
      </c>
      <c r="L151" s="5"/>
      <c r="M151" s="5" t="s">
        <v>108</v>
      </c>
      <c r="N151" s="5" t="s">
        <v>123</v>
      </c>
      <c r="O151" s="5" t="s">
        <v>136</v>
      </c>
      <c r="P151" s="5"/>
      <c r="Q151" s="5" t="s">
        <v>868</v>
      </c>
      <c r="R151" s="5"/>
      <c r="S151" s="5"/>
      <c r="T151" s="5"/>
      <c r="U151" s="5" t="s">
        <v>24</v>
      </c>
      <c r="V151" s="5"/>
      <c r="W151" s="5"/>
      <c r="X151" s="5"/>
      <c r="Y151" s="5" t="s">
        <v>190</v>
      </c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 t="s">
        <v>869</v>
      </c>
      <c r="CG151" s="5" t="s">
        <v>192</v>
      </c>
      <c r="CH151" s="5" t="s">
        <v>870</v>
      </c>
      <c r="CI151" s="5"/>
      <c r="CJ151" s="5"/>
      <c r="CK151" s="5"/>
      <c r="CL151" s="5"/>
      <c r="CR151" s="1" t="s">
        <v>143</v>
      </c>
      <c r="CS151" s="1" t="s">
        <v>181</v>
      </c>
      <c r="CT151" s="5" t="s">
        <v>186</v>
      </c>
      <c r="CU151" s="1" t="s">
        <v>151</v>
      </c>
      <c r="CV151" s="1" t="s">
        <v>130</v>
      </c>
      <c r="CW151" s="144"/>
      <c r="DG151" s="143"/>
    </row>
    <row r="152" spans="1:111" ht="11.25">
      <c r="A152" s="5">
        <v>151</v>
      </c>
      <c r="B152" s="6">
        <v>46185.821585648097</v>
      </c>
      <c r="C152" s="6">
        <v>46185.823159722197</v>
      </c>
      <c r="D152" s="5" t="s">
        <v>170</v>
      </c>
      <c r="E152" s="5" t="s">
        <v>171</v>
      </c>
      <c r="F152" s="5" t="s">
        <v>171</v>
      </c>
      <c r="G152" s="5" t="s">
        <v>172</v>
      </c>
      <c r="H152" s="6">
        <v>46171</v>
      </c>
      <c r="I152" s="6" t="s">
        <v>107</v>
      </c>
      <c r="J152" s="5" t="s">
        <v>161</v>
      </c>
      <c r="K152" s="5"/>
      <c r="L152" s="5"/>
      <c r="M152" s="5" t="s">
        <v>108</v>
      </c>
      <c r="N152" s="5" t="s">
        <v>109</v>
      </c>
      <c r="O152" s="5" t="s">
        <v>136</v>
      </c>
      <c r="P152" s="5" t="s">
        <v>197</v>
      </c>
      <c r="Q152" s="5" t="s">
        <v>871</v>
      </c>
      <c r="R152" s="5"/>
      <c r="S152" s="5"/>
      <c r="T152" s="5"/>
      <c r="U152" s="5" t="s">
        <v>22</v>
      </c>
      <c r="V152" s="5"/>
      <c r="W152" s="5" t="s">
        <v>146</v>
      </c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 t="s">
        <v>872</v>
      </c>
      <c r="BL152" s="5" t="s">
        <v>236</v>
      </c>
      <c r="BM152" s="5" t="s">
        <v>185</v>
      </c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R152" s="1" t="s">
        <v>143</v>
      </c>
      <c r="CS152" s="1" t="s">
        <v>150</v>
      </c>
      <c r="CT152" s="5" t="s">
        <v>186</v>
      </c>
      <c r="CU152" s="1" t="s">
        <v>151</v>
      </c>
      <c r="CV152" s="1" t="s">
        <v>130</v>
      </c>
      <c r="CW152" s="144"/>
      <c r="DG152" s="143"/>
    </row>
    <row r="153" spans="1:111" ht="11.25">
      <c r="A153" s="5">
        <v>152</v>
      </c>
      <c r="B153" s="6">
        <v>46185.823194444398</v>
      </c>
      <c r="C153" s="6">
        <v>46185.824398148099</v>
      </c>
      <c r="D153" s="5" t="s">
        <v>170</v>
      </c>
      <c r="E153" s="5" t="s">
        <v>171</v>
      </c>
      <c r="F153" s="5" t="s">
        <v>171</v>
      </c>
      <c r="G153" s="5" t="s">
        <v>172</v>
      </c>
      <c r="H153" s="6">
        <v>46171</v>
      </c>
      <c r="I153" s="6" t="s">
        <v>107</v>
      </c>
      <c r="J153" s="5" t="s">
        <v>161</v>
      </c>
      <c r="K153" s="5"/>
      <c r="L153" s="5"/>
      <c r="M153" s="5" t="s">
        <v>108</v>
      </c>
      <c r="N153" s="5" t="s">
        <v>109</v>
      </c>
      <c r="O153" s="5" t="s">
        <v>136</v>
      </c>
      <c r="P153" s="5" t="s">
        <v>205</v>
      </c>
      <c r="Q153" s="5" t="s">
        <v>873</v>
      </c>
      <c r="R153" s="5"/>
      <c r="S153" s="5"/>
      <c r="T153" s="5"/>
      <c r="U153" s="5" t="s">
        <v>22</v>
      </c>
      <c r="V153" s="5"/>
      <c r="W153" s="5" t="s">
        <v>146</v>
      </c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 t="s">
        <v>874</v>
      </c>
      <c r="BL153" s="5" t="s">
        <v>317</v>
      </c>
      <c r="BM153" s="5" t="s">
        <v>318</v>
      </c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R153" s="1" t="s">
        <v>143</v>
      </c>
      <c r="CS153" s="1" t="s">
        <v>150</v>
      </c>
      <c r="CT153" s="5" t="s">
        <v>875</v>
      </c>
      <c r="CU153" s="1" t="s">
        <v>151</v>
      </c>
      <c r="CV153" s="1" t="s">
        <v>130</v>
      </c>
      <c r="CW153" s="144"/>
      <c r="DG153" s="143"/>
    </row>
    <row r="154" spans="1:111" ht="11.25">
      <c r="A154" s="5">
        <v>153</v>
      </c>
      <c r="B154" s="6">
        <v>46185.824432870402</v>
      </c>
      <c r="C154" s="6">
        <v>46185.8260532407</v>
      </c>
      <c r="D154" s="5" t="s">
        <v>170</v>
      </c>
      <c r="E154" s="5" t="s">
        <v>171</v>
      </c>
      <c r="F154" s="5" t="s">
        <v>171</v>
      </c>
      <c r="G154" s="5" t="s">
        <v>172</v>
      </c>
      <c r="H154" s="6">
        <v>46170</v>
      </c>
      <c r="I154" s="6" t="s">
        <v>107</v>
      </c>
      <c r="J154" s="5" t="s">
        <v>161</v>
      </c>
      <c r="K154" s="5"/>
      <c r="L154" s="5"/>
      <c r="M154" s="5" t="s">
        <v>108</v>
      </c>
      <c r="N154" s="5" t="s">
        <v>109</v>
      </c>
      <c r="O154" s="5" t="s">
        <v>136</v>
      </c>
      <c r="P154" s="5" t="s">
        <v>197</v>
      </c>
      <c r="Q154" s="5" t="s">
        <v>876</v>
      </c>
      <c r="R154" s="5"/>
      <c r="S154" s="5"/>
      <c r="T154" s="5"/>
      <c r="U154" s="5" t="s">
        <v>22</v>
      </c>
      <c r="V154" s="5"/>
      <c r="W154" s="5" t="s">
        <v>110</v>
      </c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 t="s">
        <v>877</v>
      </c>
      <c r="BO154" s="5" t="s">
        <v>878</v>
      </c>
      <c r="BP154" s="5" t="s">
        <v>879</v>
      </c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R154" s="1" t="s">
        <v>114</v>
      </c>
      <c r="CS154" s="1" t="s">
        <v>181</v>
      </c>
      <c r="CT154" s="5" t="s">
        <v>186</v>
      </c>
      <c r="CU154" s="1" t="s">
        <v>151</v>
      </c>
      <c r="CV154" s="1" t="s">
        <v>130</v>
      </c>
      <c r="CW154" s="144"/>
      <c r="DG154" s="143"/>
    </row>
    <row r="155" spans="1:111" ht="11.25">
      <c r="A155" s="5">
        <v>154</v>
      </c>
      <c r="B155" s="6">
        <v>46185.826099537</v>
      </c>
      <c r="C155" s="6">
        <v>46185.827418981498</v>
      </c>
      <c r="D155" s="5" t="s">
        <v>170</v>
      </c>
      <c r="E155" s="5" t="s">
        <v>171</v>
      </c>
      <c r="F155" s="5" t="s">
        <v>171</v>
      </c>
      <c r="G155" s="5" t="s">
        <v>172</v>
      </c>
      <c r="H155" s="6">
        <v>46170</v>
      </c>
      <c r="I155" s="6" t="s">
        <v>107</v>
      </c>
      <c r="J155" s="5" t="s">
        <v>161</v>
      </c>
      <c r="K155" s="5"/>
      <c r="L155" s="5"/>
      <c r="M155" s="5" t="s">
        <v>108</v>
      </c>
      <c r="N155" s="5" t="s">
        <v>109</v>
      </c>
      <c r="O155" s="5" t="s">
        <v>136</v>
      </c>
      <c r="P155" s="5" t="s">
        <v>205</v>
      </c>
      <c r="Q155" s="5" t="s">
        <v>880</v>
      </c>
      <c r="R155" s="5"/>
      <c r="S155" s="5"/>
      <c r="T155" s="5"/>
      <c r="U155" s="5" t="s">
        <v>22</v>
      </c>
      <c r="V155" s="5"/>
      <c r="W155" s="5" t="s">
        <v>110</v>
      </c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 t="s">
        <v>881</v>
      </c>
      <c r="BO155" s="5" t="s">
        <v>882</v>
      </c>
      <c r="BP155" s="5" t="s">
        <v>883</v>
      </c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R155" s="1" t="s">
        <v>114</v>
      </c>
      <c r="CS155" s="1" t="s">
        <v>181</v>
      </c>
      <c r="CT155" s="5" t="s">
        <v>186</v>
      </c>
      <c r="CU155" s="1" t="s">
        <v>151</v>
      </c>
      <c r="CV155" s="1" t="s">
        <v>130</v>
      </c>
      <c r="CW155" s="144"/>
      <c r="DG155" s="143"/>
    </row>
    <row r="156" spans="1:111" ht="11.25">
      <c r="A156" s="5">
        <v>155</v>
      </c>
      <c r="B156" s="6">
        <v>46185.827696759297</v>
      </c>
      <c r="C156" s="6">
        <v>46185.829120370399</v>
      </c>
      <c r="D156" s="5" t="s">
        <v>170</v>
      </c>
      <c r="E156" s="5" t="s">
        <v>171</v>
      </c>
      <c r="F156" s="5" t="s">
        <v>171</v>
      </c>
      <c r="G156" s="5" t="s">
        <v>172</v>
      </c>
      <c r="H156" s="6">
        <v>46164</v>
      </c>
      <c r="I156" s="6" t="s">
        <v>195</v>
      </c>
      <c r="J156" s="5" t="s">
        <v>161</v>
      </c>
      <c r="K156" s="5"/>
      <c r="L156" s="5"/>
      <c r="M156" s="5" t="s">
        <v>305</v>
      </c>
      <c r="N156" s="5" t="s">
        <v>109</v>
      </c>
      <c r="O156" s="5" t="s">
        <v>136</v>
      </c>
      <c r="P156" s="5" t="s">
        <v>197</v>
      </c>
      <c r="Q156" s="5" t="s">
        <v>884</v>
      </c>
      <c r="R156" s="5"/>
      <c r="S156" s="5"/>
      <c r="T156" s="5"/>
      <c r="U156" s="5" t="s">
        <v>24</v>
      </c>
      <c r="V156" s="5"/>
      <c r="W156" s="5"/>
      <c r="X156" s="5"/>
      <c r="Y156" s="5" t="s">
        <v>190</v>
      </c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 t="s">
        <v>885</v>
      </c>
      <c r="CG156" s="5" t="s">
        <v>885</v>
      </c>
      <c r="CH156" s="5" t="s">
        <v>885</v>
      </c>
      <c r="CI156" s="5"/>
      <c r="CJ156" s="5"/>
      <c r="CK156" s="5"/>
      <c r="CL156" s="5"/>
      <c r="CR156" s="1" t="s">
        <v>149</v>
      </c>
      <c r="CS156" s="1" t="s">
        <v>181</v>
      </c>
      <c r="CT156" s="5" t="s">
        <v>186</v>
      </c>
      <c r="CU156" s="1" t="s">
        <v>116</v>
      </c>
      <c r="CV156" s="1" t="s">
        <v>130</v>
      </c>
      <c r="CW156" s="144"/>
      <c r="DG156" s="143"/>
    </row>
    <row r="157" spans="1:111" ht="11.25">
      <c r="A157" s="5">
        <v>156</v>
      </c>
      <c r="B157" s="6">
        <v>46185.829143518502</v>
      </c>
      <c r="C157" s="6">
        <v>46185.830127314803</v>
      </c>
      <c r="D157" s="5" t="s">
        <v>170</v>
      </c>
      <c r="E157" s="5" t="s">
        <v>171</v>
      </c>
      <c r="F157" s="5" t="s">
        <v>171</v>
      </c>
      <c r="G157" s="5" t="s">
        <v>172</v>
      </c>
      <c r="H157" s="6">
        <v>46164</v>
      </c>
      <c r="I157" s="6" t="s">
        <v>195</v>
      </c>
      <c r="J157" s="5" t="s">
        <v>161</v>
      </c>
      <c r="K157" s="5"/>
      <c r="L157" s="5"/>
      <c r="M157" s="5" t="s">
        <v>305</v>
      </c>
      <c r="N157" s="5" t="s">
        <v>109</v>
      </c>
      <c r="O157" s="5" t="s">
        <v>136</v>
      </c>
      <c r="P157" s="5" t="s">
        <v>205</v>
      </c>
      <c r="Q157" s="5" t="s">
        <v>886</v>
      </c>
      <c r="R157" s="5"/>
      <c r="S157" s="5"/>
      <c r="T157" s="5"/>
      <c r="U157" s="5" t="s">
        <v>24</v>
      </c>
      <c r="V157" s="5"/>
      <c r="W157" s="5"/>
      <c r="X157" s="5"/>
      <c r="Y157" s="5" t="s">
        <v>190</v>
      </c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 t="s">
        <v>885</v>
      </c>
      <c r="CG157" s="5" t="s">
        <v>885</v>
      </c>
      <c r="CH157" s="5" t="s">
        <v>885</v>
      </c>
      <c r="CI157" s="5"/>
      <c r="CJ157" s="5"/>
      <c r="CK157" s="5"/>
      <c r="CL157" s="5"/>
      <c r="CR157" s="1" t="s">
        <v>149</v>
      </c>
      <c r="CS157" s="1" t="s">
        <v>181</v>
      </c>
      <c r="CT157" s="5" t="s">
        <v>186</v>
      </c>
      <c r="CU157" s="1" t="s">
        <v>116</v>
      </c>
      <c r="CV157" s="1" t="s">
        <v>130</v>
      </c>
      <c r="CW157" s="144"/>
      <c r="DG157" s="143"/>
    </row>
    <row r="158" spans="1:111" ht="11.25">
      <c r="A158" s="5">
        <v>157</v>
      </c>
      <c r="B158" s="6">
        <v>46189.449560185203</v>
      </c>
      <c r="C158" s="6">
        <v>46189.451157407399</v>
      </c>
      <c r="D158" s="5" t="s">
        <v>887</v>
      </c>
      <c r="E158" s="5" t="s">
        <v>888</v>
      </c>
      <c r="F158" s="5" t="s">
        <v>889</v>
      </c>
      <c r="G158" s="5" t="s">
        <v>890</v>
      </c>
      <c r="H158" s="6">
        <v>46148</v>
      </c>
      <c r="I158" s="6" t="s">
        <v>891</v>
      </c>
      <c r="J158" s="5" t="s">
        <v>161</v>
      </c>
      <c r="K158" s="5"/>
      <c r="L158" s="5"/>
      <c r="M158" s="5" t="s">
        <v>108</v>
      </c>
      <c r="N158" s="5" t="s">
        <v>109</v>
      </c>
      <c r="O158" s="5" t="s">
        <v>498</v>
      </c>
      <c r="P158" s="5" t="s">
        <v>892</v>
      </c>
      <c r="Q158" s="5"/>
      <c r="R158" s="5" t="s">
        <v>893</v>
      </c>
      <c r="S158" s="5"/>
      <c r="T158" s="5"/>
      <c r="U158" s="5" t="s">
        <v>23</v>
      </c>
      <c r="V158" s="5"/>
      <c r="W158" s="5"/>
      <c r="X158" s="5" t="s">
        <v>252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R158" s="1" t="s">
        <v>149</v>
      </c>
      <c r="CS158" s="1" t="s">
        <v>144</v>
      </c>
      <c r="CT158" s="5" t="s">
        <v>186</v>
      </c>
      <c r="CU158" s="1" t="s">
        <v>151</v>
      </c>
      <c r="CV158" s="1" t="s">
        <v>130</v>
      </c>
      <c r="CW158" s="144"/>
      <c r="DG158" s="143"/>
    </row>
    <row r="159" spans="1:111" ht="11.25">
      <c r="A159" s="5">
        <v>158</v>
      </c>
      <c r="B159" s="6">
        <v>46189.451203703698</v>
      </c>
      <c r="C159" s="6">
        <v>46189.454861111102</v>
      </c>
      <c r="D159" s="5" t="s">
        <v>887</v>
      </c>
      <c r="E159" s="5" t="s">
        <v>888</v>
      </c>
      <c r="F159" s="5" t="s">
        <v>894</v>
      </c>
      <c r="G159" s="5" t="s">
        <v>890</v>
      </c>
      <c r="H159" s="6">
        <v>46160</v>
      </c>
      <c r="I159" s="6" t="s">
        <v>107</v>
      </c>
      <c r="J159" s="5" t="s">
        <v>161</v>
      </c>
      <c r="K159" s="5"/>
      <c r="L159" s="5"/>
      <c r="M159" s="5" t="s">
        <v>108</v>
      </c>
      <c r="N159" s="5" t="s">
        <v>109</v>
      </c>
      <c r="O159" s="5" t="s">
        <v>498</v>
      </c>
      <c r="P159" s="5" t="s">
        <v>895</v>
      </c>
      <c r="Q159" s="5"/>
      <c r="R159" s="5"/>
      <c r="S159" s="5"/>
      <c r="T159" s="5"/>
      <c r="U159" s="5" t="s">
        <v>21</v>
      </c>
      <c r="V159" s="5" t="s">
        <v>177</v>
      </c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 t="s">
        <v>896</v>
      </c>
      <c r="AH159" s="5" t="s">
        <v>735</v>
      </c>
      <c r="AI159" s="5" t="s">
        <v>897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R159" s="1" t="s">
        <v>143</v>
      </c>
      <c r="CS159" s="1" t="s">
        <v>233</v>
      </c>
      <c r="CT159" s="5" t="s">
        <v>898</v>
      </c>
      <c r="CU159" s="1" t="s">
        <v>116</v>
      </c>
      <c r="CV159" s="1" t="s">
        <v>169</v>
      </c>
      <c r="CW159" s="144"/>
      <c r="DG159" s="143"/>
    </row>
    <row r="160" spans="1:111" ht="11.25">
      <c r="A160" s="5">
        <v>159</v>
      </c>
      <c r="B160" s="6">
        <v>46189.455173611103</v>
      </c>
      <c r="C160" s="6">
        <v>46189.456435185202</v>
      </c>
      <c r="D160" s="5" t="s">
        <v>887</v>
      </c>
      <c r="E160" s="5" t="s">
        <v>888</v>
      </c>
      <c r="F160" s="5" t="s">
        <v>889</v>
      </c>
      <c r="G160" s="5" t="s">
        <v>890</v>
      </c>
      <c r="H160" s="6">
        <v>46168</v>
      </c>
      <c r="I160" s="6" t="s">
        <v>436</v>
      </c>
      <c r="J160" s="5" t="s">
        <v>161</v>
      </c>
      <c r="K160" s="5"/>
      <c r="L160" s="5"/>
      <c r="M160" s="5" t="s">
        <v>108</v>
      </c>
      <c r="N160" s="5" t="s">
        <v>109</v>
      </c>
      <c r="O160" s="5" t="s">
        <v>498</v>
      </c>
      <c r="P160" s="5" t="s">
        <v>892</v>
      </c>
      <c r="Q160" s="5"/>
      <c r="R160" s="5" t="s">
        <v>899</v>
      </c>
      <c r="S160" s="5"/>
      <c r="T160" s="5"/>
      <c r="U160" s="5" t="s">
        <v>23</v>
      </c>
      <c r="V160" s="5"/>
      <c r="W160" s="5"/>
      <c r="X160" s="5" t="s">
        <v>252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R160" s="1" t="s">
        <v>149</v>
      </c>
      <c r="CS160" s="1" t="s">
        <v>144</v>
      </c>
      <c r="CT160" s="5" t="s">
        <v>186</v>
      </c>
      <c r="CU160" s="1" t="s">
        <v>151</v>
      </c>
      <c r="CV160" s="1" t="s">
        <v>130</v>
      </c>
      <c r="CW160" s="144"/>
      <c r="DG160" s="143"/>
    </row>
    <row r="161" spans="1:111" ht="11.25">
      <c r="A161" s="5">
        <v>160</v>
      </c>
      <c r="B161" s="6">
        <v>46189.458032407398</v>
      </c>
      <c r="C161" s="6">
        <v>46189.460729166698</v>
      </c>
      <c r="D161" s="5" t="s">
        <v>887</v>
      </c>
      <c r="E161" s="5" t="s">
        <v>888</v>
      </c>
      <c r="F161" s="5" t="s">
        <v>889</v>
      </c>
      <c r="G161" s="5" t="s">
        <v>890</v>
      </c>
      <c r="H161" s="6">
        <v>46168</v>
      </c>
      <c r="I161" s="6" t="s">
        <v>900</v>
      </c>
      <c r="J161" s="5" t="s">
        <v>161</v>
      </c>
      <c r="K161" s="5"/>
      <c r="L161" s="5"/>
      <c r="M161" s="5" t="s">
        <v>108</v>
      </c>
      <c r="N161" s="5" t="s">
        <v>109</v>
      </c>
      <c r="O161" s="5" t="s">
        <v>498</v>
      </c>
      <c r="P161" s="5" t="s">
        <v>901</v>
      </c>
      <c r="Q161" s="5"/>
      <c r="R161" s="5"/>
      <c r="S161" s="5"/>
      <c r="T161" s="5"/>
      <c r="U161" s="5" t="s">
        <v>24</v>
      </c>
      <c r="V161" s="5"/>
      <c r="W161" s="5"/>
      <c r="X161" s="5"/>
      <c r="Y161" s="5" t="s">
        <v>190</v>
      </c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 t="s">
        <v>377</v>
      </c>
      <c r="CG161" s="5" t="s">
        <v>902</v>
      </c>
      <c r="CH161" s="5" t="s">
        <v>903</v>
      </c>
      <c r="CI161" s="5"/>
      <c r="CJ161" s="5"/>
      <c r="CK161" s="5"/>
      <c r="CL161" s="5"/>
      <c r="CR161" s="1" t="s">
        <v>143</v>
      </c>
      <c r="CS161" s="1" t="s">
        <v>144</v>
      </c>
      <c r="CT161" s="5" t="s">
        <v>904</v>
      </c>
      <c r="CU161" s="1" t="s">
        <v>151</v>
      </c>
      <c r="CV161" s="1" t="s">
        <v>130</v>
      </c>
      <c r="CW161" s="144"/>
      <c r="DG161" s="143"/>
    </row>
    <row r="162" spans="1:111" ht="11.25">
      <c r="A162" s="5">
        <v>161</v>
      </c>
      <c r="B162" s="6">
        <v>46189.460775462998</v>
      </c>
      <c r="C162" s="6">
        <v>46189.462546296301</v>
      </c>
      <c r="D162" s="5" t="s">
        <v>887</v>
      </c>
      <c r="E162" s="5" t="s">
        <v>888</v>
      </c>
      <c r="F162" s="5" t="s">
        <v>889</v>
      </c>
      <c r="G162" s="5" t="s">
        <v>890</v>
      </c>
      <c r="H162" s="6">
        <v>46169</v>
      </c>
      <c r="I162" s="6" t="s">
        <v>905</v>
      </c>
      <c r="J162" s="5" t="s">
        <v>161</v>
      </c>
      <c r="K162" s="5"/>
      <c r="L162" s="5"/>
      <c r="M162" s="5" t="s">
        <v>108</v>
      </c>
      <c r="N162" s="5" t="s">
        <v>109</v>
      </c>
      <c r="O162" s="5" t="s">
        <v>498</v>
      </c>
      <c r="P162" s="5" t="s">
        <v>901</v>
      </c>
      <c r="Q162" s="5"/>
      <c r="R162" s="5"/>
      <c r="S162" s="5"/>
      <c r="T162" s="5"/>
      <c r="U162" s="5" t="s">
        <v>21</v>
      </c>
      <c r="V162" s="5" t="s">
        <v>177</v>
      </c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 t="s">
        <v>906</v>
      </c>
      <c r="AH162" s="5" t="s">
        <v>907</v>
      </c>
      <c r="AI162" s="5" t="s">
        <v>908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R162" s="1" t="s">
        <v>143</v>
      </c>
      <c r="CS162" s="1" t="s">
        <v>233</v>
      </c>
      <c r="CT162" s="5" t="s">
        <v>909</v>
      </c>
      <c r="CU162" s="1" t="s">
        <v>151</v>
      </c>
      <c r="CV162" s="1" t="s">
        <v>130</v>
      </c>
      <c r="CW162" s="144"/>
      <c r="DG162" s="143"/>
    </row>
    <row r="163" spans="1:111" ht="11.25">
      <c r="A163" s="5">
        <v>162</v>
      </c>
      <c r="B163" s="6">
        <v>46189.462581018503</v>
      </c>
      <c r="C163" s="6">
        <v>46189.465844907398</v>
      </c>
      <c r="D163" s="5" t="s">
        <v>887</v>
      </c>
      <c r="E163" s="5" t="s">
        <v>888</v>
      </c>
      <c r="F163" s="5" t="s">
        <v>894</v>
      </c>
      <c r="G163" s="5" t="s">
        <v>890</v>
      </c>
      <c r="H163" s="6">
        <v>46171</v>
      </c>
      <c r="I163" s="6" t="s">
        <v>107</v>
      </c>
      <c r="J163" s="5" t="s">
        <v>161</v>
      </c>
      <c r="K163" s="5"/>
      <c r="L163" s="5"/>
      <c r="M163" s="5" t="s">
        <v>196</v>
      </c>
      <c r="N163" s="5" t="s">
        <v>109</v>
      </c>
      <c r="O163" s="5" t="s">
        <v>498</v>
      </c>
      <c r="P163" s="5" t="s">
        <v>910</v>
      </c>
      <c r="Q163" s="5"/>
      <c r="R163" s="5"/>
      <c r="S163" s="5"/>
      <c r="T163" s="5"/>
      <c r="U163" s="5" t="s">
        <v>24</v>
      </c>
      <c r="V163" s="5"/>
      <c r="W163" s="5"/>
      <c r="X163" s="5"/>
      <c r="Y163" s="5" t="s">
        <v>911</v>
      </c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 t="s">
        <v>912</v>
      </c>
      <c r="AQ163" s="5" t="s">
        <v>913</v>
      </c>
      <c r="AR163" s="5" t="s">
        <v>914</v>
      </c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R163" s="1" t="s">
        <v>143</v>
      </c>
      <c r="CS163" s="1" t="s">
        <v>915</v>
      </c>
      <c r="CT163" s="5" t="s">
        <v>916</v>
      </c>
      <c r="CU163" s="1" t="s">
        <v>151</v>
      </c>
      <c r="CV163" s="1" t="s">
        <v>169</v>
      </c>
      <c r="CW163" s="144"/>
      <c r="DG163" s="143"/>
    </row>
    <row r="164" spans="1:111" ht="11.25">
      <c r="A164" s="5">
        <v>163</v>
      </c>
      <c r="B164" s="6">
        <v>46189.465868055602</v>
      </c>
      <c r="C164" s="6">
        <v>46189.468692129602</v>
      </c>
      <c r="D164" s="5" t="s">
        <v>887</v>
      </c>
      <c r="E164" s="5" t="s">
        <v>888</v>
      </c>
      <c r="F164" s="5" t="s">
        <v>894</v>
      </c>
      <c r="G164" s="5" t="s">
        <v>890</v>
      </c>
      <c r="H164" s="6">
        <v>46171</v>
      </c>
      <c r="I164" s="6" t="s">
        <v>135</v>
      </c>
      <c r="J164" s="5" t="s">
        <v>161</v>
      </c>
      <c r="K164" s="5"/>
      <c r="L164" s="5"/>
      <c r="M164" s="5" t="s">
        <v>108</v>
      </c>
      <c r="N164" s="5" t="s">
        <v>109</v>
      </c>
      <c r="O164" s="5" t="s">
        <v>498</v>
      </c>
      <c r="P164" s="5" t="s">
        <v>917</v>
      </c>
      <c r="Q164" s="5"/>
      <c r="R164" s="5"/>
      <c r="S164" s="5"/>
      <c r="T164" s="5"/>
      <c r="U164" s="5" t="s">
        <v>22</v>
      </c>
      <c r="V164" s="5"/>
      <c r="W164" s="5" t="s">
        <v>146</v>
      </c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 t="s">
        <v>918</v>
      </c>
      <c r="BL164" s="5" t="s">
        <v>236</v>
      </c>
      <c r="BM164" s="5" t="s">
        <v>185</v>
      </c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R164" s="1" t="s">
        <v>149</v>
      </c>
      <c r="CS164" s="1" t="s">
        <v>661</v>
      </c>
      <c r="CT164" s="5" t="s">
        <v>919</v>
      </c>
      <c r="CU164" s="1" t="s">
        <v>151</v>
      </c>
      <c r="CV164" s="1" t="s">
        <v>130</v>
      </c>
      <c r="CW164" s="144"/>
      <c r="DG164" s="143"/>
    </row>
    <row r="165" spans="1:111" ht="11.25">
      <c r="A165" s="5">
        <v>164</v>
      </c>
      <c r="B165" s="6">
        <v>46197.3484606481</v>
      </c>
      <c r="C165" s="6">
        <v>46197.352986111102</v>
      </c>
      <c r="D165" s="5" t="s">
        <v>775</v>
      </c>
      <c r="E165" s="5" t="s">
        <v>776</v>
      </c>
      <c r="F165" s="5" t="s">
        <v>776</v>
      </c>
      <c r="G165" s="5" t="s">
        <v>777</v>
      </c>
      <c r="H165" s="6">
        <v>46189</v>
      </c>
      <c r="I165" s="6" t="s">
        <v>436</v>
      </c>
      <c r="J165" s="5" t="s">
        <v>161</v>
      </c>
      <c r="K165" s="5"/>
      <c r="L165" s="5"/>
      <c r="M165" s="5" t="s">
        <v>108</v>
      </c>
      <c r="N165" s="5" t="s">
        <v>248</v>
      </c>
      <c r="O165" s="5" t="s">
        <v>772</v>
      </c>
      <c r="P165" s="5" t="s">
        <v>920</v>
      </c>
      <c r="Q165" s="5" t="s">
        <v>921</v>
      </c>
      <c r="R165" s="5"/>
      <c r="S165" s="5"/>
      <c r="T165" s="5"/>
      <c r="U165" s="5" t="s">
        <v>22</v>
      </c>
      <c r="V165" s="5"/>
      <c r="W165" s="5" t="s">
        <v>302</v>
      </c>
      <c r="X165" s="5"/>
      <c r="Y165" s="5"/>
      <c r="Z165" s="5"/>
      <c r="AA165" s="5" t="s">
        <v>922</v>
      </c>
      <c r="AB165" s="5" t="s">
        <v>823</v>
      </c>
      <c r="AC165" s="5" t="s">
        <v>923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R165" s="1" t="s">
        <v>149</v>
      </c>
      <c r="CS165" s="1" t="s">
        <v>478</v>
      </c>
      <c r="CT165" s="5" t="s">
        <v>924</v>
      </c>
      <c r="CU165" s="1" t="s">
        <v>151</v>
      </c>
      <c r="CV165" s="1" t="s">
        <v>130</v>
      </c>
      <c r="CW165" s="144"/>
      <c r="DG165" s="143"/>
    </row>
    <row r="166" spans="1:111" ht="11.25">
      <c r="A166" s="5">
        <v>165</v>
      </c>
      <c r="B166" s="6">
        <v>46197.353067129603</v>
      </c>
      <c r="C166" s="6">
        <v>46197.355312500003</v>
      </c>
      <c r="D166" s="5" t="s">
        <v>775</v>
      </c>
      <c r="E166" s="5" t="s">
        <v>776</v>
      </c>
      <c r="F166" s="5" t="s">
        <v>776</v>
      </c>
      <c r="G166" s="5" t="s">
        <v>777</v>
      </c>
      <c r="H166" s="6">
        <v>46185</v>
      </c>
      <c r="I166" s="6" t="s">
        <v>135</v>
      </c>
      <c r="J166" s="5" t="s">
        <v>187</v>
      </c>
      <c r="K166" s="5" t="s">
        <v>925</v>
      </c>
      <c r="L166" s="5"/>
      <c r="M166" s="5" t="s">
        <v>108</v>
      </c>
      <c r="N166" s="5" t="s">
        <v>123</v>
      </c>
      <c r="O166" s="5" t="s">
        <v>772</v>
      </c>
      <c r="P166" s="5"/>
      <c r="Q166" s="5" t="s">
        <v>926</v>
      </c>
      <c r="R166" s="5"/>
      <c r="S166" s="5"/>
      <c r="T166" s="5"/>
      <c r="U166" s="5" t="s">
        <v>22</v>
      </c>
      <c r="V166" s="5"/>
      <c r="W166" s="5" t="s">
        <v>302</v>
      </c>
      <c r="X166" s="5"/>
      <c r="Y166" s="5"/>
      <c r="Z166" s="5"/>
      <c r="AA166" s="5" t="s">
        <v>927</v>
      </c>
      <c r="AB166" s="5" t="s">
        <v>141</v>
      </c>
      <c r="AC166" s="5" t="s">
        <v>928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R166" s="1" t="s">
        <v>149</v>
      </c>
      <c r="CS166" s="1" t="s">
        <v>478</v>
      </c>
      <c r="CT166" s="5" t="s">
        <v>929</v>
      </c>
      <c r="CU166" s="1" t="s">
        <v>151</v>
      </c>
      <c r="CV166" s="1" t="s">
        <v>130</v>
      </c>
      <c r="CW166" s="144"/>
      <c r="DG166" s="143"/>
    </row>
    <row r="167" spans="1:111" ht="11.25">
      <c r="A167" s="5"/>
      <c r="B167" s="6"/>
      <c r="C167" s="6"/>
      <c r="D167" s="5"/>
      <c r="E167" s="5"/>
      <c r="F167" s="5"/>
      <c r="G167" s="5"/>
      <c r="H167" s="6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T167" s="5"/>
      <c r="CW167" s="144"/>
      <c r="DG167" s="143"/>
    </row>
    <row r="168" spans="1:111" ht="11.25">
      <c r="A168" s="5"/>
      <c r="B168" s="6"/>
      <c r="C168" s="6"/>
      <c r="D168" s="5"/>
      <c r="E168" s="5"/>
      <c r="F168" s="5"/>
      <c r="G168" s="5"/>
      <c r="H168" s="6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T168" s="5"/>
      <c r="CW168" s="144"/>
      <c r="DG168" s="143"/>
    </row>
    <row r="169" spans="1:111" ht="11.25">
      <c r="A169" s="5"/>
      <c r="B169" s="6"/>
      <c r="C169" s="6"/>
      <c r="D169" s="5"/>
      <c r="E169" s="5"/>
      <c r="F169" s="5"/>
      <c r="G169" s="5"/>
      <c r="H169" s="6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T169" s="5"/>
      <c r="CW169" s="144"/>
      <c r="DG169" s="143"/>
    </row>
    <row r="170" spans="1:111" ht="11.25">
      <c r="A170" s="5"/>
      <c r="B170" s="6"/>
      <c r="C170" s="6"/>
      <c r="D170" s="5"/>
      <c r="E170" s="5"/>
      <c r="F170" s="5"/>
      <c r="G170" s="5"/>
      <c r="H170" s="6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T170" s="5"/>
      <c r="CW170" s="144"/>
      <c r="DG170" s="143"/>
    </row>
    <row r="171" spans="1:111" ht="11.25">
      <c r="A171" s="5"/>
      <c r="B171" s="6"/>
      <c r="C171" s="6"/>
      <c r="D171" s="5"/>
      <c r="E171" s="5"/>
      <c r="F171" s="5"/>
      <c r="G171" s="5"/>
      <c r="H171" s="6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T171" s="5"/>
      <c r="CW171" s="144"/>
      <c r="DG171" s="143"/>
    </row>
    <row r="172" spans="1:111" ht="11.25">
      <c r="A172" s="5"/>
      <c r="B172" s="6"/>
      <c r="C172" s="6"/>
      <c r="D172" s="5"/>
      <c r="E172" s="5"/>
      <c r="F172" s="5"/>
      <c r="G172" s="5"/>
      <c r="H172" s="6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T172" s="5"/>
      <c r="CW172" s="144"/>
      <c r="DG172" s="143"/>
    </row>
    <row r="173" spans="1:111" ht="11.25">
      <c r="A173" s="5"/>
      <c r="B173" s="6"/>
      <c r="C173" s="6"/>
      <c r="D173" s="5"/>
      <c r="E173" s="5"/>
      <c r="F173" s="5"/>
      <c r="G173" s="5"/>
      <c r="H173" s="6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T173" s="5"/>
      <c r="CW173" s="144"/>
      <c r="DG173" s="143"/>
    </row>
    <row r="174" spans="1:111" ht="11.25">
      <c r="A174" s="5"/>
      <c r="B174" s="6"/>
      <c r="C174" s="6"/>
      <c r="D174" s="5"/>
      <c r="E174" s="5"/>
      <c r="F174" s="5"/>
      <c r="G174" s="5"/>
      <c r="H174" s="6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T174" s="5"/>
      <c r="CW174" s="144"/>
      <c r="DG174" s="143"/>
    </row>
    <row r="175" spans="1:111" ht="11.25">
      <c r="A175" s="5"/>
      <c r="B175" s="6"/>
      <c r="C175" s="6"/>
      <c r="D175" s="5"/>
      <c r="E175" s="5"/>
      <c r="F175" s="5"/>
      <c r="G175" s="5"/>
      <c r="H175" s="6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T175" s="5"/>
      <c r="CW175" s="144"/>
      <c r="DG175" s="143"/>
    </row>
    <row r="176" spans="1:111" ht="11.25">
      <c r="A176" s="5"/>
      <c r="B176" s="6"/>
      <c r="C176" s="6"/>
      <c r="D176" s="5"/>
      <c r="E176" s="5"/>
      <c r="F176" s="5"/>
      <c r="G176" s="5"/>
      <c r="H176" s="6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T176" s="5"/>
      <c r="CW176" s="144"/>
      <c r="DG176" s="143"/>
    </row>
    <row r="177" spans="1:111" ht="11.25">
      <c r="A177" s="5"/>
      <c r="B177" s="6"/>
      <c r="C177" s="6"/>
      <c r="D177" s="5"/>
      <c r="E177" s="5"/>
      <c r="F177" s="5"/>
      <c r="G177" s="5"/>
      <c r="H177" s="6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T177" s="5"/>
      <c r="CW177" s="144"/>
      <c r="DG177" s="143"/>
    </row>
    <row r="178" spans="1:111" ht="11.25">
      <c r="A178" s="5"/>
      <c r="B178" s="6"/>
      <c r="C178" s="6"/>
      <c r="D178" s="5"/>
      <c r="E178" s="5"/>
      <c r="F178" s="5"/>
      <c r="G178" s="5"/>
      <c r="H178" s="6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T178" s="5"/>
      <c r="CW178" s="144"/>
      <c r="DG178" s="143"/>
    </row>
    <row r="179" spans="1:111" ht="11.25">
      <c r="A179" s="5"/>
      <c r="B179" s="6"/>
      <c r="C179" s="6"/>
      <c r="D179" s="5"/>
      <c r="E179" s="5"/>
      <c r="F179" s="5"/>
      <c r="G179" s="5"/>
      <c r="H179" s="6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T179" s="5"/>
      <c r="CW179" s="144"/>
      <c r="DG179" s="143"/>
    </row>
    <row r="180" spans="1:111" ht="11.25">
      <c r="A180" s="5"/>
      <c r="B180" s="6"/>
      <c r="C180" s="6"/>
      <c r="D180" s="5"/>
      <c r="E180" s="5"/>
      <c r="F180" s="5"/>
      <c r="G180" s="5"/>
      <c r="H180" s="6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T180" s="5"/>
      <c r="CW180" s="144"/>
      <c r="DG180" s="143"/>
    </row>
    <row r="181" spans="1:111" ht="11.25">
      <c r="A181" s="5"/>
      <c r="B181" s="6"/>
      <c r="C181" s="6"/>
      <c r="D181" s="5"/>
      <c r="E181" s="5"/>
      <c r="F181" s="5"/>
      <c r="G181" s="5"/>
      <c r="H181" s="6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T181" s="5"/>
      <c r="CW181" s="144"/>
      <c r="DG181" s="143"/>
    </row>
    <row r="182" spans="1:111" ht="11.25">
      <c r="A182" s="5"/>
      <c r="B182" s="6"/>
      <c r="C182" s="6"/>
      <c r="D182" s="5"/>
      <c r="E182" s="5"/>
      <c r="F182" s="5"/>
      <c r="G182" s="5"/>
      <c r="H182" s="6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T182" s="5"/>
      <c r="CW182" s="144"/>
      <c r="DG182" s="143"/>
    </row>
    <row r="183" spans="1:111" ht="11.25">
      <c r="A183" s="5"/>
      <c r="B183" s="6"/>
      <c r="C183" s="6"/>
      <c r="D183" s="5"/>
      <c r="E183" s="5"/>
      <c r="F183" s="5"/>
      <c r="G183" s="5"/>
      <c r="H183" s="6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T183" s="5"/>
      <c r="CW183" s="144"/>
      <c r="DG183" s="143"/>
    </row>
    <row r="184" spans="1:111" ht="11.25">
      <c r="A184" s="5"/>
      <c r="B184" s="6"/>
      <c r="C184" s="6"/>
      <c r="D184" s="5"/>
      <c r="E184" s="5"/>
      <c r="F184" s="5"/>
      <c r="G184" s="5"/>
      <c r="H184" s="6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T184" s="5"/>
      <c r="CW184" s="144"/>
      <c r="DG184" s="143"/>
    </row>
    <row r="185" spans="1:111" ht="11.25">
      <c r="A185" s="5"/>
      <c r="B185" s="6"/>
      <c r="C185" s="6"/>
      <c r="D185" s="5"/>
      <c r="E185" s="5"/>
      <c r="F185" s="5"/>
      <c r="G185" s="5"/>
      <c r="H185" s="6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T185" s="5"/>
      <c r="CW185" s="144"/>
      <c r="DG185" s="143"/>
    </row>
    <row r="186" spans="1:111" ht="11.25">
      <c r="A186" s="5"/>
      <c r="B186" s="6"/>
      <c r="C186" s="6"/>
      <c r="D186" s="5"/>
      <c r="E186" s="5"/>
      <c r="F186" s="5"/>
      <c r="G186" s="5"/>
      <c r="H186" s="6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T186" s="5"/>
      <c r="CW186" s="144"/>
      <c r="DG186" s="143"/>
    </row>
    <row r="187" spans="1:111" ht="11.25">
      <c r="A187" s="5"/>
      <c r="B187" s="6"/>
      <c r="C187" s="6"/>
      <c r="D187" s="5"/>
      <c r="E187" s="5"/>
      <c r="F187" s="5"/>
      <c r="G187" s="5"/>
      <c r="H187" s="6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T187" s="5"/>
      <c r="CW187" s="144"/>
      <c r="DG187" s="143"/>
    </row>
    <row r="188" spans="1:111" ht="11.25">
      <c r="A188" s="5"/>
      <c r="B188" s="6"/>
      <c r="C188" s="6"/>
      <c r="D188" s="5"/>
      <c r="E188" s="5"/>
      <c r="F188" s="5"/>
      <c r="G188" s="5"/>
      <c r="H188" s="6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T188" s="5"/>
      <c r="CW188" s="144"/>
      <c r="DG188" s="143"/>
    </row>
    <row r="189" spans="1:111" ht="11.25">
      <c r="A189" s="5"/>
      <c r="B189" s="6"/>
      <c r="C189" s="6"/>
      <c r="D189" s="5"/>
      <c r="E189" s="5"/>
      <c r="F189" s="5"/>
      <c r="G189" s="5"/>
      <c r="H189" s="6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T189" s="5"/>
      <c r="CW189" s="144"/>
      <c r="DG189" s="143"/>
    </row>
    <row r="190" spans="1:111" ht="11.25">
      <c r="A190" s="5"/>
      <c r="B190" s="6"/>
      <c r="C190" s="6"/>
      <c r="D190" s="5"/>
      <c r="E190" s="5"/>
      <c r="F190" s="5"/>
      <c r="G190" s="5"/>
      <c r="H190" s="6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T190" s="5"/>
      <c r="CW190" s="144"/>
      <c r="DG190" s="143"/>
    </row>
    <row r="191" spans="1:111" ht="11.25">
      <c r="A191" s="5"/>
      <c r="B191" s="6"/>
      <c r="C191" s="6"/>
      <c r="D191" s="5"/>
      <c r="E191" s="5"/>
      <c r="F191" s="5"/>
      <c r="G191" s="5"/>
      <c r="H191" s="6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T191" s="5"/>
      <c r="CW191" s="144"/>
      <c r="DG191" s="143"/>
    </row>
    <row r="192" spans="1:111" ht="11.25">
      <c r="A192" s="5"/>
      <c r="B192" s="6"/>
      <c r="C192" s="6"/>
      <c r="D192" s="5"/>
      <c r="E192" s="5"/>
      <c r="F192" s="5"/>
      <c r="G192" s="5"/>
      <c r="H192" s="6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T192" s="5"/>
      <c r="CW192" s="144"/>
      <c r="DG192" s="143"/>
    </row>
    <row r="193" spans="1:111" ht="11.25">
      <c r="A193" s="5"/>
      <c r="B193" s="6"/>
      <c r="C193" s="6"/>
      <c r="D193" s="5"/>
      <c r="E193" s="5"/>
      <c r="F193" s="5"/>
      <c r="G193" s="5"/>
      <c r="H193" s="6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T193" s="5"/>
      <c r="CW193" s="144"/>
      <c r="DG193" s="143"/>
    </row>
    <row r="194" spans="1:111" ht="11.25">
      <c r="A194" s="5"/>
      <c r="B194" s="6"/>
      <c r="C194" s="6"/>
      <c r="D194" s="5"/>
      <c r="E194" s="5"/>
      <c r="F194" s="5"/>
      <c r="G194" s="5"/>
      <c r="H194" s="6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T194" s="5"/>
      <c r="CW194" s="144"/>
      <c r="DG194" s="143"/>
    </row>
    <row r="195" spans="1:111" ht="11.25">
      <c r="A195" s="5"/>
      <c r="B195" s="6"/>
      <c r="C195" s="6"/>
      <c r="D195" s="5"/>
      <c r="E195" s="5"/>
      <c r="F195" s="5"/>
      <c r="G195" s="5"/>
      <c r="H195" s="6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T195" s="5"/>
      <c r="CW195" s="144"/>
      <c r="DG195" s="143"/>
    </row>
    <row r="196" spans="1:111" ht="11.25">
      <c r="A196" s="5"/>
      <c r="B196" s="6"/>
      <c r="C196" s="6"/>
      <c r="D196" s="5"/>
      <c r="E196" s="5"/>
      <c r="F196" s="5"/>
      <c r="G196" s="5"/>
      <c r="H196" s="6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T196" s="5"/>
      <c r="CW196" s="144"/>
      <c r="DG196" s="143"/>
    </row>
    <row r="197" spans="1:111" ht="11.25">
      <c r="A197" s="5"/>
      <c r="B197" s="6"/>
      <c r="C197" s="6"/>
      <c r="D197" s="5"/>
      <c r="E197" s="5"/>
      <c r="F197" s="5"/>
      <c r="G197" s="5"/>
      <c r="H197" s="6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T197" s="5"/>
      <c r="CW197" s="144"/>
      <c r="DG197" s="143"/>
    </row>
    <row r="198" spans="1:111" ht="11.25">
      <c r="A198" s="5"/>
      <c r="B198" s="6"/>
      <c r="C198" s="6"/>
      <c r="D198" s="5"/>
      <c r="E198" s="5"/>
      <c r="F198" s="5"/>
      <c r="G198" s="5"/>
      <c r="H198" s="6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T198" s="5"/>
      <c r="CW198" s="144"/>
      <c r="DG198" s="143"/>
    </row>
    <row r="199" spans="1:111" ht="11.25">
      <c r="A199" s="5"/>
      <c r="B199" s="6"/>
      <c r="C199" s="6"/>
      <c r="D199" s="5"/>
      <c r="E199" s="5"/>
      <c r="F199" s="5"/>
      <c r="G199" s="5"/>
      <c r="H199" s="6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T199" s="5"/>
      <c r="CW199" s="144"/>
      <c r="DG199" s="143"/>
    </row>
    <row r="200" spans="1:111" ht="11.25">
      <c r="A200" s="5"/>
      <c r="B200" s="6"/>
      <c r="C200" s="6"/>
      <c r="D200" s="5"/>
      <c r="E200" s="5"/>
      <c r="F200" s="5"/>
      <c r="G200" s="5"/>
      <c r="H200" s="6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T200" s="5"/>
      <c r="CW200" s="144"/>
      <c r="DG200" s="143"/>
    </row>
    <row r="201" spans="1:111" ht="11.25">
      <c r="A201" s="5"/>
      <c r="B201" s="6"/>
      <c r="C201" s="6"/>
      <c r="D201" s="5"/>
      <c r="E201" s="5"/>
      <c r="F201" s="5"/>
      <c r="G201" s="5"/>
      <c r="H201" s="6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T201" s="5"/>
      <c r="CW201" s="144"/>
      <c r="DG201" s="143"/>
    </row>
    <row r="202" spans="1:111" ht="11.25">
      <c r="A202" s="5"/>
      <c r="B202" s="6"/>
      <c r="C202" s="6"/>
      <c r="D202" s="5"/>
      <c r="E202" s="5"/>
      <c r="F202" s="5"/>
      <c r="G202" s="5"/>
      <c r="H202" s="6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T202" s="5"/>
      <c r="CW202" s="144"/>
      <c r="DG202" s="143"/>
    </row>
    <row r="203" spans="1:111" ht="11.25">
      <c r="A203" s="5"/>
      <c r="B203" s="6"/>
      <c r="C203" s="6"/>
      <c r="D203" s="5"/>
      <c r="E203" s="5"/>
      <c r="F203" s="5"/>
      <c r="G203" s="5"/>
      <c r="H203" s="6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T203" s="5"/>
      <c r="CW203" s="144"/>
      <c r="DG203" s="143"/>
    </row>
    <row r="204" spans="1:111" ht="11.25">
      <c r="A204" s="5"/>
      <c r="B204" s="6"/>
      <c r="C204" s="6"/>
      <c r="D204" s="5"/>
      <c r="E204" s="5"/>
      <c r="F204" s="5"/>
      <c r="G204" s="5"/>
      <c r="H204" s="6"/>
      <c r="I204" s="6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T204" s="5"/>
      <c r="CW204" s="144"/>
      <c r="DG204" s="143"/>
    </row>
    <row r="205" spans="1:111" ht="11.25">
      <c r="A205" s="5"/>
      <c r="B205" s="6"/>
      <c r="C205" s="6"/>
      <c r="D205" s="5"/>
      <c r="E205" s="5"/>
      <c r="F205" s="5"/>
      <c r="G205" s="5"/>
      <c r="H205" s="6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T205" s="5"/>
      <c r="CW205" s="144"/>
      <c r="DG205" s="143"/>
    </row>
    <row r="206" spans="1:111" ht="11.25">
      <c r="A206" s="5"/>
      <c r="B206" s="6"/>
      <c r="C206" s="6"/>
      <c r="D206" s="5"/>
      <c r="E206" s="5"/>
      <c r="F206" s="5"/>
      <c r="G206" s="5"/>
      <c r="H206" s="6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T206" s="5"/>
      <c r="CW206" s="144"/>
      <c r="DG206" s="143"/>
    </row>
    <row r="207" spans="1:111" ht="11.25">
      <c r="A207" s="5"/>
      <c r="B207" s="6"/>
      <c r="C207" s="6"/>
      <c r="D207" s="5"/>
      <c r="E207" s="5"/>
      <c r="F207" s="5"/>
      <c r="G207" s="5"/>
      <c r="H207" s="6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T207" s="5"/>
      <c r="CW207" s="144"/>
      <c r="DG207" s="143"/>
    </row>
    <row r="208" spans="1:111" ht="11.25">
      <c r="A208" s="5"/>
      <c r="B208" s="6"/>
      <c r="C208" s="6"/>
      <c r="D208" s="5"/>
      <c r="E208" s="5"/>
      <c r="F208" s="5"/>
      <c r="G208" s="5"/>
      <c r="H208" s="6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T208" s="5"/>
      <c r="CW208" s="144"/>
      <c r="DG208" s="143"/>
    </row>
    <row r="209" spans="1:111" ht="11.25">
      <c r="A209" s="5"/>
      <c r="B209" s="6"/>
      <c r="C209" s="6"/>
      <c r="D209" s="5"/>
      <c r="E209" s="5"/>
      <c r="F209" s="5"/>
      <c r="G209" s="5"/>
      <c r="H209" s="6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T209" s="5"/>
      <c r="CW209" s="144"/>
      <c r="DG209" s="143"/>
    </row>
    <row r="210" spans="1:111" ht="11.25">
      <c r="A210" s="5"/>
      <c r="B210" s="6"/>
      <c r="C210" s="6"/>
      <c r="D210" s="5"/>
      <c r="E210" s="5"/>
      <c r="F210" s="5"/>
      <c r="G210" s="5"/>
      <c r="H210" s="6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T210" s="5"/>
      <c r="CW210" s="144"/>
      <c r="DG210" s="143"/>
    </row>
    <row r="211" spans="1:111" ht="11.25">
      <c r="A211" s="5"/>
      <c r="B211" s="6"/>
      <c r="C211" s="6"/>
      <c r="D211" s="5"/>
      <c r="E211" s="5"/>
      <c r="F211" s="5"/>
      <c r="G211" s="5"/>
      <c r="H211" s="6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T211" s="5"/>
      <c r="CW211" s="144"/>
      <c r="DG211" s="143"/>
    </row>
    <row r="212" spans="1:111" ht="11.25">
      <c r="A212" s="5"/>
      <c r="B212" s="6"/>
      <c r="C212" s="6"/>
      <c r="D212" s="5"/>
      <c r="E212" s="5"/>
      <c r="F212" s="5"/>
      <c r="G212" s="5"/>
      <c r="H212" s="6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T212" s="5"/>
      <c r="CW212" s="144"/>
      <c r="DG212" s="143"/>
    </row>
    <row r="213" spans="1:111" ht="11.25">
      <c r="A213" s="5"/>
      <c r="B213" s="6"/>
      <c r="C213" s="6"/>
      <c r="D213" s="5"/>
      <c r="E213" s="5"/>
      <c r="F213" s="5"/>
      <c r="G213" s="5"/>
      <c r="H213" s="6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T213" s="5"/>
      <c r="CW213" s="144"/>
      <c r="DG213" s="143"/>
    </row>
    <row r="214" spans="1:111" ht="11.25">
      <c r="A214" s="5"/>
      <c r="B214" s="6"/>
      <c r="C214" s="6"/>
      <c r="D214" s="5"/>
      <c r="E214" s="5"/>
      <c r="F214" s="5"/>
      <c r="G214" s="5"/>
      <c r="H214" s="6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T214" s="5"/>
      <c r="CW214" s="144"/>
      <c r="DG214" s="143"/>
    </row>
    <row r="215" spans="1:111" ht="11.25">
      <c r="A215" s="5"/>
      <c r="B215" s="6"/>
      <c r="C215" s="6"/>
      <c r="D215" s="5"/>
      <c r="E215" s="5"/>
      <c r="F215" s="5"/>
      <c r="G215" s="5"/>
      <c r="H215" s="6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T215" s="5"/>
      <c r="CW215" s="144"/>
      <c r="DG215" s="143"/>
    </row>
    <row r="216" spans="1:111" ht="11.25">
      <c r="A216" s="5"/>
      <c r="B216" s="6"/>
      <c r="C216" s="6"/>
      <c r="D216" s="5"/>
      <c r="E216" s="5"/>
      <c r="F216" s="5"/>
      <c r="G216" s="5"/>
      <c r="H216" s="6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T216" s="5"/>
      <c r="CW216" s="144"/>
      <c r="DG216" s="143"/>
    </row>
    <row r="217" spans="1:111" ht="11.25">
      <c r="A217" s="5"/>
      <c r="B217" s="6"/>
      <c r="C217" s="6"/>
      <c r="D217" s="5"/>
      <c r="E217" s="5"/>
      <c r="F217" s="5"/>
      <c r="G217" s="5"/>
      <c r="H217" s="6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T217" s="5"/>
      <c r="CW217" s="144"/>
      <c r="DG217" s="143"/>
    </row>
    <row r="218" spans="1:111" ht="11.25">
      <c r="A218" s="5"/>
      <c r="B218" s="6"/>
      <c r="C218" s="6"/>
      <c r="D218" s="5"/>
      <c r="E218" s="5"/>
      <c r="F218" s="5"/>
      <c r="G218" s="5"/>
      <c r="H218" s="6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T218" s="5"/>
      <c r="CW218" s="144"/>
      <c r="DG218" s="143"/>
    </row>
    <row r="219" spans="1:111" ht="11.25">
      <c r="A219" s="5"/>
      <c r="B219" s="6"/>
      <c r="C219" s="6"/>
      <c r="D219" s="5"/>
      <c r="E219" s="5"/>
      <c r="F219" s="5"/>
      <c r="G219" s="5"/>
      <c r="H219" s="6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T219" s="5"/>
      <c r="CW219" s="144"/>
      <c r="DG219" s="143"/>
    </row>
    <row r="220" spans="1:111" ht="11.25">
      <c r="A220" s="5"/>
      <c r="B220" s="6"/>
      <c r="C220" s="6"/>
      <c r="D220" s="5"/>
      <c r="E220" s="5"/>
      <c r="F220" s="5"/>
      <c r="G220" s="5"/>
      <c r="H220" s="6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T220" s="5"/>
      <c r="CW220" s="144"/>
      <c r="DG220" s="143"/>
    </row>
    <row r="221" spans="1:111" ht="11.25">
      <c r="A221" s="5"/>
      <c r="B221" s="6"/>
      <c r="C221" s="6"/>
      <c r="D221" s="5"/>
      <c r="E221" s="5"/>
      <c r="F221" s="5"/>
      <c r="G221" s="5"/>
      <c r="H221" s="6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T221" s="5"/>
      <c r="CW221" s="144"/>
      <c r="DG221" s="143"/>
    </row>
    <row r="222" spans="1:111" ht="11.25">
      <c r="A222" s="5"/>
      <c r="B222" s="6"/>
      <c r="C222" s="6"/>
      <c r="D222" s="5"/>
      <c r="E222" s="5"/>
      <c r="F222" s="5"/>
      <c r="G222" s="5"/>
      <c r="H222" s="6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T222" s="5"/>
      <c r="CW222" s="144"/>
      <c r="DG222" s="143"/>
    </row>
    <row r="223" spans="1:111" ht="11.25">
      <c r="A223" s="5"/>
      <c r="B223" s="6"/>
      <c r="C223" s="6"/>
      <c r="D223" s="5"/>
      <c r="E223" s="5"/>
      <c r="F223" s="5"/>
      <c r="G223" s="5"/>
      <c r="H223" s="6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T223" s="5"/>
      <c r="CW223" s="144"/>
      <c r="DG223" s="143"/>
    </row>
    <row r="224" spans="1:111" ht="11.25">
      <c r="A224" s="5"/>
      <c r="B224" s="6"/>
      <c r="C224" s="6"/>
      <c r="D224" s="5"/>
      <c r="E224" s="5"/>
      <c r="F224" s="5"/>
      <c r="G224" s="5"/>
      <c r="H224" s="6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T224" s="5"/>
      <c r="CW224" s="144"/>
      <c r="DG224" s="143"/>
    </row>
    <row r="225" spans="1:111" ht="11.25">
      <c r="A225" s="5"/>
      <c r="B225" s="6"/>
      <c r="C225" s="6"/>
      <c r="D225" s="5"/>
      <c r="E225" s="5"/>
      <c r="F225" s="5"/>
      <c r="G225" s="5"/>
      <c r="H225" s="6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T225" s="5"/>
      <c r="CW225" s="144"/>
      <c r="DG225" s="143"/>
    </row>
    <row r="226" spans="1:111" ht="11.25">
      <c r="A226" s="5"/>
      <c r="B226" s="6"/>
      <c r="C226" s="6"/>
      <c r="D226" s="5"/>
      <c r="E226" s="5"/>
      <c r="F226" s="5"/>
      <c r="G226" s="5"/>
      <c r="H226" s="6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T226" s="5"/>
      <c r="CW226" s="144"/>
      <c r="DG226" s="143"/>
    </row>
    <row r="227" spans="1:111" ht="11.25">
      <c r="A227" s="5"/>
      <c r="B227" s="6"/>
      <c r="C227" s="6"/>
      <c r="D227" s="5"/>
      <c r="E227" s="5"/>
      <c r="F227" s="5"/>
      <c r="G227" s="5"/>
      <c r="H227" s="6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T227" s="5"/>
      <c r="CW227" s="144"/>
      <c r="DG227" s="143"/>
    </row>
    <row r="228" spans="1:111" ht="11.25">
      <c r="A228" s="5"/>
      <c r="B228" s="6"/>
      <c r="C228" s="6"/>
      <c r="D228" s="5"/>
      <c r="E228" s="5"/>
      <c r="F228" s="5"/>
      <c r="G228" s="5"/>
      <c r="H228" s="6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T228" s="5"/>
      <c r="CW228" s="144"/>
      <c r="DG228" s="143"/>
    </row>
    <row r="229" spans="1:111" ht="11.25">
      <c r="A229" s="5"/>
      <c r="B229" s="6"/>
      <c r="C229" s="6"/>
      <c r="D229" s="5"/>
      <c r="E229" s="5"/>
      <c r="F229" s="5"/>
      <c r="G229" s="5"/>
      <c r="H229" s="6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T229" s="5"/>
      <c r="CW229" s="144"/>
      <c r="DG229" s="143"/>
    </row>
    <row r="230" spans="1:111" ht="11.25">
      <c r="A230" s="5"/>
      <c r="B230" s="6"/>
      <c r="C230" s="6"/>
      <c r="D230" s="5"/>
      <c r="E230" s="5"/>
      <c r="F230" s="5"/>
      <c r="G230" s="5"/>
      <c r="H230" s="6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T230" s="5"/>
      <c r="CW230" s="144"/>
      <c r="DG230" s="143"/>
    </row>
    <row r="231" spans="1:111" ht="11.25">
      <c r="A231" s="5"/>
      <c r="B231" s="6"/>
      <c r="C231" s="6"/>
      <c r="D231" s="5"/>
      <c r="E231" s="5"/>
      <c r="F231" s="5"/>
      <c r="G231" s="5"/>
      <c r="H231" s="6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T231" s="5"/>
      <c r="CW231" s="144"/>
      <c r="DG231" s="143"/>
    </row>
    <row r="232" spans="1:111" ht="11.25">
      <c r="A232" s="5"/>
      <c r="B232" s="6"/>
      <c r="C232" s="6"/>
      <c r="D232" s="5"/>
      <c r="E232" s="5"/>
      <c r="F232" s="5"/>
      <c r="G232" s="5"/>
      <c r="H232" s="6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T232" s="5"/>
      <c r="CW232" s="144"/>
      <c r="DG232" s="143"/>
    </row>
    <row r="233" spans="1:111" ht="11.25">
      <c r="A233" s="5"/>
      <c r="B233" s="6"/>
      <c r="C233" s="6"/>
      <c r="D233" s="5"/>
      <c r="E233" s="5"/>
      <c r="F233" s="5"/>
      <c r="G233" s="5"/>
      <c r="H233" s="6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T233" s="5"/>
      <c r="CW233" s="144"/>
      <c r="DG233" s="143"/>
    </row>
    <row r="234" spans="1:111" ht="11.25">
      <c r="A234" s="5"/>
      <c r="B234" s="6"/>
      <c r="C234" s="6"/>
      <c r="D234" s="5"/>
      <c r="E234" s="5"/>
      <c r="F234" s="5"/>
      <c r="G234" s="5"/>
      <c r="H234" s="6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T234" s="5"/>
      <c r="CW234" s="144"/>
      <c r="DG234" s="143"/>
    </row>
    <row r="235" spans="1:111" ht="11.25">
      <c r="A235" s="5"/>
      <c r="B235" s="6"/>
      <c r="C235" s="6"/>
      <c r="D235" s="5"/>
      <c r="E235" s="5"/>
      <c r="F235" s="5"/>
      <c r="G235" s="5"/>
      <c r="H235" s="6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T235" s="5"/>
      <c r="CW235" s="144"/>
      <c r="DG235" s="143"/>
    </row>
    <row r="236" spans="1:111" ht="11.25">
      <c r="A236" s="5"/>
      <c r="B236" s="6"/>
      <c r="C236" s="6"/>
      <c r="D236" s="5"/>
      <c r="E236" s="5"/>
      <c r="F236" s="5"/>
      <c r="G236" s="5"/>
      <c r="H236" s="6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T236" s="5"/>
      <c r="CW236" s="144"/>
      <c r="DG236" s="143"/>
    </row>
    <row r="237" spans="1:111" ht="11.25">
      <c r="A237" s="5"/>
      <c r="B237" s="6"/>
      <c r="C237" s="6"/>
      <c r="D237" s="5"/>
      <c r="E237" s="5"/>
      <c r="F237" s="5"/>
      <c r="G237" s="5"/>
      <c r="H237" s="6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T237" s="5"/>
      <c r="CW237" s="144"/>
      <c r="DG237" s="143"/>
    </row>
    <row r="238" spans="1:111" ht="11.25">
      <c r="A238" s="5"/>
      <c r="B238" s="6"/>
      <c r="C238" s="6"/>
      <c r="D238" s="5"/>
      <c r="E238" s="5"/>
      <c r="F238" s="5"/>
      <c r="G238" s="5"/>
      <c r="H238" s="6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T238" s="5"/>
      <c r="CW238" s="144"/>
      <c r="DG238" s="143"/>
    </row>
    <row r="239" spans="1:111" ht="11.25">
      <c r="A239" s="5"/>
      <c r="B239" s="6"/>
      <c r="C239" s="6"/>
      <c r="D239" s="5"/>
      <c r="E239" s="5"/>
      <c r="F239" s="5"/>
      <c r="G239" s="5"/>
      <c r="H239" s="6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T239" s="5"/>
      <c r="CW239" s="144"/>
      <c r="DG239" s="143"/>
    </row>
    <row r="240" spans="1:111" ht="11.25">
      <c r="A240" s="5"/>
      <c r="B240" s="6"/>
      <c r="C240" s="6"/>
      <c r="D240" s="5"/>
      <c r="E240" s="5"/>
      <c r="F240" s="5"/>
      <c r="G240" s="5"/>
      <c r="H240" s="6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T240" s="5"/>
      <c r="CW240" s="144"/>
      <c r="DG240" s="143"/>
    </row>
    <row r="241" spans="1:111" ht="11.25">
      <c r="A241" s="5"/>
      <c r="B241" s="6"/>
      <c r="C241" s="6"/>
      <c r="D241" s="5"/>
      <c r="E241" s="5"/>
      <c r="F241" s="5"/>
      <c r="G241" s="5"/>
      <c r="H241" s="6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T241" s="5"/>
      <c r="CW241" s="144"/>
      <c r="DG241" s="143"/>
    </row>
    <row r="242" spans="1:111" ht="11.25">
      <c r="A242" s="5"/>
      <c r="B242" s="6"/>
      <c r="C242" s="6"/>
      <c r="D242" s="5"/>
      <c r="E242" s="5"/>
      <c r="F242" s="5"/>
      <c r="G242" s="5"/>
      <c r="H242" s="6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T242" s="5"/>
      <c r="CW242" s="144"/>
      <c r="DG242" s="143"/>
    </row>
    <row r="243" spans="1:111" ht="11.25">
      <c r="A243" s="5"/>
      <c r="B243" s="6"/>
      <c r="C243" s="6"/>
      <c r="D243" s="5"/>
      <c r="E243" s="5"/>
      <c r="F243" s="5"/>
      <c r="G243" s="5"/>
      <c r="H243" s="6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T243" s="5"/>
      <c r="CW243" s="144"/>
      <c r="DG243" s="143"/>
    </row>
    <row r="244" spans="1:111" ht="11.25">
      <c r="A244" s="5"/>
      <c r="B244" s="6"/>
      <c r="C244" s="6"/>
      <c r="D244" s="5"/>
      <c r="E244" s="5"/>
      <c r="F244" s="5"/>
      <c r="G244" s="5"/>
      <c r="H244" s="6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T244" s="5"/>
      <c r="CW244" s="144"/>
      <c r="DG244" s="143"/>
    </row>
    <row r="245" spans="1:111" ht="11.25">
      <c r="A245" s="5"/>
      <c r="B245" s="6"/>
      <c r="C245" s="6"/>
      <c r="D245" s="5"/>
      <c r="E245" s="5"/>
      <c r="F245" s="5"/>
      <c r="G245" s="5"/>
      <c r="H245" s="6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T245" s="5"/>
      <c r="CW245" s="144"/>
      <c r="DG245" s="143"/>
    </row>
    <row r="246" spans="1:111" ht="11.25">
      <c r="A246" s="5"/>
      <c r="B246" s="6"/>
      <c r="C246" s="6"/>
      <c r="D246" s="5"/>
      <c r="E246" s="5"/>
      <c r="F246" s="5"/>
      <c r="G246" s="5"/>
      <c r="H246" s="6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T246" s="5"/>
      <c r="CW246" s="144"/>
      <c r="DG246" s="143"/>
    </row>
    <row r="247" spans="1:111" ht="11.25">
      <c r="A247" s="5"/>
      <c r="B247" s="6"/>
      <c r="C247" s="6"/>
      <c r="D247" s="5"/>
      <c r="E247" s="5"/>
      <c r="F247" s="5"/>
      <c r="G247" s="5"/>
      <c r="H247" s="6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T247" s="5"/>
      <c r="CW247" s="144"/>
      <c r="DG247" s="143"/>
    </row>
    <row r="248" spans="1:111" ht="11.25">
      <c r="A248" s="5"/>
      <c r="B248" s="6"/>
      <c r="C248" s="6"/>
      <c r="D248" s="5"/>
      <c r="E248" s="5"/>
      <c r="F248" s="5"/>
      <c r="G248" s="5"/>
      <c r="H248" s="6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T248" s="5"/>
      <c r="CW248" s="144"/>
      <c r="DG248" s="143"/>
    </row>
    <row r="249" spans="1:111" ht="11.25">
      <c r="A249" s="5"/>
      <c r="B249" s="6"/>
      <c r="C249" s="6"/>
      <c r="D249" s="5"/>
      <c r="E249" s="5"/>
      <c r="F249" s="5"/>
      <c r="G249" s="5"/>
      <c r="H249" s="6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T249" s="5"/>
      <c r="CW249" s="144"/>
      <c r="DG249" s="143"/>
    </row>
    <row r="250" spans="1:111" ht="11.25">
      <c r="A250" s="5"/>
      <c r="B250" s="6"/>
      <c r="C250" s="6"/>
      <c r="D250" s="5"/>
      <c r="E250" s="5"/>
      <c r="F250" s="5"/>
      <c r="G250" s="5"/>
      <c r="H250" s="6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T250" s="5"/>
      <c r="CW250" s="144"/>
      <c r="DG250" s="143"/>
    </row>
    <row r="251" spans="1:111" ht="11.25">
      <c r="A251" s="5"/>
      <c r="B251" s="6"/>
      <c r="C251" s="6"/>
      <c r="D251" s="5"/>
      <c r="E251" s="5"/>
      <c r="F251" s="5"/>
      <c r="G251" s="5"/>
      <c r="H251" s="6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T251" s="5"/>
      <c r="CW251" s="144"/>
      <c r="DG251" s="143"/>
    </row>
    <row r="252" spans="1:111" ht="11.25">
      <c r="A252" s="5"/>
      <c r="B252" s="6"/>
      <c r="C252" s="6"/>
      <c r="D252" s="5"/>
      <c r="E252" s="5"/>
      <c r="F252" s="5"/>
      <c r="G252" s="5"/>
      <c r="H252" s="6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T252" s="5"/>
      <c r="CW252" s="144"/>
      <c r="DG252" s="143"/>
    </row>
    <row r="253" spans="1:111" ht="11.25">
      <c r="A253" s="5"/>
      <c r="B253" s="6"/>
      <c r="C253" s="6"/>
      <c r="D253" s="5"/>
      <c r="E253" s="5"/>
      <c r="F253" s="5"/>
      <c r="G253" s="5"/>
      <c r="H253" s="6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T253" s="5"/>
      <c r="CW253" s="144"/>
      <c r="DG253" s="143"/>
    </row>
    <row r="254" spans="1:111" ht="11.25">
      <c r="A254" s="5"/>
      <c r="B254" s="6"/>
      <c r="C254" s="6"/>
      <c r="D254" s="5"/>
      <c r="E254" s="5"/>
      <c r="F254" s="5"/>
      <c r="G254" s="5"/>
      <c r="H254" s="6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T254" s="5"/>
      <c r="CW254" s="144"/>
      <c r="DG254" s="143"/>
    </row>
    <row r="255" spans="1:111" ht="11.25">
      <c r="A255" s="5"/>
      <c r="B255" s="6"/>
      <c r="C255" s="6"/>
      <c r="D255" s="5"/>
      <c r="E255" s="5"/>
      <c r="F255" s="5"/>
      <c r="G255" s="5"/>
      <c r="H255" s="6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T255" s="5"/>
      <c r="CW255" s="144"/>
      <c r="DG255" s="143"/>
    </row>
    <row r="256" spans="1:111" ht="11.25">
      <c r="A256" s="5"/>
      <c r="B256" s="6"/>
      <c r="C256" s="6"/>
      <c r="D256" s="5"/>
      <c r="E256" s="5"/>
      <c r="F256" s="5"/>
      <c r="G256" s="5"/>
      <c r="H256" s="6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T256" s="5"/>
      <c r="CW256" s="144"/>
      <c r="DG256" s="143"/>
    </row>
    <row r="257" spans="1:111" ht="11.25">
      <c r="A257" s="5"/>
      <c r="B257" s="6"/>
      <c r="C257" s="6"/>
      <c r="D257" s="5"/>
      <c r="E257" s="5"/>
      <c r="F257" s="5"/>
      <c r="G257" s="5"/>
      <c r="H257" s="6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T257" s="5"/>
      <c r="CW257" s="144"/>
      <c r="DG257" s="143"/>
    </row>
    <row r="258" spans="1:111" ht="11.25">
      <c r="A258" s="5"/>
      <c r="B258" s="6"/>
      <c r="C258" s="6"/>
      <c r="D258" s="5"/>
      <c r="E258" s="5"/>
      <c r="F258" s="5"/>
      <c r="G258" s="5"/>
      <c r="H258" s="6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T258" s="5"/>
      <c r="CW258" s="144"/>
      <c r="DG258" s="143"/>
    </row>
    <row r="259" spans="1:111" ht="11.25">
      <c r="A259" s="5"/>
      <c r="B259" s="6"/>
      <c r="C259" s="6"/>
      <c r="D259" s="5"/>
      <c r="E259" s="5"/>
      <c r="F259" s="5"/>
      <c r="G259" s="5"/>
      <c r="H259" s="6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T259" s="5"/>
      <c r="CW259" s="144"/>
      <c r="DG259" s="143"/>
    </row>
    <row r="260" spans="1:111" ht="11.25">
      <c r="A260" s="5"/>
      <c r="B260" s="6"/>
      <c r="C260" s="6"/>
      <c r="D260" s="5"/>
      <c r="E260" s="5"/>
      <c r="F260" s="5"/>
      <c r="G260" s="5"/>
      <c r="H260" s="6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T260" s="5"/>
      <c r="CW260" s="144"/>
      <c r="DG260" s="143"/>
    </row>
    <row r="261" spans="1:111" ht="11.25">
      <c r="A261" s="5"/>
      <c r="B261" s="6"/>
      <c r="C261" s="6"/>
      <c r="D261" s="5"/>
      <c r="E261" s="5"/>
      <c r="F261" s="5"/>
      <c r="G261" s="5"/>
      <c r="H261" s="6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T261" s="5"/>
      <c r="CW261" s="144"/>
      <c r="DG261" s="143"/>
    </row>
    <row r="262" spans="1:111" ht="11.25">
      <c r="A262" s="5"/>
      <c r="B262" s="6"/>
      <c r="C262" s="6"/>
      <c r="D262" s="5"/>
      <c r="E262" s="5"/>
      <c r="F262" s="5"/>
      <c r="G262" s="5"/>
      <c r="H262" s="6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T262" s="5"/>
      <c r="CW262" s="144"/>
      <c r="DG262" s="143"/>
    </row>
    <row r="263" spans="1:111" ht="11.25">
      <c r="A263" s="5"/>
      <c r="B263" s="6"/>
      <c r="C263" s="6"/>
      <c r="D263" s="5"/>
      <c r="E263" s="5"/>
      <c r="F263" s="5"/>
      <c r="G263" s="5"/>
      <c r="H263" s="6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T263" s="5"/>
      <c r="CW263" s="144"/>
      <c r="DG263" s="143"/>
    </row>
    <row r="264" spans="1:111" ht="11.25">
      <c r="A264" s="5"/>
      <c r="B264" s="6"/>
      <c r="C264" s="6"/>
      <c r="D264" s="5"/>
      <c r="E264" s="5"/>
      <c r="F264" s="5"/>
      <c r="G264" s="5"/>
      <c r="H264" s="6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T264" s="5"/>
      <c r="CW264" s="144"/>
      <c r="DG264" s="143"/>
    </row>
    <row r="265" spans="1:111" ht="11.25">
      <c r="A265" s="5"/>
      <c r="B265" s="6"/>
      <c r="C265" s="6"/>
      <c r="D265" s="5"/>
      <c r="E265" s="5"/>
      <c r="F265" s="5"/>
      <c r="G265" s="5"/>
      <c r="H265" s="6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T265" s="5"/>
      <c r="CW265" s="144"/>
      <c r="DG265" s="143"/>
    </row>
    <row r="266" spans="1:111" ht="11.25">
      <c r="A266" s="5"/>
      <c r="B266" s="6"/>
      <c r="C266" s="6"/>
      <c r="D266" s="5"/>
      <c r="E266" s="5"/>
      <c r="F266" s="5"/>
      <c r="G266" s="5"/>
      <c r="H266" s="6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T266" s="5"/>
      <c r="CW266" s="144"/>
      <c r="DG266" s="143"/>
    </row>
    <row r="267" spans="1:111" ht="11.25">
      <c r="A267" s="5"/>
      <c r="B267" s="6"/>
      <c r="C267" s="6"/>
      <c r="D267" s="5"/>
      <c r="E267" s="5"/>
      <c r="F267" s="5"/>
      <c r="G267" s="5"/>
      <c r="H267" s="6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T267" s="5"/>
      <c r="CW267" s="144"/>
      <c r="DG267" s="143"/>
    </row>
    <row r="268" spans="1:111" ht="11.25">
      <c r="A268" s="5"/>
      <c r="B268" s="6"/>
      <c r="C268" s="6"/>
      <c r="D268" s="5"/>
      <c r="E268" s="5"/>
      <c r="F268" s="5"/>
      <c r="G268" s="5"/>
      <c r="H268" s="6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T268" s="5"/>
      <c r="CW268" s="144"/>
      <c r="DG268" s="143"/>
    </row>
    <row r="269" spans="1:111" ht="11.25">
      <c r="A269" s="5"/>
      <c r="B269" s="6"/>
      <c r="C269" s="6"/>
      <c r="D269" s="5"/>
      <c r="E269" s="5"/>
      <c r="F269" s="5"/>
      <c r="G269" s="5"/>
      <c r="H269" s="6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T269" s="5"/>
      <c r="CW269" s="144"/>
      <c r="DG269" s="143"/>
    </row>
    <row r="270" spans="1:111" ht="11.25">
      <c r="A270" s="5"/>
      <c r="B270" s="6"/>
      <c r="C270" s="6"/>
      <c r="D270" s="5"/>
      <c r="E270" s="5"/>
      <c r="F270" s="5"/>
      <c r="G270" s="5"/>
      <c r="H270" s="6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T270" s="5"/>
      <c r="CW270" s="144"/>
      <c r="DG270" s="143"/>
    </row>
    <row r="271" spans="1:111" ht="11.25">
      <c r="A271" s="5"/>
      <c r="B271" s="6"/>
      <c r="C271" s="6"/>
      <c r="D271" s="5"/>
      <c r="E271" s="5"/>
      <c r="F271" s="5"/>
      <c r="G271" s="5"/>
      <c r="H271" s="6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T271" s="5"/>
      <c r="CW271" s="144"/>
      <c r="DG271" s="143"/>
    </row>
    <row r="272" spans="1:111" ht="11.25">
      <c r="A272" s="5"/>
      <c r="B272" s="6"/>
      <c r="C272" s="6"/>
      <c r="D272" s="5"/>
      <c r="E272" s="5"/>
      <c r="F272" s="5"/>
      <c r="G272" s="5"/>
      <c r="H272" s="6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T272" s="5"/>
      <c r="CW272" s="144"/>
      <c r="DG272" s="143"/>
    </row>
    <row r="273" spans="1:111" ht="11.25">
      <c r="A273" s="5"/>
      <c r="B273" s="6"/>
      <c r="C273" s="6"/>
      <c r="D273" s="5"/>
      <c r="E273" s="5"/>
      <c r="F273" s="5"/>
      <c r="G273" s="5"/>
      <c r="H273" s="6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T273" s="5"/>
      <c r="CW273" s="144"/>
      <c r="DG273" s="143"/>
    </row>
    <row r="274" spans="1:111" ht="11.25">
      <c r="A274" s="5"/>
      <c r="B274" s="6"/>
      <c r="C274" s="6"/>
      <c r="D274" s="5"/>
      <c r="E274" s="5"/>
      <c r="F274" s="5"/>
      <c r="G274" s="5"/>
      <c r="H274" s="6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T274" s="5"/>
      <c r="CW274" s="144"/>
      <c r="DG274" s="143"/>
    </row>
    <row r="275" spans="1:111" ht="11.25">
      <c r="A275" s="5"/>
      <c r="B275" s="6"/>
      <c r="C275" s="6"/>
      <c r="D275" s="5"/>
      <c r="E275" s="5"/>
      <c r="F275" s="5"/>
      <c r="G275" s="5"/>
      <c r="H275" s="6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T275" s="5"/>
      <c r="CW275" s="144"/>
      <c r="DG275" s="143"/>
    </row>
    <row r="276" spans="1:111" ht="11.25">
      <c r="A276" s="5"/>
      <c r="B276" s="6"/>
      <c r="C276" s="6"/>
      <c r="D276" s="5"/>
      <c r="E276" s="5"/>
      <c r="F276" s="5"/>
      <c r="G276" s="5"/>
      <c r="H276" s="6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T276" s="5"/>
      <c r="CW276" s="144"/>
      <c r="DG276" s="143"/>
    </row>
    <row r="277" spans="1:111" ht="11.25">
      <c r="A277" s="5"/>
      <c r="B277" s="6"/>
      <c r="C277" s="6"/>
      <c r="D277" s="5"/>
      <c r="E277" s="5"/>
      <c r="F277" s="5"/>
      <c r="G277" s="5"/>
      <c r="H277" s="6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T277" s="5"/>
      <c r="CW277" s="144"/>
      <c r="DG277" s="143"/>
    </row>
    <row r="278" spans="1:111" ht="11.25">
      <c r="A278" s="5"/>
      <c r="B278" s="6"/>
      <c r="C278" s="6"/>
      <c r="D278" s="5"/>
      <c r="E278" s="5"/>
      <c r="F278" s="5"/>
      <c r="G278" s="5"/>
      <c r="H278" s="6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T278" s="5"/>
      <c r="CW278" s="144"/>
      <c r="DG278" s="143"/>
    </row>
    <row r="279" spans="1:111" ht="11.25">
      <c r="A279" s="5"/>
      <c r="B279" s="6"/>
      <c r="C279" s="6"/>
      <c r="D279" s="5"/>
      <c r="E279" s="5"/>
      <c r="F279" s="5"/>
      <c r="G279" s="5"/>
      <c r="H279" s="6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T279" s="5"/>
      <c r="CW279" s="144"/>
      <c r="DG279" s="143"/>
    </row>
    <row r="280" spans="1:111" ht="11.25">
      <c r="A280" s="5"/>
      <c r="B280" s="6"/>
      <c r="C280" s="6"/>
      <c r="D280" s="5"/>
      <c r="E280" s="5"/>
      <c r="F280" s="5"/>
      <c r="G280" s="5"/>
      <c r="H280" s="6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T280" s="5"/>
      <c r="CW280" s="144"/>
      <c r="DG280" s="143"/>
    </row>
    <row r="281" spans="1:111" ht="11.25">
      <c r="A281" s="5"/>
      <c r="B281" s="6"/>
      <c r="C281" s="6"/>
      <c r="D281" s="5"/>
      <c r="E281" s="5"/>
      <c r="F281" s="5"/>
      <c r="G281" s="5"/>
      <c r="H281" s="6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T281" s="5"/>
      <c r="CW281" s="144"/>
      <c r="DG281" s="143"/>
    </row>
    <row r="282" spans="1:111" ht="11.25">
      <c r="A282" s="5"/>
      <c r="B282" s="6"/>
      <c r="C282" s="6"/>
      <c r="D282" s="5"/>
      <c r="E282" s="5"/>
      <c r="F282" s="5"/>
      <c r="G282" s="5"/>
      <c r="H282" s="6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T282" s="5"/>
      <c r="CW282" s="144"/>
      <c r="DG282" s="143"/>
    </row>
    <row r="283" spans="1:111" ht="11.25">
      <c r="A283" s="5"/>
      <c r="B283" s="6"/>
      <c r="C283" s="6"/>
      <c r="D283" s="5"/>
      <c r="E283" s="5"/>
      <c r="F283" s="5"/>
      <c r="G283" s="5"/>
      <c r="H283" s="6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T283" s="5"/>
      <c r="CW283" s="144"/>
      <c r="DG283" s="143"/>
    </row>
    <row r="284" spans="1:111" ht="11.25">
      <c r="A284" s="5"/>
      <c r="B284" s="6"/>
      <c r="C284" s="6"/>
      <c r="D284" s="5"/>
      <c r="E284" s="5"/>
      <c r="F284" s="5"/>
      <c r="G284" s="5"/>
      <c r="H284" s="6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T284" s="5"/>
      <c r="CW284" s="144"/>
      <c r="DG284" s="143"/>
    </row>
    <row r="285" spans="1:111" ht="11.25">
      <c r="A285" s="5"/>
      <c r="B285" s="6"/>
      <c r="C285" s="6"/>
      <c r="D285" s="5"/>
      <c r="E285" s="5"/>
      <c r="F285" s="5"/>
      <c r="G285" s="5"/>
      <c r="H285" s="6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T285" s="5"/>
      <c r="CW285" s="144"/>
      <c r="DG285" s="143"/>
    </row>
    <row r="286" spans="1:111" ht="11.25">
      <c r="A286" s="5"/>
      <c r="B286" s="6"/>
      <c r="C286" s="6"/>
      <c r="D286" s="5"/>
      <c r="E286" s="5"/>
      <c r="F286" s="5"/>
      <c r="G286" s="5"/>
      <c r="H286" s="6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T286" s="5"/>
      <c r="CW286" s="144"/>
      <c r="DG286" s="143"/>
    </row>
    <row r="287" spans="1:111" ht="11.25">
      <c r="A287" s="5"/>
      <c r="B287" s="6"/>
      <c r="C287" s="6"/>
      <c r="D287" s="5"/>
      <c r="E287" s="5"/>
      <c r="F287" s="5"/>
      <c r="G287" s="5"/>
      <c r="H287" s="6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T287" s="5"/>
      <c r="CW287" s="144"/>
      <c r="DG287" s="143"/>
    </row>
    <row r="288" spans="1:111" ht="11.25">
      <c r="A288" s="5"/>
      <c r="B288" s="6"/>
      <c r="C288" s="6"/>
      <c r="D288" s="5"/>
      <c r="E288" s="5"/>
      <c r="F288" s="5"/>
      <c r="G288" s="5"/>
      <c r="H288" s="6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T288" s="5"/>
      <c r="CW288" s="144"/>
      <c r="DG288" s="143"/>
    </row>
    <row r="289" spans="1:111" ht="11.25">
      <c r="A289" s="5"/>
      <c r="B289" s="6"/>
      <c r="C289" s="6"/>
      <c r="D289" s="5"/>
      <c r="E289" s="5"/>
      <c r="F289" s="5"/>
      <c r="G289" s="5"/>
      <c r="H289" s="6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T289" s="5"/>
      <c r="CW289" s="144"/>
      <c r="DG289" s="143"/>
    </row>
    <row r="290" spans="1:111" ht="11.25">
      <c r="A290" s="5"/>
      <c r="B290" s="6"/>
      <c r="C290" s="6"/>
      <c r="D290" s="5"/>
      <c r="E290" s="5"/>
      <c r="F290" s="5"/>
      <c r="G290" s="5"/>
      <c r="H290" s="6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T290" s="5"/>
      <c r="CW290" s="144"/>
      <c r="DG290" s="143"/>
    </row>
    <row r="291" spans="1:111" ht="11.25">
      <c r="A291" s="5"/>
      <c r="B291" s="6"/>
      <c r="C291" s="6"/>
      <c r="D291" s="5"/>
      <c r="E291" s="5"/>
      <c r="F291" s="5"/>
      <c r="G291" s="5"/>
      <c r="H291" s="6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T291" s="5"/>
      <c r="CW291" s="144"/>
      <c r="DG291" s="143"/>
    </row>
    <row r="292" spans="1:111" ht="11.25">
      <c r="A292" s="5"/>
      <c r="B292" s="6"/>
      <c r="C292" s="6"/>
      <c r="D292" s="5"/>
      <c r="E292" s="5"/>
      <c r="F292" s="5"/>
      <c r="G292" s="5"/>
      <c r="H292" s="6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T292" s="5"/>
      <c r="CW292" s="144"/>
      <c r="DG292" s="143"/>
    </row>
    <row r="293" spans="1:111" ht="11.25">
      <c r="A293" s="5"/>
      <c r="B293" s="6"/>
      <c r="C293" s="6"/>
      <c r="D293" s="5"/>
      <c r="E293" s="5"/>
      <c r="F293" s="5"/>
      <c r="G293" s="5"/>
      <c r="H293" s="6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T293" s="5"/>
      <c r="CW293" s="144"/>
      <c r="DG293" s="143"/>
    </row>
    <row r="294" spans="1:111" ht="11.25">
      <c r="A294" s="5"/>
      <c r="B294" s="6"/>
      <c r="C294" s="6"/>
      <c r="D294" s="5"/>
      <c r="E294" s="5"/>
      <c r="F294" s="5"/>
      <c r="G294" s="5"/>
      <c r="H294" s="6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T294" s="5"/>
      <c r="CW294" s="144"/>
      <c r="DG294" s="143"/>
    </row>
    <row r="295" spans="1:111" ht="11.25">
      <c r="A295" s="5"/>
      <c r="B295" s="6"/>
      <c r="C295" s="6"/>
      <c r="D295" s="5"/>
      <c r="E295" s="5"/>
      <c r="F295" s="5"/>
      <c r="G295" s="5"/>
      <c r="H295" s="6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T295" s="5"/>
      <c r="CW295" s="144"/>
      <c r="DG295" s="143"/>
    </row>
    <row r="296" spans="1:111" ht="11.25">
      <c r="A296" s="5"/>
      <c r="B296" s="6"/>
      <c r="C296" s="6"/>
      <c r="D296" s="5"/>
      <c r="E296" s="5"/>
      <c r="F296" s="5"/>
      <c r="G296" s="5"/>
      <c r="H296" s="6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T296" s="5"/>
      <c r="CW296" s="144"/>
      <c r="DG296" s="143"/>
    </row>
    <row r="297" spans="1:111" ht="11.25">
      <c r="A297" s="5"/>
      <c r="B297" s="6"/>
      <c r="C297" s="6"/>
      <c r="D297" s="5"/>
      <c r="E297" s="5"/>
      <c r="F297" s="5"/>
      <c r="G297" s="5"/>
      <c r="H297" s="6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T297" s="5"/>
      <c r="CW297" s="144"/>
      <c r="DG297" s="143"/>
    </row>
    <row r="298" spans="1:111" ht="11.25">
      <c r="A298" s="5"/>
      <c r="B298" s="6"/>
      <c r="C298" s="6"/>
      <c r="D298" s="5"/>
      <c r="E298" s="5"/>
      <c r="F298" s="5"/>
      <c r="G298" s="5"/>
      <c r="H298" s="6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T298" s="5"/>
      <c r="CW298" s="144"/>
      <c r="DG298" s="143"/>
    </row>
    <row r="299" spans="1:111" ht="11.25">
      <c r="A299" s="5"/>
      <c r="B299" s="6"/>
      <c r="C299" s="6"/>
      <c r="D299" s="5"/>
      <c r="E299" s="5"/>
      <c r="F299" s="5"/>
      <c r="G299" s="5"/>
      <c r="H299" s="6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T299" s="5"/>
      <c r="CW299" s="144"/>
      <c r="DG299" s="143"/>
    </row>
    <row r="300" spans="1:111" ht="11.25">
      <c r="A300" s="5"/>
      <c r="B300" s="6"/>
      <c r="C300" s="6"/>
      <c r="D300" s="5"/>
      <c r="E300" s="5"/>
      <c r="F300" s="5"/>
      <c r="G300" s="5"/>
      <c r="H300" s="6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T300" s="5"/>
      <c r="CW300" s="144"/>
      <c r="DG300" s="143"/>
    </row>
    <row r="301" spans="1:111" ht="11.25">
      <c r="A301" s="5"/>
      <c r="B301" s="6"/>
      <c r="C301" s="6"/>
      <c r="D301" s="5"/>
      <c r="E301" s="5"/>
      <c r="F301" s="5"/>
      <c r="G301" s="5"/>
      <c r="H301" s="6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T301" s="5"/>
      <c r="CW301" s="144"/>
      <c r="DG301" s="143"/>
    </row>
    <row r="302" spans="1:111" ht="11.25">
      <c r="A302" s="5"/>
      <c r="B302" s="6"/>
      <c r="C302" s="6"/>
      <c r="D302" s="5"/>
      <c r="E302" s="5"/>
      <c r="F302" s="5"/>
      <c r="G302" s="5"/>
      <c r="H302" s="6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T302" s="5"/>
      <c r="CW302" s="144"/>
      <c r="DG302" s="143"/>
    </row>
    <row r="303" spans="1:111" ht="11.25">
      <c r="A303" s="5"/>
      <c r="B303" s="6"/>
      <c r="C303" s="6"/>
      <c r="D303" s="5"/>
      <c r="E303" s="5"/>
      <c r="F303" s="5"/>
      <c r="G303" s="5"/>
      <c r="H303" s="6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T303" s="5"/>
      <c r="CW303" s="144"/>
      <c r="DG303" s="143"/>
    </row>
    <row r="304" spans="1:111" ht="11.25">
      <c r="A304" s="5"/>
      <c r="B304" s="6"/>
      <c r="C304" s="6"/>
      <c r="D304" s="5"/>
      <c r="E304" s="5"/>
      <c r="F304" s="5"/>
      <c r="G304" s="5"/>
      <c r="H304" s="6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T304" s="5"/>
      <c r="CW304" s="144"/>
      <c r="DG304" s="143"/>
    </row>
    <row r="305" spans="1:111" ht="11.25">
      <c r="A305" s="5"/>
      <c r="B305" s="6"/>
      <c r="C305" s="6"/>
      <c r="D305" s="5"/>
      <c r="E305" s="5"/>
      <c r="F305" s="5"/>
      <c r="G305" s="5"/>
      <c r="H305" s="6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T305" s="5"/>
      <c r="CW305" s="144"/>
      <c r="DG305" s="143"/>
    </row>
    <row r="306" spans="1:111" ht="11.25">
      <c r="A306" s="5"/>
      <c r="B306" s="6"/>
      <c r="C306" s="6"/>
      <c r="D306" s="5"/>
      <c r="E306" s="5"/>
      <c r="F306" s="5"/>
      <c r="G306" s="5"/>
      <c r="H306" s="6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T306" s="5"/>
      <c r="CW306" s="144"/>
      <c r="DG306" s="143"/>
    </row>
    <row r="307" spans="1:111" ht="11.25">
      <c r="A307" s="5"/>
      <c r="B307" s="6"/>
      <c r="C307" s="6"/>
      <c r="D307" s="5"/>
      <c r="E307" s="5"/>
      <c r="F307" s="5"/>
      <c r="G307" s="5"/>
      <c r="H307" s="6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T307" s="5"/>
      <c r="CW307" s="144"/>
      <c r="DG307" s="143"/>
    </row>
    <row r="308" spans="1:111" ht="11.25">
      <c r="A308" s="5"/>
      <c r="B308" s="6"/>
      <c r="C308" s="6"/>
      <c r="D308" s="5"/>
      <c r="E308" s="5"/>
      <c r="F308" s="5"/>
      <c r="G308" s="5"/>
      <c r="H308" s="6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T308" s="5"/>
      <c r="CW308" s="144"/>
      <c r="DG308" s="143"/>
    </row>
    <row r="309" spans="1:111" ht="11.25">
      <c r="A309" s="5"/>
      <c r="B309" s="6"/>
      <c r="C309" s="6"/>
      <c r="D309" s="5"/>
      <c r="E309" s="5"/>
      <c r="F309" s="5"/>
      <c r="G309" s="5"/>
      <c r="H309" s="6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T309" s="5"/>
      <c r="CW309" s="144"/>
      <c r="DG309" s="143"/>
    </row>
    <row r="310" spans="1:111" ht="11.25">
      <c r="A310" s="5"/>
      <c r="B310" s="6"/>
      <c r="C310" s="6"/>
      <c r="D310" s="5"/>
      <c r="E310" s="5"/>
      <c r="F310" s="5"/>
      <c r="G310" s="5"/>
      <c r="H310" s="6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T310" s="5"/>
      <c r="CW310" s="144"/>
      <c r="DG310" s="143"/>
    </row>
    <row r="311" spans="1:111" ht="11.25">
      <c r="A311" s="5"/>
      <c r="B311" s="6"/>
      <c r="C311" s="6"/>
      <c r="D311" s="5"/>
      <c r="E311" s="5"/>
      <c r="F311" s="5"/>
      <c r="G311" s="5"/>
      <c r="H311" s="6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T311" s="5"/>
      <c r="CW311" s="144"/>
      <c r="DG311" s="143"/>
    </row>
    <row r="312" spans="1:111" ht="11.25">
      <c r="A312" s="5"/>
      <c r="B312" s="6"/>
      <c r="C312" s="6"/>
      <c r="D312" s="5"/>
      <c r="E312" s="5"/>
      <c r="F312" s="5"/>
      <c r="G312" s="5"/>
      <c r="H312" s="6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T312" s="5"/>
      <c r="CW312" s="144"/>
      <c r="DG312" s="143"/>
    </row>
    <row r="313" spans="1:111" ht="11.25">
      <c r="A313" s="5"/>
      <c r="B313" s="6"/>
      <c r="C313" s="6"/>
      <c r="D313" s="5"/>
      <c r="E313" s="5"/>
      <c r="F313" s="5"/>
      <c r="G313" s="5"/>
      <c r="H313" s="6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T313" s="5"/>
      <c r="CW313" s="144"/>
      <c r="DG313" s="143"/>
    </row>
    <row r="314" spans="1:111" ht="11.25">
      <c r="A314" s="5"/>
      <c r="B314" s="6"/>
      <c r="C314" s="6"/>
      <c r="D314" s="5"/>
      <c r="E314" s="5"/>
      <c r="F314" s="5"/>
      <c r="G314" s="5"/>
      <c r="H314" s="6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T314" s="5"/>
      <c r="CW314" s="144"/>
      <c r="DG314" s="143"/>
    </row>
    <row r="315" spans="1:111" ht="11.25">
      <c r="A315" s="5"/>
      <c r="B315" s="6"/>
      <c r="C315" s="6"/>
      <c r="D315" s="5"/>
      <c r="E315" s="5"/>
      <c r="F315" s="5"/>
      <c r="G315" s="5"/>
      <c r="H315" s="6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T315" s="5"/>
      <c r="CW315" s="144"/>
      <c r="DG315" s="143"/>
    </row>
    <row r="316" spans="1:111" ht="11.25">
      <c r="A316" s="5"/>
      <c r="B316" s="6"/>
      <c r="C316" s="6"/>
      <c r="D316" s="5"/>
      <c r="E316" s="5"/>
      <c r="F316" s="5"/>
      <c r="G316" s="5"/>
      <c r="H316" s="6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T316" s="5"/>
      <c r="CW316" s="144"/>
      <c r="DG316" s="143"/>
    </row>
    <row r="317" spans="1:111" ht="11.25">
      <c r="A317" s="5"/>
      <c r="B317" s="6"/>
      <c r="C317" s="6"/>
      <c r="D317" s="5"/>
      <c r="E317" s="5"/>
      <c r="F317" s="5"/>
      <c r="G317" s="5"/>
      <c r="H317" s="6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T317" s="5"/>
      <c r="CW317" s="144"/>
      <c r="DG317" s="143"/>
    </row>
    <row r="318" spans="1:111" ht="11.25">
      <c r="A318" s="5"/>
      <c r="B318" s="6"/>
      <c r="C318" s="6"/>
      <c r="D318" s="5"/>
      <c r="E318" s="5"/>
      <c r="F318" s="5"/>
      <c r="G318" s="5"/>
      <c r="H318" s="6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T318" s="5"/>
      <c r="CW318" s="144"/>
      <c r="DG318" s="143"/>
    </row>
    <row r="319" spans="1:111" ht="11.25">
      <c r="A319" s="5"/>
      <c r="B319" s="6"/>
      <c r="C319" s="6"/>
      <c r="D319" s="5"/>
      <c r="E319" s="5"/>
      <c r="F319" s="5"/>
      <c r="G319" s="5"/>
      <c r="H319" s="6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T319" s="5"/>
      <c r="CW319" s="144"/>
      <c r="DG319" s="143"/>
    </row>
    <row r="320" spans="1:111" ht="11.25">
      <c r="A320" s="5"/>
      <c r="B320" s="6"/>
      <c r="C320" s="6"/>
      <c r="D320" s="5"/>
      <c r="E320" s="5"/>
      <c r="F320" s="5"/>
      <c r="G320" s="5"/>
      <c r="H320" s="6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T320" s="5"/>
      <c r="CW320" s="144"/>
      <c r="DG320" s="143"/>
    </row>
    <row r="321" spans="1:111" ht="11.25">
      <c r="A321" s="5"/>
      <c r="B321" s="6"/>
      <c r="C321" s="6"/>
      <c r="D321" s="5"/>
      <c r="E321" s="5"/>
      <c r="F321" s="5"/>
      <c r="G321" s="5"/>
      <c r="H321" s="6"/>
      <c r="I321" s="6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T321" s="5"/>
      <c r="CW321" s="144"/>
      <c r="DG321" s="143"/>
    </row>
    <row r="322" spans="1:111" ht="11.25">
      <c r="A322" s="5"/>
      <c r="B322" s="6"/>
      <c r="C322" s="6"/>
      <c r="D322" s="5"/>
      <c r="E322" s="5"/>
      <c r="F322" s="5"/>
      <c r="G322" s="5"/>
      <c r="H322" s="6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T322" s="5"/>
      <c r="CW322" s="144"/>
      <c r="DG322" s="143"/>
    </row>
    <row r="323" spans="1:111" ht="11.25">
      <c r="A323" s="5"/>
      <c r="B323" s="6"/>
      <c r="C323" s="6"/>
      <c r="D323" s="5"/>
      <c r="E323" s="5"/>
      <c r="F323" s="5"/>
      <c r="G323" s="5"/>
      <c r="H323" s="6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T323" s="5"/>
      <c r="CW323" s="144"/>
      <c r="DG323" s="143"/>
    </row>
    <row r="324" spans="1:111" ht="11.25">
      <c r="A324" s="5"/>
      <c r="B324" s="6"/>
      <c r="C324" s="6"/>
      <c r="D324" s="5"/>
      <c r="E324" s="5"/>
      <c r="F324" s="5"/>
      <c r="G324" s="5"/>
      <c r="H324" s="6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T324" s="5"/>
      <c r="CW324" s="144"/>
      <c r="DG324" s="143"/>
    </row>
    <row r="325" spans="1:111" ht="11.25">
      <c r="A325" s="5"/>
      <c r="B325" s="6"/>
      <c r="C325" s="6"/>
      <c r="D325" s="5"/>
      <c r="E325" s="5"/>
      <c r="F325" s="5"/>
      <c r="G325" s="5"/>
      <c r="H325" s="6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T325" s="5"/>
      <c r="CW325" s="144"/>
      <c r="DG325" s="143"/>
    </row>
    <row r="326" spans="1:111" ht="11.25">
      <c r="A326" s="5"/>
      <c r="B326" s="6"/>
      <c r="C326" s="6"/>
      <c r="D326" s="5"/>
      <c r="E326" s="5"/>
      <c r="F326" s="5"/>
      <c r="G326" s="5"/>
      <c r="H326" s="6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T326" s="5"/>
      <c r="CW326" s="144"/>
      <c r="DG326" s="143"/>
    </row>
    <row r="327" spans="1:111" ht="11.25">
      <c r="A327" s="5"/>
      <c r="B327" s="6"/>
      <c r="C327" s="6"/>
      <c r="D327" s="5"/>
      <c r="E327" s="5"/>
      <c r="F327" s="5"/>
      <c r="G327" s="5"/>
      <c r="H327" s="6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T327" s="5"/>
      <c r="CW327" s="144"/>
      <c r="DG327" s="143"/>
    </row>
    <row r="328" spans="1:111" ht="11.25">
      <c r="A328" s="5"/>
      <c r="B328" s="6"/>
      <c r="C328" s="6"/>
      <c r="D328" s="5"/>
      <c r="E328" s="5"/>
      <c r="F328" s="5"/>
      <c r="G328" s="5"/>
      <c r="H328" s="6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T328" s="5"/>
      <c r="CW328" s="144"/>
      <c r="DG328" s="143"/>
    </row>
    <row r="329" spans="1:111" ht="11.25">
      <c r="A329" s="5"/>
      <c r="B329" s="6"/>
      <c r="C329" s="6"/>
      <c r="D329" s="5"/>
      <c r="E329" s="5"/>
      <c r="F329" s="5"/>
      <c r="G329" s="5"/>
      <c r="H329" s="6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T329" s="5"/>
      <c r="CW329" s="144"/>
      <c r="DG329" s="143"/>
    </row>
    <row r="330" spans="1:111" ht="11.25">
      <c r="A330" s="5"/>
      <c r="B330" s="6"/>
      <c r="C330" s="6"/>
      <c r="D330" s="5"/>
      <c r="E330" s="5"/>
      <c r="F330" s="5"/>
      <c r="G330" s="5"/>
      <c r="H330" s="6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T330" s="5"/>
      <c r="CW330" s="144"/>
      <c r="DG330" s="143"/>
    </row>
    <row r="331" spans="1:111" ht="11.25">
      <c r="A331" s="5"/>
      <c r="B331" s="6"/>
      <c r="C331" s="6"/>
      <c r="D331" s="5"/>
      <c r="E331" s="5"/>
      <c r="F331" s="5"/>
      <c r="G331" s="5"/>
      <c r="H331" s="6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T331" s="5"/>
      <c r="CW331" s="144"/>
      <c r="DG331" s="143"/>
    </row>
    <row r="332" spans="1:111" ht="11.25">
      <c r="A332" s="5"/>
      <c r="B332" s="6"/>
      <c r="C332" s="6"/>
      <c r="D332" s="5"/>
      <c r="E332" s="5"/>
      <c r="F332" s="5"/>
      <c r="G332" s="5"/>
      <c r="H332" s="6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T332" s="5"/>
      <c r="CW332" s="144"/>
      <c r="DG332" s="143"/>
    </row>
    <row r="333" spans="1:111" ht="11.25">
      <c r="A333" s="5"/>
      <c r="B333" s="6"/>
      <c r="C333" s="6"/>
      <c r="D333" s="5"/>
      <c r="E333" s="5"/>
      <c r="F333" s="5"/>
      <c r="G333" s="5"/>
      <c r="H333" s="6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T333" s="5"/>
      <c r="CW333" s="144"/>
      <c r="DG333" s="143"/>
    </row>
    <row r="334" spans="1:111" ht="11.25">
      <c r="A334" s="5"/>
      <c r="B334" s="6"/>
      <c r="C334" s="6"/>
      <c r="D334" s="5"/>
      <c r="E334" s="5"/>
      <c r="F334" s="5"/>
      <c r="G334" s="5"/>
      <c r="H334" s="6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T334" s="5"/>
      <c r="CW334" s="144"/>
      <c r="DG334" s="143"/>
    </row>
    <row r="335" spans="1:111" ht="11.25">
      <c r="A335" s="5"/>
      <c r="B335" s="6"/>
      <c r="C335" s="6"/>
      <c r="D335" s="5"/>
      <c r="E335" s="5"/>
      <c r="F335" s="5"/>
      <c r="G335" s="5"/>
      <c r="H335" s="6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T335" s="5"/>
      <c r="CW335" s="144"/>
      <c r="DG335" s="143"/>
    </row>
    <row r="336" spans="1:111" ht="11.25">
      <c r="A336" s="5"/>
      <c r="B336" s="6"/>
      <c r="C336" s="6"/>
      <c r="D336" s="5"/>
      <c r="E336" s="5"/>
      <c r="F336" s="5"/>
      <c r="G336" s="5"/>
      <c r="H336" s="6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T336" s="5"/>
      <c r="CW336" s="144"/>
      <c r="DG336" s="143"/>
    </row>
    <row r="337" spans="1:111" ht="11.25">
      <c r="A337" s="5"/>
      <c r="B337" s="6"/>
      <c r="C337" s="6"/>
      <c r="D337" s="5"/>
      <c r="E337" s="5"/>
      <c r="F337" s="5"/>
      <c r="G337" s="5"/>
      <c r="H337" s="6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T337" s="5"/>
      <c r="CW337" s="144"/>
      <c r="DG337" s="143"/>
    </row>
    <row r="338" spans="1:111" ht="11.25">
      <c r="A338" s="5"/>
      <c r="B338" s="6"/>
      <c r="C338" s="6"/>
      <c r="D338" s="5"/>
      <c r="E338" s="5"/>
      <c r="F338" s="5"/>
      <c r="G338" s="5"/>
      <c r="H338" s="6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T338" s="5"/>
      <c r="CW338" s="144"/>
      <c r="DG338" s="143"/>
    </row>
    <row r="339" spans="1:111" ht="11.25">
      <c r="A339" s="5"/>
      <c r="B339" s="6"/>
      <c r="C339" s="6"/>
      <c r="D339" s="5"/>
      <c r="E339" s="5"/>
      <c r="F339" s="5"/>
      <c r="G339" s="5"/>
      <c r="H339" s="6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T339" s="5"/>
      <c r="CW339" s="144"/>
      <c r="DG339" s="143"/>
    </row>
    <row r="340" spans="1:111" ht="11.25">
      <c r="A340" s="5"/>
      <c r="B340" s="6"/>
      <c r="C340" s="6"/>
      <c r="D340" s="5"/>
      <c r="E340" s="5"/>
      <c r="F340" s="5"/>
      <c r="G340" s="5"/>
      <c r="H340" s="6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T340" s="5"/>
      <c r="CW340" s="144"/>
      <c r="DG340" s="143"/>
    </row>
    <row r="341" spans="1:111" ht="11.25">
      <c r="A341" s="5"/>
      <c r="B341" s="6"/>
      <c r="C341" s="6"/>
      <c r="D341" s="5"/>
      <c r="E341" s="5"/>
      <c r="F341" s="5"/>
      <c r="G341" s="5"/>
      <c r="H341" s="6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T341" s="5"/>
      <c r="CW341" s="144"/>
      <c r="DG341" s="143"/>
    </row>
    <row r="342" spans="1:111" ht="11.25">
      <c r="A342" s="5"/>
      <c r="B342" s="6"/>
      <c r="C342" s="6"/>
      <c r="D342" s="5"/>
      <c r="E342" s="5"/>
      <c r="F342" s="5"/>
      <c r="G342" s="5"/>
      <c r="H342" s="6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T342" s="5"/>
      <c r="CW342" s="144"/>
      <c r="DG342" s="143"/>
    </row>
    <row r="343" spans="1:111" ht="11.25">
      <c r="A343" s="5"/>
      <c r="B343" s="6"/>
      <c r="C343" s="6"/>
      <c r="D343" s="5"/>
      <c r="E343" s="5"/>
      <c r="F343" s="5"/>
      <c r="G343" s="5"/>
      <c r="H343" s="6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T343" s="5"/>
      <c r="CW343" s="144"/>
      <c r="DG343" s="143"/>
    </row>
    <row r="344" spans="1:111" ht="11.25">
      <c r="A344" s="5"/>
      <c r="B344" s="6"/>
      <c r="C344" s="6"/>
      <c r="D344" s="5"/>
      <c r="E344" s="5"/>
      <c r="F344" s="5"/>
      <c r="G344" s="5"/>
      <c r="H344" s="6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T344" s="5"/>
      <c r="CW344" s="144"/>
      <c r="DG344" s="143"/>
    </row>
    <row r="345" spans="1:111" ht="11.25">
      <c r="A345" s="5"/>
      <c r="B345" s="6"/>
      <c r="C345" s="6"/>
      <c r="D345" s="5"/>
      <c r="E345" s="5"/>
      <c r="F345" s="5"/>
      <c r="G345" s="5"/>
      <c r="H345" s="6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T345" s="5"/>
      <c r="CW345" s="144"/>
      <c r="DG345" s="143"/>
    </row>
    <row r="346" spans="1:111" ht="11.25">
      <c r="A346" s="5"/>
      <c r="B346" s="6"/>
      <c r="C346" s="6"/>
      <c r="D346" s="5"/>
      <c r="E346" s="5"/>
      <c r="F346" s="5"/>
      <c r="G346" s="5"/>
      <c r="H346" s="6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T346" s="5"/>
      <c r="CW346" s="144"/>
      <c r="DG346" s="143"/>
    </row>
    <row r="347" spans="1:111" ht="11.25">
      <c r="A347" s="5"/>
      <c r="B347" s="6"/>
      <c r="C347" s="6"/>
      <c r="D347" s="5"/>
      <c r="E347" s="5"/>
      <c r="F347" s="5"/>
      <c r="G347" s="5"/>
      <c r="H347" s="6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T347" s="5"/>
      <c r="CW347" s="144"/>
      <c r="DG347" s="143"/>
    </row>
    <row r="348" spans="1:111" ht="11.25">
      <c r="A348" s="5"/>
      <c r="B348" s="6"/>
      <c r="C348" s="6"/>
      <c r="D348" s="5"/>
      <c r="E348" s="5"/>
      <c r="F348" s="5"/>
      <c r="G348" s="5"/>
      <c r="H348" s="6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T348" s="5"/>
      <c r="CW348" s="144"/>
      <c r="DG348" s="143"/>
    </row>
    <row r="349" spans="1:111" ht="11.25">
      <c r="A349" s="5"/>
      <c r="B349" s="6"/>
      <c r="C349" s="6"/>
      <c r="D349" s="5"/>
      <c r="E349" s="5"/>
      <c r="F349" s="5"/>
      <c r="G349" s="5"/>
      <c r="H349" s="6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T349" s="5"/>
      <c r="CW349" s="144"/>
      <c r="DG349" s="143"/>
    </row>
    <row r="350" spans="1:111" ht="11.25">
      <c r="A350" s="5"/>
      <c r="B350" s="6"/>
      <c r="C350" s="6"/>
      <c r="D350" s="5"/>
      <c r="E350" s="5"/>
      <c r="F350" s="5"/>
      <c r="G350" s="5"/>
      <c r="H350" s="6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T350" s="5"/>
      <c r="CW350" s="144"/>
      <c r="DG350" s="143"/>
    </row>
    <row r="351" spans="1:111" ht="11.25">
      <c r="A351" s="5"/>
      <c r="B351" s="6"/>
      <c r="C351" s="6"/>
      <c r="D351" s="5"/>
      <c r="E351" s="5"/>
      <c r="F351" s="5"/>
      <c r="G351" s="5"/>
      <c r="H351" s="6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T351" s="5"/>
      <c r="CW351" s="144"/>
      <c r="DG351" s="143"/>
    </row>
    <row r="352" spans="1:111" ht="11.25">
      <c r="A352" s="5"/>
      <c r="B352" s="6"/>
      <c r="C352" s="6"/>
      <c r="D352" s="5"/>
      <c r="E352" s="5"/>
      <c r="F352" s="5"/>
      <c r="G352" s="5"/>
      <c r="H352" s="6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T352" s="5"/>
      <c r="CW352" s="144"/>
      <c r="DG352" s="143"/>
    </row>
    <row r="353" spans="1:111" ht="11.25">
      <c r="A353" s="5"/>
      <c r="B353" s="6"/>
      <c r="C353" s="6"/>
      <c r="D353" s="5"/>
      <c r="E353" s="5"/>
      <c r="F353" s="5"/>
      <c r="G353" s="5"/>
      <c r="H353" s="6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T353" s="5"/>
      <c r="CW353" s="144"/>
      <c r="DG353" s="143"/>
    </row>
    <row r="354" spans="1:111" ht="11.25">
      <c r="A354" s="5"/>
      <c r="B354" s="6"/>
      <c r="C354" s="6"/>
      <c r="D354" s="5"/>
      <c r="E354" s="5"/>
      <c r="F354" s="5"/>
      <c r="G354" s="5"/>
      <c r="H354" s="6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T354" s="5"/>
      <c r="CW354" s="144"/>
      <c r="DG354" s="143"/>
    </row>
    <row r="355" spans="1:111" ht="11.25">
      <c r="A355" s="5"/>
      <c r="B355" s="6"/>
      <c r="C355" s="6"/>
      <c r="D355" s="5"/>
      <c r="E355" s="5"/>
      <c r="F355" s="5"/>
      <c r="G355" s="5"/>
      <c r="H355" s="6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T355" s="5"/>
      <c r="CW355" s="144"/>
      <c r="DG355" s="143"/>
    </row>
    <row r="356" spans="1:111" ht="11.25">
      <c r="A356" s="5"/>
      <c r="B356" s="6"/>
      <c r="C356" s="6"/>
      <c r="D356" s="5"/>
      <c r="E356" s="5"/>
      <c r="F356" s="5"/>
      <c r="G356" s="5"/>
      <c r="H356" s="6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T356" s="5"/>
      <c r="CW356" s="144"/>
      <c r="DG356" s="143"/>
    </row>
    <row r="357" spans="1:111" ht="11.25">
      <c r="A357" s="5"/>
      <c r="B357" s="6"/>
      <c r="C357" s="6"/>
      <c r="D357" s="5"/>
      <c r="E357" s="5"/>
      <c r="F357" s="5"/>
      <c r="G357" s="5"/>
      <c r="H357" s="6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T357" s="5"/>
      <c r="CW357" s="144"/>
      <c r="DG357" s="143"/>
    </row>
    <row r="358" spans="1:111" ht="11.25">
      <c r="A358" s="5"/>
      <c r="B358" s="6"/>
      <c r="C358" s="6"/>
      <c r="D358" s="5"/>
      <c r="E358" s="5"/>
      <c r="F358" s="5"/>
      <c r="G358" s="5"/>
      <c r="H358" s="6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T358" s="5"/>
      <c r="CW358" s="144"/>
      <c r="DG358" s="143"/>
    </row>
    <row r="359" spans="1:111" ht="11.25">
      <c r="A359" s="5"/>
      <c r="B359" s="6"/>
      <c r="C359" s="6"/>
      <c r="D359" s="5"/>
      <c r="E359" s="5"/>
      <c r="F359" s="5"/>
      <c r="G359" s="5"/>
      <c r="H359" s="6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T359" s="5"/>
      <c r="CW359" s="144"/>
      <c r="DG359" s="143"/>
    </row>
    <row r="360" spans="1:111" ht="11.25">
      <c r="A360" s="5"/>
      <c r="B360" s="6"/>
      <c r="C360" s="6"/>
      <c r="D360" s="5"/>
      <c r="E360" s="5"/>
      <c r="F360" s="5"/>
      <c r="G360" s="5"/>
      <c r="H360" s="6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T360" s="5"/>
      <c r="CW360" s="144"/>
      <c r="DG360" s="143"/>
    </row>
    <row r="361" spans="1:111" ht="11.25">
      <c r="A361" s="5"/>
      <c r="B361" s="6"/>
      <c r="C361" s="6"/>
      <c r="D361" s="5"/>
      <c r="E361" s="5"/>
      <c r="F361" s="5"/>
      <c r="G361" s="5"/>
      <c r="H361" s="6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T361" s="5"/>
      <c r="CW361" s="144"/>
      <c r="DG361" s="143"/>
    </row>
    <row r="362" spans="1:111" ht="11.25">
      <c r="A362" s="5"/>
      <c r="B362" s="6"/>
      <c r="C362" s="6"/>
      <c r="D362" s="5"/>
      <c r="E362" s="5"/>
      <c r="F362" s="5"/>
      <c r="G362" s="5"/>
      <c r="H362" s="6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T362" s="5"/>
      <c r="CW362" s="144"/>
      <c r="DG362" s="143"/>
    </row>
    <row r="363" spans="1:111" ht="11.25">
      <c r="A363" s="5"/>
      <c r="B363" s="6"/>
      <c r="C363" s="6"/>
      <c r="D363" s="5"/>
      <c r="E363" s="5"/>
      <c r="F363" s="5"/>
      <c r="G363" s="5"/>
      <c r="H363" s="6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T363" s="5"/>
      <c r="CW363" s="144"/>
      <c r="DG363" s="143"/>
    </row>
    <row r="364" spans="1:111" ht="11.25">
      <c r="A364" s="5"/>
      <c r="B364" s="6"/>
      <c r="C364" s="6"/>
      <c r="D364" s="5"/>
      <c r="E364" s="5"/>
      <c r="F364" s="5"/>
      <c r="G364" s="5"/>
      <c r="H364" s="6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T364" s="5"/>
      <c r="CW364" s="144"/>
      <c r="DG364" s="143"/>
    </row>
    <row r="365" spans="1:111" ht="11.25">
      <c r="A365" s="5"/>
      <c r="B365" s="6"/>
      <c r="C365" s="6"/>
      <c r="D365" s="5"/>
      <c r="E365" s="5"/>
      <c r="F365" s="5"/>
      <c r="G365" s="5"/>
      <c r="H365" s="6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T365" s="5"/>
      <c r="CW365" s="144"/>
      <c r="DG365" s="143"/>
    </row>
    <row r="366" spans="1:111" ht="11.25">
      <c r="A366" s="5"/>
      <c r="B366" s="6"/>
      <c r="C366" s="6"/>
      <c r="D366" s="5"/>
      <c r="E366" s="5"/>
      <c r="F366" s="5"/>
      <c r="G366" s="5"/>
      <c r="H366" s="6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T366" s="5"/>
      <c r="CW366" s="144"/>
      <c r="DG366" s="143"/>
    </row>
    <row r="367" spans="1:111" ht="11.25">
      <c r="A367" s="5"/>
      <c r="B367" s="6"/>
      <c r="C367" s="6"/>
      <c r="D367" s="5"/>
      <c r="E367" s="5"/>
      <c r="F367" s="5"/>
      <c r="G367" s="5"/>
      <c r="H367" s="6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T367" s="5"/>
      <c r="CW367" s="144"/>
      <c r="DG367" s="143"/>
    </row>
    <row r="368" spans="1:111" ht="11.25">
      <c r="A368" s="5"/>
      <c r="B368" s="6"/>
      <c r="C368" s="6"/>
      <c r="D368" s="5"/>
      <c r="E368" s="5"/>
      <c r="F368" s="5"/>
      <c r="G368" s="5"/>
      <c r="H368" s="6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T368" s="5"/>
      <c r="CW368" s="144"/>
      <c r="DG368" s="143"/>
    </row>
    <row r="369" spans="1:111" ht="11.25">
      <c r="A369" s="5"/>
      <c r="B369" s="6"/>
      <c r="C369" s="6"/>
      <c r="D369" s="5"/>
      <c r="E369" s="5"/>
      <c r="F369" s="5"/>
      <c r="G369" s="5"/>
      <c r="H369" s="6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T369" s="5"/>
      <c r="CW369" s="144"/>
      <c r="DG369" s="143"/>
    </row>
    <row r="370" spans="1:111" ht="11.25">
      <c r="A370" s="5"/>
      <c r="B370" s="6"/>
      <c r="C370" s="6"/>
      <c r="D370" s="5"/>
      <c r="E370" s="5"/>
      <c r="F370" s="5"/>
      <c r="G370" s="5"/>
      <c r="H370" s="6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T370" s="5"/>
      <c r="CW370" s="144"/>
      <c r="DG370" s="143"/>
    </row>
    <row r="371" spans="1:111" ht="11.25">
      <c r="A371" s="5"/>
      <c r="B371" s="6"/>
      <c r="C371" s="6"/>
      <c r="D371" s="5"/>
      <c r="E371" s="5"/>
      <c r="F371" s="5"/>
      <c r="G371" s="5"/>
      <c r="H371" s="6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T371" s="5"/>
      <c r="CW371" s="144"/>
      <c r="DG371" s="143"/>
    </row>
    <row r="372" spans="1:111" ht="11.25">
      <c r="A372" s="5"/>
      <c r="B372" s="6"/>
      <c r="C372" s="6"/>
      <c r="D372" s="5"/>
      <c r="E372" s="5"/>
      <c r="F372" s="5"/>
      <c r="G372" s="5"/>
      <c r="H372" s="6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T372" s="5"/>
      <c r="CW372" s="144"/>
      <c r="DG372" s="143"/>
    </row>
    <row r="373" spans="1:111" ht="11.25">
      <c r="A373" s="5"/>
      <c r="B373" s="6"/>
      <c r="C373" s="6"/>
      <c r="D373" s="5"/>
      <c r="E373" s="5"/>
      <c r="F373" s="5"/>
      <c r="G373" s="5"/>
      <c r="H373" s="6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T373" s="5"/>
      <c r="CW373" s="144"/>
      <c r="DG373" s="143"/>
    </row>
    <row r="374" spans="1:111" ht="11.25">
      <c r="A374" s="5"/>
      <c r="B374" s="6"/>
      <c r="C374" s="6"/>
      <c r="D374" s="5"/>
      <c r="E374" s="5"/>
      <c r="F374" s="5"/>
      <c r="G374" s="5"/>
      <c r="H374" s="6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T374" s="5"/>
      <c r="CW374" s="144"/>
      <c r="DG374" s="143"/>
    </row>
    <row r="375" spans="1:111" ht="11.25">
      <c r="A375" s="5"/>
      <c r="B375" s="6"/>
      <c r="C375" s="6"/>
      <c r="D375" s="5"/>
      <c r="E375" s="5"/>
      <c r="F375" s="5"/>
      <c r="G375" s="5"/>
      <c r="H375" s="6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T375" s="5"/>
      <c r="CW375" s="144"/>
      <c r="DG375" s="143"/>
    </row>
    <row r="376" spans="1:111" ht="11.25">
      <c r="A376" s="5"/>
      <c r="B376" s="6"/>
      <c r="C376" s="6"/>
      <c r="D376" s="5"/>
      <c r="E376" s="5"/>
      <c r="F376" s="5"/>
      <c r="G376" s="5"/>
      <c r="H376" s="6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T376" s="5"/>
      <c r="CW376" s="144"/>
      <c r="DG376" s="143"/>
    </row>
    <row r="377" spans="1:111" ht="11.25">
      <c r="A377" s="5"/>
      <c r="B377" s="6"/>
      <c r="C377" s="6"/>
      <c r="D377" s="5"/>
      <c r="E377" s="5"/>
      <c r="F377" s="5"/>
      <c r="G377" s="5"/>
      <c r="H377" s="6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T377" s="5"/>
      <c r="CW377" s="144"/>
      <c r="DG377" s="143"/>
    </row>
    <row r="378" spans="1:111" ht="11.25">
      <c r="A378" s="5"/>
      <c r="B378" s="6"/>
      <c r="C378" s="6"/>
      <c r="D378" s="5"/>
      <c r="E378" s="5"/>
      <c r="F378" s="5"/>
      <c r="G378" s="5"/>
      <c r="H378" s="6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T378" s="5"/>
      <c r="CW378" s="144"/>
      <c r="DG378" s="143"/>
    </row>
    <row r="379" spans="1:111" ht="11.25">
      <c r="A379" s="5"/>
      <c r="B379" s="6"/>
      <c r="C379" s="6"/>
      <c r="D379" s="5"/>
      <c r="E379" s="5"/>
      <c r="F379" s="5"/>
      <c r="G379" s="5"/>
      <c r="H379" s="6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T379" s="5"/>
      <c r="CW379" s="144"/>
      <c r="DG379" s="143"/>
    </row>
    <row r="380" spans="1:111" ht="11.25">
      <c r="A380" s="5"/>
      <c r="B380" s="6"/>
      <c r="C380" s="6"/>
      <c r="D380" s="5"/>
      <c r="E380" s="5"/>
      <c r="F380" s="5"/>
      <c r="G380" s="5"/>
      <c r="H380" s="6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T380" s="5"/>
      <c r="CW380" s="144"/>
      <c r="DG380" s="143"/>
    </row>
    <row r="381" spans="1:111" ht="11.25">
      <c r="A381" s="5"/>
      <c r="B381" s="6"/>
      <c r="C381" s="6"/>
      <c r="D381" s="5"/>
      <c r="E381" s="5"/>
      <c r="F381" s="5"/>
      <c r="G381" s="5"/>
      <c r="H381" s="6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T381" s="5"/>
      <c r="CW381" s="144"/>
      <c r="DG381" s="143"/>
    </row>
    <row r="382" spans="1:111" ht="11.25">
      <c r="A382" s="5"/>
      <c r="B382" s="6"/>
      <c r="C382" s="6"/>
      <c r="D382" s="5"/>
      <c r="E382" s="5"/>
      <c r="F382" s="5"/>
      <c r="G382" s="5"/>
      <c r="H382" s="6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T382" s="5"/>
      <c r="CW382" s="144"/>
      <c r="DG382" s="143"/>
    </row>
    <row r="383" spans="1:111" ht="11.25">
      <c r="A383" s="5"/>
      <c r="B383" s="6"/>
      <c r="C383" s="6"/>
      <c r="D383" s="5"/>
      <c r="E383" s="5"/>
      <c r="F383" s="5"/>
      <c r="G383" s="5"/>
      <c r="H383" s="6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T383" s="5"/>
      <c r="CW383" s="144"/>
      <c r="DG383" s="143"/>
    </row>
    <row r="384" spans="1:111" ht="11.25">
      <c r="A384" s="5"/>
      <c r="B384" s="6"/>
      <c r="C384" s="6"/>
      <c r="D384" s="5"/>
      <c r="E384" s="5"/>
      <c r="F384" s="5"/>
      <c r="G384" s="5"/>
      <c r="H384" s="6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T384" s="5"/>
      <c r="CW384" s="144"/>
      <c r="DG384" s="143"/>
    </row>
    <row r="385" spans="1:111" ht="11.25">
      <c r="A385" s="5"/>
      <c r="B385" s="6"/>
      <c r="C385" s="6"/>
      <c r="D385" s="5"/>
      <c r="E385" s="5"/>
      <c r="F385" s="5"/>
      <c r="G385" s="5"/>
      <c r="H385" s="6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T385" s="5"/>
      <c r="CW385" s="144"/>
      <c r="DG385" s="143"/>
    </row>
    <row r="386" spans="1:111" ht="11.25">
      <c r="A386" s="5"/>
      <c r="B386" s="6"/>
      <c r="C386" s="6"/>
      <c r="D386" s="5"/>
      <c r="E386" s="5"/>
      <c r="F386" s="5"/>
      <c r="G386" s="5"/>
      <c r="H386" s="6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T386" s="5"/>
      <c r="CW386" s="144"/>
      <c r="DG386" s="143"/>
    </row>
    <row r="387" spans="1:111" ht="11.25">
      <c r="A387" s="5"/>
      <c r="B387" s="6"/>
      <c r="C387" s="6"/>
      <c r="D387" s="5"/>
      <c r="E387" s="5"/>
      <c r="F387" s="5"/>
      <c r="G387" s="5"/>
      <c r="H387" s="6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T387" s="5"/>
      <c r="CW387" s="144"/>
      <c r="DG387" s="143"/>
    </row>
    <row r="388" spans="1:111" ht="11.25">
      <c r="A388" s="5"/>
      <c r="B388" s="6"/>
      <c r="C388" s="6"/>
      <c r="D388" s="5"/>
      <c r="E388" s="5"/>
      <c r="F388" s="5"/>
      <c r="G388" s="5"/>
      <c r="H388" s="6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T388" s="5"/>
      <c r="CW388" s="144"/>
      <c r="DG388" s="143"/>
    </row>
    <row r="389" spans="1:111" ht="11.25">
      <c r="A389" s="5"/>
      <c r="B389" s="6"/>
      <c r="C389" s="6"/>
      <c r="D389" s="5"/>
      <c r="E389" s="5"/>
      <c r="F389" s="5"/>
      <c r="G389" s="5"/>
      <c r="H389" s="6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T389" s="5"/>
      <c r="CW389" s="144"/>
      <c r="DG389" s="143"/>
    </row>
    <row r="390" spans="1:111" ht="11.25">
      <c r="A390" s="5"/>
      <c r="B390" s="6"/>
      <c r="C390" s="6"/>
      <c r="D390" s="5"/>
      <c r="E390" s="5"/>
      <c r="F390" s="5"/>
      <c r="G390" s="5"/>
      <c r="H390" s="6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T390" s="5"/>
      <c r="CW390" s="144"/>
      <c r="DG390" s="143"/>
    </row>
    <row r="391" spans="1:111" ht="11.25">
      <c r="A391" s="5"/>
      <c r="B391" s="6"/>
      <c r="C391" s="6"/>
      <c r="D391" s="5"/>
      <c r="E391" s="5"/>
      <c r="F391" s="5"/>
      <c r="G391" s="5"/>
      <c r="H391" s="6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T391" s="5"/>
      <c r="CW391" s="144"/>
      <c r="DG391" s="143"/>
    </row>
    <row r="392" spans="1:111" ht="11.25">
      <c r="A392" s="5"/>
      <c r="B392" s="6"/>
      <c r="C392" s="6"/>
      <c r="D392" s="5"/>
      <c r="E392" s="5"/>
      <c r="F392" s="5"/>
      <c r="G392" s="5"/>
      <c r="H392" s="6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T392" s="5"/>
      <c r="CW392" s="144"/>
      <c r="DG392" s="143"/>
    </row>
    <row r="393" spans="1:111" ht="11.25">
      <c r="A393" s="5"/>
      <c r="B393" s="6"/>
      <c r="C393" s="6"/>
      <c r="D393" s="5"/>
      <c r="E393" s="5"/>
      <c r="F393" s="5"/>
      <c r="G393" s="5"/>
      <c r="H393" s="6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T393" s="5"/>
      <c r="CW393" s="144"/>
      <c r="DG393" s="143"/>
    </row>
    <row r="394" spans="1:111" ht="11.25">
      <c r="A394" s="5"/>
      <c r="B394" s="6"/>
      <c r="C394" s="6"/>
      <c r="D394" s="5"/>
      <c r="E394" s="5"/>
      <c r="F394" s="5"/>
      <c r="G394" s="5"/>
      <c r="H394" s="6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T394" s="5"/>
      <c r="CW394" s="144"/>
      <c r="DG394" s="143"/>
    </row>
    <row r="395" spans="1:111" ht="11.25">
      <c r="A395" s="5"/>
      <c r="B395" s="6"/>
      <c r="C395" s="6"/>
      <c r="D395" s="5"/>
      <c r="E395" s="5"/>
      <c r="F395" s="5"/>
      <c r="G395" s="5"/>
      <c r="H395" s="6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T395" s="5"/>
      <c r="CW395" s="144"/>
      <c r="DG395" s="143"/>
    </row>
    <row r="396" spans="1:111" ht="11.25">
      <c r="A396" s="5"/>
      <c r="B396" s="6"/>
      <c r="C396" s="6"/>
      <c r="D396" s="5"/>
      <c r="E396" s="5"/>
      <c r="F396" s="5"/>
      <c r="G396" s="5"/>
      <c r="H396" s="6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T396" s="5"/>
      <c r="CW396" s="144"/>
      <c r="DG396" s="143"/>
    </row>
    <row r="397" spans="1:111" ht="11.25">
      <c r="A397" s="5"/>
      <c r="B397" s="6"/>
      <c r="C397" s="6"/>
      <c r="D397" s="5"/>
      <c r="E397" s="5"/>
      <c r="F397" s="5"/>
      <c r="G397" s="5"/>
      <c r="H397" s="6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T397" s="5"/>
      <c r="CW397" s="144"/>
      <c r="DG397" s="143"/>
    </row>
    <row r="398" spans="1:111" ht="11.25">
      <c r="A398" s="5"/>
      <c r="B398" s="6"/>
      <c r="C398" s="6"/>
      <c r="D398" s="5"/>
      <c r="E398" s="5"/>
      <c r="F398" s="5"/>
      <c r="G398" s="5"/>
      <c r="H398" s="6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T398" s="5"/>
      <c r="CW398" s="144"/>
      <c r="DG398" s="143"/>
    </row>
    <row r="399" spans="1:111" ht="11.25">
      <c r="A399" s="5"/>
      <c r="B399" s="6"/>
      <c r="C399" s="6"/>
      <c r="D399" s="5"/>
      <c r="E399" s="5"/>
      <c r="F399" s="5"/>
      <c r="G399" s="5"/>
      <c r="H399" s="6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T399" s="5"/>
      <c r="CW399" s="144"/>
      <c r="DG399" s="143"/>
    </row>
    <row r="400" spans="1:111" ht="11.25">
      <c r="A400" s="5"/>
      <c r="B400" s="6"/>
      <c r="C400" s="6"/>
      <c r="D400" s="5"/>
      <c r="E400" s="5"/>
      <c r="F400" s="5"/>
      <c r="G400" s="5"/>
      <c r="H400" s="6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T400" s="5"/>
      <c r="CW400" s="144"/>
      <c r="DG400" s="143"/>
    </row>
    <row r="401" spans="1:111" ht="11.25">
      <c r="A401" s="5"/>
      <c r="B401" s="6"/>
      <c r="C401" s="6"/>
      <c r="D401" s="5"/>
      <c r="E401" s="5"/>
      <c r="F401" s="5"/>
      <c r="G401" s="5"/>
      <c r="H401" s="6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T401" s="5"/>
      <c r="CW401" s="144"/>
      <c r="DG401" s="143"/>
    </row>
    <row r="402" spans="1:111" ht="11.25">
      <c r="A402" s="5"/>
      <c r="B402" s="6"/>
      <c r="C402" s="6"/>
      <c r="D402" s="5"/>
      <c r="E402" s="5"/>
      <c r="F402" s="5"/>
      <c r="G402" s="5"/>
      <c r="H402" s="6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T402" s="5"/>
      <c r="CW402" s="144"/>
      <c r="DG402" s="143"/>
    </row>
    <row r="403" spans="1:111" ht="11.25">
      <c r="A403" s="5"/>
      <c r="B403" s="6"/>
      <c r="C403" s="6"/>
      <c r="D403" s="5"/>
      <c r="E403" s="5"/>
      <c r="F403" s="5"/>
      <c r="G403" s="5"/>
      <c r="H403" s="6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T403" s="5"/>
      <c r="CW403" s="144"/>
      <c r="DG403" s="143"/>
    </row>
    <row r="404" spans="1:111" ht="11.25">
      <c r="A404" s="5"/>
      <c r="B404" s="6"/>
      <c r="C404" s="6"/>
      <c r="D404" s="5"/>
      <c r="E404" s="5"/>
      <c r="F404" s="5"/>
      <c r="G404" s="5"/>
      <c r="H404" s="6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T404" s="5"/>
      <c r="CW404" s="144"/>
      <c r="DG404" s="143"/>
    </row>
    <row r="405" spans="1:111" ht="11.25">
      <c r="A405" s="5"/>
      <c r="B405" s="6"/>
      <c r="C405" s="6"/>
      <c r="D405" s="5"/>
      <c r="E405" s="5"/>
      <c r="F405" s="5"/>
      <c r="G405" s="5"/>
      <c r="H405" s="6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T405" s="5"/>
      <c r="CW405" s="144"/>
      <c r="DG405" s="143"/>
    </row>
    <row r="406" spans="1:111" ht="11.25">
      <c r="A406" s="5"/>
      <c r="B406" s="6"/>
      <c r="C406" s="6"/>
      <c r="D406" s="5"/>
      <c r="E406" s="5"/>
      <c r="F406" s="5"/>
      <c r="G406" s="5"/>
      <c r="H406" s="6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T406" s="5"/>
      <c r="CW406" s="144"/>
      <c r="DG406" s="143"/>
    </row>
    <row r="407" spans="1:111" ht="11.25">
      <c r="A407" s="5"/>
      <c r="B407" s="6"/>
      <c r="C407" s="6"/>
      <c r="D407" s="5"/>
      <c r="E407" s="5"/>
      <c r="F407" s="5"/>
      <c r="G407" s="5"/>
      <c r="H407" s="6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T407" s="5"/>
      <c r="CW407" s="144"/>
      <c r="DG407" s="143"/>
    </row>
    <row r="408" spans="1:111" ht="11.25">
      <c r="A408" s="5"/>
      <c r="B408" s="6"/>
      <c r="C408" s="6"/>
      <c r="D408" s="5"/>
      <c r="E408" s="5"/>
      <c r="F408" s="5"/>
      <c r="G408" s="5"/>
      <c r="H408" s="6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T408" s="5"/>
      <c r="CW408" s="144"/>
      <c r="DG408" s="143"/>
    </row>
    <row r="409" spans="1:111" ht="11.25">
      <c r="A409" s="5"/>
      <c r="B409" s="6"/>
      <c r="C409" s="6"/>
      <c r="D409" s="5"/>
      <c r="E409" s="5"/>
      <c r="F409" s="5"/>
      <c r="G409" s="5"/>
      <c r="H409" s="6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T409" s="5"/>
      <c r="CW409" s="144"/>
      <c r="DG409" s="143"/>
    </row>
    <row r="410" spans="1:111" ht="11.25">
      <c r="A410" s="5"/>
      <c r="B410" s="6"/>
      <c r="C410" s="6"/>
      <c r="D410" s="5"/>
      <c r="E410" s="5"/>
      <c r="F410" s="5"/>
      <c r="G410" s="5"/>
      <c r="H410" s="6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T410" s="5"/>
      <c r="CW410" s="144"/>
      <c r="DG410" s="143"/>
    </row>
    <row r="411" spans="1:111" ht="11.25">
      <c r="A411" s="5"/>
      <c r="B411" s="6"/>
      <c r="C411" s="6"/>
      <c r="D411" s="5"/>
      <c r="E411" s="5"/>
      <c r="F411" s="5"/>
      <c r="G411" s="5"/>
      <c r="H411" s="6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T411" s="5"/>
      <c r="CW411" s="144"/>
      <c r="DG411" s="143"/>
    </row>
    <row r="412" spans="1:111" ht="11.25">
      <c r="A412" s="5"/>
      <c r="B412" s="6"/>
      <c r="C412" s="6"/>
      <c r="D412" s="5"/>
      <c r="E412" s="5"/>
      <c r="F412" s="5"/>
      <c r="G412" s="5"/>
      <c r="H412" s="6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T412" s="5"/>
      <c r="CW412" s="144"/>
      <c r="DG412" s="143"/>
    </row>
    <row r="413" spans="1:111" ht="11.25">
      <c r="A413" s="5"/>
      <c r="B413" s="6"/>
      <c r="C413" s="6"/>
      <c r="D413" s="5"/>
      <c r="E413" s="5"/>
      <c r="F413" s="5"/>
      <c r="G413" s="5"/>
      <c r="H413" s="6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T413" s="5"/>
      <c r="CW413" s="144"/>
      <c r="DG413" s="143"/>
    </row>
    <row r="414" spans="1:111" ht="11.25">
      <c r="A414" s="5"/>
      <c r="B414" s="6"/>
      <c r="C414" s="6"/>
      <c r="D414" s="5"/>
      <c r="E414" s="5"/>
      <c r="F414" s="5"/>
      <c r="G414" s="5"/>
      <c r="H414" s="6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T414" s="5"/>
      <c r="CW414" s="144"/>
      <c r="DG414" s="143"/>
    </row>
    <row r="415" spans="1:111" ht="11.25">
      <c r="A415" s="5"/>
      <c r="B415" s="6"/>
      <c r="C415" s="6"/>
      <c r="D415" s="5"/>
      <c r="E415" s="5"/>
      <c r="F415" s="5"/>
      <c r="G415" s="5"/>
      <c r="H415" s="6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T415" s="5"/>
      <c r="CW415" s="144"/>
      <c r="DG415" s="143"/>
    </row>
    <row r="416" spans="1:111" ht="11.25">
      <c r="A416" s="5"/>
      <c r="B416" s="6"/>
      <c r="C416" s="6"/>
      <c r="D416" s="5"/>
      <c r="E416" s="5"/>
      <c r="F416" s="5"/>
      <c r="G416" s="5"/>
      <c r="H416" s="6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T416" s="5"/>
      <c r="CW416" s="144"/>
      <c r="DG416" s="143"/>
    </row>
    <row r="417" spans="1:111" ht="11.25">
      <c r="A417" s="5"/>
      <c r="B417" s="6"/>
      <c r="C417" s="6"/>
      <c r="D417" s="5"/>
      <c r="E417" s="5"/>
      <c r="F417" s="5"/>
      <c r="G417" s="5"/>
      <c r="H417" s="6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T417" s="5"/>
      <c r="CW417" s="144"/>
      <c r="DG417" s="143"/>
    </row>
    <row r="418" spans="1:111" ht="11.25">
      <c r="A418" s="5"/>
      <c r="B418" s="6"/>
      <c r="C418" s="6"/>
      <c r="D418" s="5"/>
      <c r="E418" s="5"/>
      <c r="F418" s="5"/>
      <c r="G418" s="5"/>
      <c r="H418" s="6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T418" s="5"/>
      <c r="CW418" s="144"/>
      <c r="DG418" s="143"/>
    </row>
    <row r="419" spans="1:111" ht="11.25">
      <c r="A419" s="5"/>
      <c r="B419" s="6"/>
      <c r="C419" s="6"/>
      <c r="D419" s="5"/>
      <c r="E419" s="5"/>
      <c r="F419" s="5"/>
      <c r="G419" s="5"/>
      <c r="H419" s="6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T419" s="5"/>
      <c r="CW419" s="144"/>
      <c r="DG419" s="143"/>
    </row>
    <row r="420" spans="1:111" ht="11.25">
      <c r="A420" s="5"/>
      <c r="B420" s="6"/>
      <c r="C420" s="6"/>
      <c r="D420" s="5"/>
      <c r="E420" s="5"/>
      <c r="F420" s="5"/>
      <c r="G420" s="5"/>
      <c r="H420" s="6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T420" s="5"/>
      <c r="CW420" s="144"/>
      <c r="DG420" s="143"/>
    </row>
    <row r="421" spans="1:111" ht="11.25">
      <c r="A421" s="5"/>
      <c r="B421" s="6"/>
      <c r="C421" s="6"/>
      <c r="D421" s="5"/>
      <c r="E421" s="5"/>
      <c r="F421" s="5"/>
      <c r="G421" s="5"/>
      <c r="H421" s="6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T421" s="5"/>
      <c r="CW421" s="144"/>
      <c r="DG421" s="143"/>
    </row>
    <row r="422" spans="1:111" ht="11.25">
      <c r="A422" s="5"/>
      <c r="B422" s="6"/>
      <c r="C422" s="6"/>
      <c r="D422" s="5"/>
      <c r="E422" s="5"/>
      <c r="F422" s="5"/>
      <c r="G422" s="5"/>
      <c r="H422" s="6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T422" s="5"/>
      <c r="CW422" s="144"/>
      <c r="DG422" s="143"/>
    </row>
    <row r="423" spans="1:111" ht="11.25">
      <c r="A423" s="5"/>
      <c r="B423" s="6"/>
      <c r="C423" s="6"/>
      <c r="D423" s="5"/>
      <c r="E423" s="5"/>
      <c r="F423" s="5"/>
      <c r="G423" s="5"/>
      <c r="H423" s="6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T423" s="5"/>
      <c r="CW423" s="144"/>
      <c r="DG423" s="143"/>
    </row>
    <row r="424" spans="1:111" ht="11.25">
      <c r="A424" s="5"/>
      <c r="B424" s="6"/>
      <c r="C424" s="6"/>
      <c r="D424" s="5"/>
      <c r="E424" s="5"/>
      <c r="F424" s="5"/>
      <c r="G424" s="5"/>
      <c r="H424" s="6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T424" s="5"/>
      <c r="CW424" s="144"/>
      <c r="DG424" s="143"/>
    </row>
    <row r="425" spans="1:111" ht="11.25">
      <c r="A425" s="5"/>
      <c r="B425" s="6"/>
      <c r="C425" s="6"/>
      <c r="D425" s="5"/>
      <c r="E425" s="5"/>
      <c r="F425" s="5"/>
      <c r="G425" s="5"/>
      <c r="H425" s="6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T425" s="5"/>
      <c r="CW425" s="144"/>
      <c r="DG425" s="143"/>
    </row>
    <row r="426" spans="1:111" ht="11.25">
      <c r="A426" s="5"/>
      <c r="B426" s="6"/>
      <c r="C426" s="6"/>
      <c r="D426" s="5"/>
      <c r="E426" s="5"/>
      <c r="F426" s="5"/>
      <c r="G426" s="5"/>
      <c r="H426" s="6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T426" s="5"/>
      <c r="CW426" s="144"/>
      <c r="DG426" s="143"/>
    </row>
    <row r="427" spans="1:111" ht="11.25">
      <c r="A427" s="5"/>
      <c r="B427" s="6"/>
      <c r="C427" s="6"/>
      <c r="D427" s="5"/>
      <c r="E427" s="5"/>
      <c r="F427" s="5"/>
      <c r="G427" s="5"/>
      <c r="H427" s="6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T427" s="5"/>
      <c r="CW427" s="144"/>
      <c r="DG427" s="143"/>
    </row>
    <row r="428" spans="1:111" ht="11.25">
      <c r="A428" s="5"/>
      <c r="B428" s="6"/>
      <c r="C428" s="6"/>
      <c r="D428" s="5"/>
      <c r="E428" s="5"/>
      <c r="F428" s="5"/>
      <c r="G428" s="5"/>
      <c r="H428" s="6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T428" s="5"/>
      <c r="CW428" s="144"/>
      <c r="DG428" s="143"/>
    </row>
    <row r="429" spans="1:111" ht="11.25">
      <c r="A429" s="5"/>
      <c r="B429" s="6"/>
      <c r="C429" s="6"/>
      <c r="D429" s="5"/>
      <c r="E429" s="5"/>
      <c r="F429" s="5"/>
      <c r="G429" s="5"/>
      <c r="H429" s="6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T429" s="5"/>
      <c r="CW429" s="144"/>
      <c r="DG429" s="143"/>
    </row>
    <row r="430" spans="1:111" ht="11.25">
      <c r="A430" s="5"/>
      <c r="B430" s="6"/>
      <c r="C430" s="6"/>
      <c r="D430" s="5"/>
      <c r="E430" s="5"/>
      <c r="F430" s="5"/>
      <c r="G430" s="5"/>
      <c r="H430" s="6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T430" s="5"/>
      <c r="CW430" s="144"/>
      <c r="DG430" s="143"/>
    </row>
    <row r="431" spans="1:111" ht="11.25">
      <c r="A431" s="5"/>
      <c r="B431" s="6"/>
      <c r="C431" s="6"/>
      <c r="D431" s="5"/>
      <c r="E431" s="5"/>
      <c r="F431" s="5"/>
      <c r="G431" s="5"/>
      <c r="H431" s="6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T431" s="5"/>
      <c r="CW431" s="144"/>
      <c r="DG431" s="143"/>
    </row>
    <row r="432" spans="1:111" ht="11.25">
      <c r="A432" s="5"/>
      <c r="B432" s="6"/>
      <c r="C432" s="6"/>
      <c r="D432" s="5"/>
      <c r="E432" s="5"/>
      <c r="F432" s="5"/>
      <c r="G432" s="5"/>
      <c r="H432" s="6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T432" s="5"/>
      <c r="CW432" s="144"/>
      <c r="DG432" s="143"/>
    </row>
    <row r="433" spans="1:111" ht="11.25">
      <c r="A433" s="5"/>
      <c r="B433" s="6"/>
      <c r="C433" s="6"/>
      <c r="D433" s="5"/>
      <c r="E433" s="5"/>
      <c r="F433" s="5"/>
      <c r="G433" s="5"/>
      <c r="H433" s="6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T433" s="5"/>
      <c r="CW433" s="144"/>
      <c r="DG433" s="143"/>
    </row>
    <row r="434" spans="1:111" ht="11.25">
      <c r="A434" s="5"/>
      <c r="B434" s="6"/>
      <c r="C434" s="6"/>
      <c r="D434" s="5"/>
      <c r="E434" s="5"/>
      <c r="F434" s="5"/>
      <c r="G434" s="5"/>
      <c r="H434" s="6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T434" s="5"/>
      <c r="CW434" s="144"/>
      <c r="DG434" s="143"/>
    </row>
    <row r="435" spans="1:111" ht="11.25">
      <c r="A435" s="5"/>
      <c r="B435" s="6"/>
      <c r="C435" s="6"/>
      <c r="D435" s="5"/>
      <c r="E435" s="5"/>
      <c r="F435" s="5"/>
      <c r="G435" s="5"/>
      <c r="H435" s="6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T435" s="5"/>
      <c r="CW435" s="144"/>
      <c r="DG435" s="143"/>
    </row>
    <row r="436" spans="1:111" ht="11.25">
      <c r="A436" s="5"/>
      <c r="B436" s="6"/>
      <c r="C436" s="6"/>
      <c r="D436" s="5"/>
      <c r="E436" s="5"/>
      <c r="F436" s="5"/>
      <c r="G436" s="5"/>
      <c r="H436" s="6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T436" s="5"/>
      <c r="CW436" s="144"/>
      <c r="DG436" s="143"/>
    </row>
    <row r="437" spans="1:111" ht="11.25">
      <c r="A437" s="5"/>
      <c r="B437" s="6"/>
      <c r="C437" s="6"/>
      <c r="D437" s="5"/>
      <c r="E437" s="5"/>
      <c r="F437" s="5"/>
      <c r="G437" s="5"/>
      <c r="H437" s="6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T437" s="5"/>
      <c r="CW437" s="144"/>
      <c r="DG437" s="143"/>
    </row>
    <row r="438" spans="1:111" ht="11.25">
      <c r="A438" s="5"/>
      <c r="B438" s="6"/>
      <c r="C438" s="6"/>
      <c r="D438" s="5"/>
      <c r="E438" s="5"/>
      <c r="F438" s="5"/>
      <c r="G438" s="5"/>
      <c r="H438" s="6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T438" s="5"/>
      <c r="CW438" s="144"/>
      <c r="DG438" s="143"/>
    </row>
    <row r="439" spans="1:111" ht="11.25">
      <c r="A439" s="5"/>
      <c r="B439" s="6"/>
      <c r="C439" s="6"/>
      <c r="D439" s="5"/>
      <c r="E439" s="5"/>
      <c r="F439" s="5"/>
      <c r="G439" s="5"/>
      <c r="H439" s="6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T439" s="5"/>
      <c r="CW439" s="144"/>
      <c r="DG439" s="143"/>
    </row>
    <row r="440" spans="1:111" ht="11.25">
      <c r="A440" s="5"/>
      <c r="B440" s="6"/>
      <c r="C440" s="6"/>
      <c r="D440" s="5"/>
      <c r="E440" s="5"/>
      <c r="F440" s="5"/>
      <c r="G440" s="5"/>
      <c r="H440" s="6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T440" s="5"/>
      <c r="CW440" s="144"/>
      <c r="DG440" s="143"/>
    </row>
    <row r="441" spans="1:111" ht="11.25">
      <c r="A441" s="5"/>
      <c r="B441" s="6"/>
      <c r="C441" s="6"/>
      <c r="D441" s="5"/>
      <c r="E441" s="5"/>
      <c r="F441" s="5"/>
      <c r="G441" s="5"/>
      <c r="H441" s="6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T441" s="5"/>
      <c r="CW441" s="144"/>
      <c r="DG441" s="143"/>
    </row>
    <row r="442" spans="1:111" ht="11.25">
      <c r="A442" s="5"/>
      <c r="B442" s="6"/>
      <c r="C442" s="6"/>
      <c r="D442" s="5"/>
      <c r="E442" s="5"/>
      <c r="F442" s="5"/>
      <c r="G442" s="5"/>
      <c r="H442" s="6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T442" s="5"/>
      <c r="CW442" s="144"/>
      <c r="DG442" s="143"/>
    </row>
    <row r="443" spans="1:111" ht="11.25">
      <c r="A443" s="5"/>
      <c r="B443" s="6"/>
      <c r="C443" s="6"/>
      <c r="D443" s="5"/>
      <c r="E443" s="5"/>
      <c r="F443" s="5"/>
      <c r="G443" s="5"/>
      <c r="H443" s="6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T443" s="5"/>
      <c r="CW443" s="144"/>
      <c r="DG443" s="143"/>
    </row>
    <row r="444" spans="1:111" ht="11.25">
      <c r="A444" s="5"/>
      <c r="B444" s="6"/>
      <c r="C444" s="6"/>
      <c r="D444" s="5"/>
      <c r="E444" s="5"/>
      <c r="F444" s="5"/>
      <c r="G444" s="5"/>
      <c r="H444" s="6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T444" s="5"/>
      <c r="CW444" s="144"/>
      <c r="DG444" s="143"/>
    </row>
    <row r="445" spans="1:111" ht="11.25">
      <c r="A445" s="5"/>
      <c r="B445" s="6"/>
      <c r="C445" s="6"/>
      <c r="D445" s="5"/>
      <c r="E445" s="5"/>
      <c r="F445" s="5"/>
      <c r="G445" s="5"/>
      <c r="H445" s="6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T445" s="5"/>
      <c r="CW445" s="144"/>
      <c r="DG445" s="143"/>
    </row>
    <row r="446" spans="1:111" ht="11.25">
      <c r="A446" s="5"/>
      <c r="B446" s="6"/>
      <c r="C446" s="6"/>
      <c r="D446" s="5"/>
      <c r="E446" s="5"/>
      <c r="F446" s="5"/>
      <c r="G446" s="5"/>
      <c r="H446" s="6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T446" s="5"/>
      <c r="CW446" s="144"/>
      <c r="DG446" s="143"/>
    </row>
    <row r="447" spans="1:111" ht="11.25">
      <c r="A447" s="5"/>
      <c r="B447" s="6"/>
      <c r="C447" s="6"/>
      <c r="D447" s="5"/>
      <c r="E447" s="5"/>
      <c r="F447" s="5"/>
      <c r="G447" s="5"/>
      <c r="H447" s="6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T447" s="5"/>
      <c r="CW447" s="144"/>
      <c r="DG447" s="143"/>
    </row>
    <row r="448" spans="1:111" ht="11.25">
      <c r="A448" s="5"/>
      <c r="B448" s="6"/>
      <c r="C448" s="6"/>
      <c r="D448" s="5"/>
      <c r="E448" s="5"/>
      <c r="F448" s="5"/>
      <c r="G448" s="5"/>
      <c r="H448" s="6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T448" s="5"/>
      <c r="CW448" s="144"/>
      <c r="DG448" s="143"/>
    </row>
    <row r="449" spans="1:111" ht="11.25">
      <c r="A449" s="5"/>
      <c r="B449" s="6"/>
      <c r="C449" s="6"/>
      <c r="D449" s="5"/>
      <c r="E449" s="5"/>
      <c r="F449" s="5"/>
      <c r="G449" s="5"/>
      <c r="H449" s="6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T449" s="5"/>
      <c r="CW449" s="144"/>
      <c r="DG449" s="143"/>
    </row>
    <row r="450" spans="1:111" ht="11.25">
      <c r="A450" s="5"/>
      <c r="B450" s="6"/>
      <c r="C450" s="6"/>
      <c r="D450" s="5"/>
      <c r="E450" s="5"/>
      <c r="F450" s="5"/>
      <c r="G450" s="5"/>
      <c r="H450" s="6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T450" s="5"/>
      <c r="CW450" s="144"/>
      <c r="DG450" s="143"/>
    </row>
    <row r="451" spans="1:111" ht="11.25">
      <c r="A451" s="5"/>
      <c r="B451" s="6"/>
      <c r="C451" s="6"/>
      <c r="D451" s="5"/>
      <c r="E451" s="5"/>
      <c r="F451" s="5"/>
      <c r="G451" s="5"/>
      <c r="H451" s="6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T451" s="5"/>
      <c r="CW451" s="144"/>
      <c r="DG451" s="143"/>
    </row>
    <row r="452" spans="1:111" ht="11.25">
      <c r="A452" s="5"/>
      <c r="B452" s="6"/>
      <c r="C452" s="6"/>
      <c r="D452" s="5"/>
      <c r="E452" s="5"/>
      <c r="F452" s="5"/>
      <c r="G452" s="5"/>
      <c r="H452" s="6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T452" s="5"/>
      <c r="CW452" s="144"/>
      <c r="DG452" s="143"/>
    </row>
    <row r="453" spans="1:111" ht="11.25">
      <c r="A453" s="5"/>
      <c r="B453" s="6"/>
      <c r="C453" s="6"/>
      <c r="D453" s="5"/>
      <c r="E453" s="5"/>
      <c r="F453" s="5"/>
      <c r="G453" s="5"/>
      <c r="H453" s="6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T453" s="5"/>
      <c r="CW453" s="144"/>
      <c r="DG453" s="143"/>
    </row>
    <row r="454" spans="1:111" ht="11.25">
      <c r="A454" s="5"/>
      <c r="B454" s="6"/>
      <c r="C454" s="6"/>
      <c r="D454" s="5"/>
      <c r="E454" s="5"/>
      <c r="F454" s="5"/>
      <c r="G454" s="5"/>
      <c r="H454" s="6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T454" s="5"/>
      <c r="CW454" s="144"/>
      <c r="DG454" s="143"/>
    </row>
    <row r="455" spans="1:111" ht="11.25">
      <c r="A455" s="5"/>
      <c r="B455" s="6"/>
      <c r="C455" s="6"/>
      <c r="D455" s="5"/>
      <c r="E455" s="5"/>
      <c r="F455" s="5"/>
      <c r="G455" s="5"/>
      <c r="H455" s="6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T455" s="5"/>
      <c r="CW455" s="144"/>
      <c r="DG455" s="143"/>
    </row>
    <row r="456" spans="1:111" ht="11.25">
      <c r="A456" s="5"/>
      <c r="B456" s="6"/>
      <c r="C456" s="6"/>
      <c r="D456" s="5"/>
      <c r="E456" s="5"/>
      <c r="F456" s="5"/>
      <c r="G456" s="5"/>
      <c r="H456" s="6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T456" s="5"/>
      <c r="CW456" s="144"/>
      <c r="DG456" s="143"/>
    </row>
    <row r="457" spans="1:111" ht="11.25">
      <c r="A457" s="5"/>
      <c r="B457" s="6"/>
      <c r="C457" s="6"/>
      <c r="D457" s="5"/>
      <c r="E457" s="5"/>
      <c r="F457" s="5"/>
      <c r="G457" s="5"/>
      <c r="H457" s="6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T457" s="5"/>
      <c r="CW457" s="144"/>
      <c r="DG457" s="143"/>
    </row>
    <row r="458" spans="1:111" ht="11.25">
      <c r="A458" s="5"/>
      <c r="B458" s="6"/>
      <c r="C458" s="6"/>
      <c r="D458" s="5"/>
      <c r="E458" s="5"/>
      <c r="F458" s="5"/>
      <c r="G458" s="5"/>
      <c r="H458" s="6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T458" s="5"/>
      <c r="CW458" s="144"/>
      <c r="DG458" s="143"/>
    </row>
    <row r="459" spans="1:111" ht="11.25">
      <c r="A459" s="5"/>
      <c r="B459" s="6"/>
      <c r="C459" s="6"/>
      <c r="D459" s="5"/>
      <c r="E459" s="5"/>
      <c r="F459" s="5"/>
      <c r="G459" s="5"/>
      <c r="H459" s="6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T459" s="5"/>
      <c r="CW459" s="144"/>
      <c r="DG459" s="143"/>
    </row>
    <row r="460" spans="1:111" ht="11.25">
      <c r="A460" s="5"/>
      <c r="B460" s="6"/>
      <c r="C460" s="6"/>
      <c r="D460" s="5"/>
      <c r="E460" s="5"/>
      <c r="F460" s="5"/>
      <c r="G460" s="5"/>
      <c r="H460" s="6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T460" s="5"/>
      <c r="CW460" s="144"/>
      <c r="DG460" s="143"/>
    </row>
    <row r="461" spans="1:111" ht="11.25">
      <c r="A461" s="5"/>
      <c r="B461" s="6"/>
      <c r="C461" s="6"/>
      <c r="D461" s="5"/>
      <c r="E461" s="5"/>
      <c r="F461" s="5"/>
      <c r="G461" s="5"/>
      <c r="H461" s="6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T461" s="5"/>
      <c r="CW461" s="144"/>
      <c r="DG461" s="143"/>
    </row>
    <row r="462" spans="1:111" ht="11.25">
      <c r="A462" s="5"/>
      <c r="B462" s="6"/>
      <c r="C462" s="6"/>
      <c r="D462" s="5"/>
      <c r="E462" s="5"/>
      <c r="F462" s="5"/>
      <c r="G462" s="5"/>
      <c r="H462" s="6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T462" s="5"/>
      <c r="CW462" s="144"/>
      <c r="DG462" s="143"/>
    </row>
    <row r="463" spans="1:111" ht="11.25">
      <c r="A463" s="5"/>
      <c r="B463" s="6"/>
      <c r="C463" s="6"/>
      <c r="D463" s="5"/>
      <c r="E463" s="5"/>
      <c r="F463" s="5"/>
      <c r="G463" s="5"/>
      <c r="H463" s="6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T463" s="5"/>
      <c r="CW463" s="144"/>
      <c r="DG463" s="143"/>
    </row>
    <row r="464" spans="1:111" ht="11.25">
      <c r="A464" s="5"/>
      <c r="B464" s="6"/>
      <c r="C464" s="6"/>
      <c r="D464" s="5"/>
      <c r="E464" s="5"/>
      <c r="F464" s="5"/>
      <c r="G464" s="5"/>
      <c r="H464" s="6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T464" s="5"/>
      <c r="CW464" s="144"/>
      <c r="DG464" s="143"/>
    </row>
    <row r="465" spans="1:111" ht="11.25">
      <c r="A465" s="5"/>
      <c r="B465" s="6"/>
      <c r="C465" s="6"/>
      <c r="D465" s="5"/>
      <c r="E465" s="5"/>
      <c r="F465" s="5"/>
      <c r="G465" s="5"/>
      <c r="H465" s="6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T465" s="5"/>
      <c r="CW465" s="144"/>
      <c r="DG465" s="143"/>
    </row>
    <row r="466" spans="1:111" ht="11.25">
      <c r="A466" s="5"/>
      <c r="B466" s="6"/>
      <c r="C466" s="6"/>
      <c r="D466" s="5"/>
      <c r="E466" s="5"/>
      <c r="F466" s="5"/>
      <c r="G466" s="5"/>
      <c r="H466" s="6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T466" s="5"/>
      <c r="CW466" s="144"/>
      <c r="DG466" s="143"/>
    </row>
    <row r="467" spans="1:111" ht="11.25">
      <c r="A467" s="5"/>
      <c r="B467" s="6"/>
      <c r="C467" s="6"/>
      <c r="D467" s="5"/>
      <c r="E467" s="5"/>
      <c r="F467" s="5"/>
      <c r="G467" s="5"/>
      <c r="H467" s="6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T467" s="5"/>
      <c r="CW467" s="144"/>
      <c r="DG467" s="143"/>
    </row>
    <row r="468" spans="1:111" ht="11.25">
      <c r="A468" s="5"/>
      <c r="B468" s="6"/>
      <c r="C468" s="6"/>
      <c r="D468" s="5"/>
      <c r="E468" s="5"/>
      <c r="F468" s="5"/>
      <c r="G468" s="5"/>
      <c r="H468" s="6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T468" s="5"/>
      <c r="CW468" s="144"/>
      <c r="DG468" s="143"/>
    </row>
    <row r="469" spans="1:111" ht="11.25">
      <c r="A469" s="5"/>
      <c r="B469" s="6"/>
      <c r="C469" s="6"/>
      <c r="D469" s="5"/>
      <c r="E469" s="5"/>
      <c r="F469" s="5"/>
      <c r="G469" s="5"/>
      <c r="H469" s="6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T469" s="5"/>
      <c r="CW469" s="144"/>
      <c r="DG469" s="143"/>
    </row>
    <row r="470" spans="1:111" ht="11.25">
      <c r="A470" s="5"/>
      <c r="B470" s="6"/>
      <c r="C470" s="6"/>
      <c r="D470" s="5"/>
      <c r="E470" s="5"/>
      <c r="F470" s="5"/>
      <c r="G470" s="5"/>
      <c r="H470" s="6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T470" s="5"/>
      <c r="CW470" s="144"/>
      <c r="DG470" s="143"/>
    </row>
    <row r="471" spans="1:111" ht="11.25">
      <c r="A471" s="5"/>
      <c r="B471" s="6"/>
      <c r="C471" s="6"/>
      <c r="D471" s="5"/>
      <c r="E471" s="5"/>
      <c r="F471" s="5"/>
      <c r="G471" s="5"/>
      <c r="H471" s="6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T471" s="5"/>
      <c r="CW471" s="144"/>
      <c r="DG471" s="143"/>
    </row>
    <row r="472" spans="1:111" ht="11.25">
      <c r="A472" s="5"/>
      <c r="B472" s="6"/>
      <c r="C472" s="6"/>
      <c r="D472" s="5"/>
      <c r="E472" s="5"/>
      <c r="F472" s="5"/>
      <c r="G472" s="5"/>
      <c r="H472" s="6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T472" s="5"/>
      <c r="CW472" s="144"/>
      <c r="DG472" s="143"/>
    </row>
    <row r="473" spans="1:111" ht="11.25">
      <c r="A473" s="5"/>
      <c r="B473" s="6"/>
      <c r="C473" s="6"/>
      <c r="D473" s="5"/>
      <c r="E473" s="5"/>
      <c r="F473" s="5"/>
      <c r="G473" s="5"/>
      <c r="H473" s="6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T473" s="5"/>
      <c r="CW473" s="144"/>
      <c r="DG473" s="143"/>
    </row>
    <row r="474" spans="1:111" ht="11.25">
      <c r="A474" s="5"/>
      <c r="B474" s="6"/>
      <c r="C474" s="6"/>
      <c r="D474" s="5"/>
      <c r="E474" s="5"/>
      <c r="F474" s="5"/>
      <c r="G474" s="5"/>
      <c r="H474" s="6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T474" s="5"/>
      <c r="CW474" s="144"/>
      <c r="DG474" s="143"/>
    </row>
    <row r="475" spans="1:111" ht="11.25">
      <c r="A475" s="5"/>
      <c r="B475" s="6"/>
      <c r="C475" s="6"/>
      <c r="D475" s="5"/>
      <c r="E475" s="5"/>
      <c r="F475" s="5"/>
      <c r="G475" s="5"/>
      <c r="H475" s="6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T475" s="5"/>
      <c r="CW475" s="144"/>
      <c r="DG475" s="143"/>
    </row>
    <row r="476" spans="1:111" ht="11.25">
      <c r="A476" s="5"/>
      <c r="B476" s="6"/>
      <c r="C476" s="6"/>
      <c r="D476" s="5"/>
      <c r="E476" s="5"/>
      <c r="F476" s="5"/>
      <c r="G476" s="5"/>
      <c r="H476" s="6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T476" s="5"/>
      <c r="CW476" s="144"/>
      <c r="DG476" s="143"/>
    </row>
    <row r="477" spans="1:111" ht="11.25">
      <c r="A477" s="5"/>
      <c r="B477" s="6"/>
      <c r="C477" s="6"/>
      <c r="D477" s="5"/>
      <c r="E477" s="5"/>
      <c r="F477" s="5"/>
      <c r="G477" s="5"/>
      <c r="H477" s="6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T477" s="5"/>
      <c r="CW477" s="144"/>
      <c r="DG477" s="143"/>
    </row>
    <row r="478" spans="1:111" ht="11.25">
      <c r="A478" s="5"/>
      <c r="B478" s="6"/>
      <c r="C478" s="6"/>
      <c r="D478" s="5"/>
      <c r="E478" s="5"/>
      <c r="F478" s="5"/>
      <c r="G478" s="5"/>
      <c r="H478" s="6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T478" s="5"/>
      <c r="CW478" s="144"/>
      <c r="DG478" s="143"/>
    </row>
    <row r="479" spans="1:111" ht="11.25">
      <c r="A479" s="5"/>
      <c r="B479" s="6"/>
      <c r="C479" s="6"/>
      <c r="D479" s="5"/>
      <c r="E479" s="5"/>
      <c r="F479" s="5"/>
      <c r="G479" s="5"/>
      <c r="H479" s="6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T479" s="5"/>
      <c r="CW479" s="144"/>
      <c r="DG479" s="143"/>
    </row>
    <row r="480" spans="1:111" ht="11.25">
      <c r="A480" s="5"/>
      <c r="B480" s="6"/>
      <c r="C480" s="6"/>
      <c r="D480" s="5"/>
      <c r="E480" s="5"/>
      <c r="F480" s="5"/>
      <c r="G480" s="5"/>
      <c r="H480" s="6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T480" s="5"/>
      <c r="CW480" s="144"/>
      <c r="DG480" s="143"/>
    </row>
    <row r="481" spans="1:111" ht="11.25">
      <c r="A481" s="5"/>
      <c r="B481" s="6"/>
      <c r="C481" s="6"/>
      <c r="D481" s="5"/>
      <c r="E481" s="5"/>
      <c r="F481" s="5"/>
      <c r="G481" s="5"/>
      <c r="H481" s="6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T481" s="5"/>
      <c r="CW481" s="144"/>
      <c r="DG481" s="143"/>
    </row>
    <row r="482" spans="1:111" ht="11.25">
      <c r="A482" s="5"/>
      <c r="B482" s="6"/>
      <c r="C482" s="6"/>
      <c r="D482" s="5"/>
      <c r="E482" s="5"/>
      <c r="F482" s="5"/>
      <c r="G482" s="5"/>
      <c r="H482" s="6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T482" s="5"/>
      <c r="CW482" s="144"/>
      <c r="DG482" s="143"/>
    </row>
    <row r="483" spans="1:111" ht="11.25">
      <c r="A483" s="5"/>
      <c r="B483" s="6"/>
      <c r="C483" s="6"/>
      <c r="D483" s="5"/>
      <c r="E483" s="5"/>
      <c r="F483" s="5"/>
      <c r="G483" s="5"/>
      <c r="H483" s="6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T483" s="5"/>
      <c r="CW483" s="144"/>
      <c r="DG483" s="143"/>
    </row>
    <row r="484" spans="1:111" ht="11.25">
      <c r="A484" s="5"/>
      <c r="B484" s="6"/>
      <c r="C484" s="6"/>
      <c r="D484" s="5"/>
      <c r="E484" s="5"/>
      <c r="F484" s="5"/>
      <c r="G484" s="5"/>
      <c r="H484" s="6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T484" s="5"/>
      <c r="CW484" s="144"/>
      <c r="DG484" s="143"/>
    </row>
    <row r="485" spans="1:111" ht="11.25">
      <c r="A485" s="5"/>
      <c r="B485" s="6"/>
      <c r="C485" s="6"/>
      <c r="D485" s="5"/>
      <c r="E485" s="5"/>
      <c r="F485" s="5"/>
      <c r="G485" s="5"/>
      <c r="H485" s="6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T485" s="5"/>
      <c r="CW485" s="144"/>
      <c r="DG485" s="143"/>
    </row>
    <row r="486" spans="1:111" ht="11.25">
      <c r="A486" s="5"/>
      <c r="B486" s="6"/>
      <c r="C486" s="6"/>
      <c r="D486" s="5"/>
      <c r="E486" s="5"/>
      <c r="F486" s="5"/>
      <c r="G486" s="5"/>
      <c r="H486" s="6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T486" s="5"/>
      <c r="CW486" s="144"/>
      <c r="DG486" s="143"/>
    </row>
    <row r="487" spans="1:111" ht="11.25">
      <c r="A487" s="5"/>
      <c r="B487" s="6"/>
      <c r="C487" s="6"/>
      <c r="D487" s="5"/>
      <c r="E487" s="5"/>
      <c r="F487" s="5"/>
      <c r="G487" s="5"/>
      <c r="H487" s="6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T487" s="5"/>
      <c r="CW487" s="144"/>
      <c r="DG487" s="143"/>
    </row>
    <row r="488" spans="1:111" ht="11.25">
      <c r="A488" s="5"/>
      <c r="B488" s="6"/>
      <c r="C488" s="6"/>
      <c r="D488" s="5"/>
      <c r="E488" s="5"/>
      <c r="F488" s="5"/>
      <c r="G488" s="5"/>
      <c r="H488" s="6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T488" s="5"/>
      <c r="CW488" s="144"/>
      <c r="DG488" s="143"/>
    </row>
    <row r="489" spans="1:111" ht="11.25">
      <c r="A489" s="5"/>
      <c r="B489" s="6"/>
      <c r="C489" s="6"/>
      <c r="D489" s="5"/>
      <c r="E489" s="5"/>
      <c r="F489" s="5"/>
      <c r="G489" s="5"/>
      <c r="H489" s="6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T489" s="5"/>
      <c r="CW489" s="144"/>
      <c r="DG489" s="143"/>
    </row>
    <row r="490" spans="1:111" ht="11.25">
      <c r="A490" s="5"/>
      <c r="B490" s="6"/>
      <c r="C490" s="6"/>
      <c r="D490" s="5"/>
      <c r="E490" s="5"/>
      <c r="F490" s="5"/>
      <c r="G490" s="5"/>
      <c r="H490" s="6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T490" s="5"/>
      <c r="CW490" s="144"/>
      <c r="DG490" s="143"/>
    </row>
    <row r="491" spans="1:111" ht="11.25">
      <c r="A491" s="5"/>
      <c r="B491" s="6"/>
      <c r="C491" s="6"/>
      <c r="D491" s="5"/>
      <c r="E491" s="5"/>
      <c r="F491" s="5"/>
      <c r="G491" s="5"/>
      <c r="H491" s="6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T491" s="5"/>
      <c r="CW491" s="144"/>
      <c r="DG491" s="143"/>
    </row>
    <row r="492" spans="1:111" ht="11.25">
      <c r="A492" s="5"/>
      <c r="B492" s="6"/>
      <c r="C492" s="6"/>
      <c r="D492" s="5"/>
      <c r="E492" s="5"/>
      <c r="F492" s="5"/>
      <c r="G492" s="5"/>
      <c r="H492" s="6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T492" s="5"/>
      <c r="CW492" s="144"/>
      <c r="DG492" s="143"/>
    </row>
    <row r="493" spans="1:111" ht="11.25">
      <c r="A493" s="5"/>
      <c r="B493" s="6"/>
      <c r="C493" s="6"/>
      <c r="D493" s="5"/>
      <c r="E493" s="5"/>
      <c r="F493" s="5"/>
      <c r="G493" s="5"/>
      <c r="H493" s="6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T493" s="5"/>
      <c r="CW493" s="144"/>
      <c r="DG493" s="143"/>
    </row>
    <row r="494" spans="1:111" ht="11.25">
      <c r="A494" s="5"/>
      <c r="B494" s="6"/>
      <c r="C494" s="6"/>
      <c r="D494" s="5"/>
      <c r="E494" s="5"/>
      <c r="F494" s="5"/>
      <c r="G494" s="5"/>
      <c r="H494" s="6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T494" s="5"/>
      <c r="CW494" s="144"/>
      <c r="DG494" s="143"/>
    </row>
    <row r="495" spans="1:111" ht="11.25">
      <c r="A495" s="5"/>
      <c r="B495" s="6"/>
      <c r="C495" s="6"/>
      <c r="D495" s="5"/>
      <c r="E495" s="5"/>
      <c r="F495" s="5"/>
      <c r="G495" s="5"/>
      <c r="H495" s="6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T495" s="5"/>
      <c r="CW495" s="144"/>
      <c r="DG495" s="143"/>
    </row>
    <row r="496" spans="1:111" ht="11.25">
      <c r="A496" s="5"/>
      <c r="B496" s="6"/>
      <c r="C496" s="6"/>
      <c r="D496" s="5"/>
      <c r="E496" s="5"/>
      <c r="F496" s="5"/>
      <c r="G496" s="5"/>
      <c r="H496" s="6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T496" s="5"/>
      <c r="CW496" s="144"/>
      <c r="DG496" s="143"/>
    </row>
    <row r="497" spans="1:111" ht="11.25">
      <c r="A497" s="5"/>
      <c r="B497" s="6"/>
      <c r="C497" s="6"/>
      <c r="D497" s="5"/>
      <c r="E497" s="5"/>
      <c r="F497" s="5"/>
      <c r="G497" s="5"/>
      <c r="H497" s="6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T497" s="5"/>
      <c r="CW497" s="144"/>
      <c r="DG497" s="143"/>
    </row>
    <row r="498" spans="1:111" ht="11.25">
      <c r="A498" s="5"/>
      <c r="B498" s="6"/>
      <c r="C498" s="6"/>
      <c r="D498" s="5"/>
      <c r="E498" s="5"/>
      <c r="F498" s="5"/>
      <c r="G498" s="5"/>
      <c r="H498" s="6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T498" s="5"/>
      <c r="CW498" s="144"/>
      <c r="DG498" s="143"/>
    </row>
    <row r="499" spans="1:111" ht="11.25">
      <c r="A499" s="5"/>
      <c r="B499" s="6"/>
      <c r="C499" s="6"/>
      <c r="D499" s="5"/>
      <c r="E499" s="5"/>
      <c r="F499" s="5"/>
      <c r="G499" s="5"/>
      <c r="H499" s="6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T499" s="5"/>
      <c r="CW499" s="144"/>
      <c r="DG499" s="143"/>
    </row>
    <row r="500" spans="1:111" ht="11.25">
      <c r="A500" s="5"/>
      <c r="B500" s="6"/>
      <c r="C500" s="6"/>
      <c r="D500" s="5"/>
      <c r="E500" s="5"/>
      <c r="F500" s="5"/>
      <c r="G500" s="5"/>
      <c r="H500" s="6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T500" s="5"/>
      <c r="CW500" s="144"/>
      <c r="DG500" s="143"/>
    </row>
    <row r="501" spans="1:111" ht="11.25">
      <c r="A501" s="5"/>
      <c r="B501" s="6"/>
      <c r="C501" s="6"/>
      <c r="D501" s="5"/>
      <c r="E501" s="5"/>
      <c r="F501" s="5"/>
      <c r="G501" s="5"/>
      <c r="H501" s="6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T501" s="5"/>
      <c r="CW501" s="144"/>
      <c r="DG501" s="143"/>
    </row>
    <row r="502" spans="1:111" ht="11.25">
      <c r="A502" s="5"/>
      <c r="B502" s="6"/>
      <c r="C502" s="6"/>
      <c r="D502" s="5"/>
      <c r="E502" s="5"/>
      <c r="F502" s="5"/>
      <c r="G502" s="5"/>
      <c r="H502" s="6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T502" s="5"/>
      <c r="CW502" s="144"/>
      <c r="DG502" s="143"/>
    </row>
    <row r="503" spans="1:111" ht="11.25">
      <c r="A503" s="5"/>
      <c r="B503" s="6"/>
      <c r="C503" s="6"/>
      <c r="D503" s="5"/>
      <c r="E503" s="5"/>
      <c r="F503" s="5"/>
      <c r="G503" s="5"/>
      <c r="H503" s="6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T503" s="5"/>
      <c r="CW503" s="144"/>
      <c r="DG503" s="143"/>
    </row>
    <row r="504" spans="1:111" ht="11.25">
      <c r="A504" s="5"/>
      <c r="B504" s="6"/>
      <c r="C504" s="6"/>
      <c r="D504" s="5"/>
      <c r="E504" s="5"/>
      <c r="F504" s="5"/>
      <c r="G504" s="5"/>
      <c r="H504" s="6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T504" s="5"/>
      <c r="CW504" s="144"/>
      <c r="DG504" s="143"/>
    </row>
    <row r="505" spans="1:111" ht="11.25">
      <c r="A505" s="5"/>
      <c r="B505" s="6"/>
      <c r="C505" s="6"/>
      <c r="D505" s="5"/>
      <c r="E505" s="5"/>
      <c r="F505" s="5"/>
      <c r="G505" s="5"/>
      <c r="H505" s="6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T505" s="5"/>
      <c r="CW505" s="144"/>
      <c r="DG505" s="143"/>
    </row>
    <row r="506" spans="1:111" ht="11.25">
      <c r="A506" s="5"/>
      <c r="B506" s="6"/>
      <c r="C506" s="6"/>
      <c r="D506" s="5"/>
      <c r="E506" s="5"/>
      <c r="F506" s="5"/>
      <c r="G506" s="5"/>
      <c r="H506" s="6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T506" s="5"/>
      <c r="CW506" s="144"/>
      <c r="DG506" s="143"/>
    </row>
    <row r="507" spans="1:111" ht="11.25">
      <c r="A507" s="5"/>
      <c r="B507" s="6"/>
      <c r="C507" s="6"/>
      <c r="D507" s="5"/>
      <c r="E507" s="5"/>
      <c r="F507" s="5"/>
      <c r="G507" s="5"/>
      <c r="H507" s="6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T507" s="5"/>
      <c r="CW507" s="144"/>
      <c r="DG507" s="143"/>
    </row>
    <row r="508" spans="1:111" ht="11.25">
      <c r="A508" s="5"/>
      <c r="B508" s="6"/>
      <c r="C508" s="6"/>
      <c r="D508" s="5"/>
      <c r="E508" s="5"/>
      <c r="F508" s="5"/>
      <c r="G508" s="5"/>
      <c r="H508" s="6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T508" s="5"/>
      <c r="CW508" s="144"/>
      <c r="DG508" s="143"/>
    </row>
    <row r="509" spans="1:111" ht="11.25">
      <c r="A509" s="5"/>
      <c r="B509" s="6"/>
      <c r="C509" s="6"/>
      <c r="D509" s="5"/>
      <c r="E509" s="5"/>
      <c r="F509" s="5"/>
      <c r="G509" s="5"/>
      <c r="H509" s="6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T509" s="5"/>
      <c r="CW509" s="144"/>
      <c r="DG509" s="143"/>
    </row>
    <row r="510" spans="1:111" ht="11.25">
      <c r="A510" s="5"/>
      <c r="B510" s="6"/>
      <c r="C510" s="6"/>
      <c r="D510" s="5"/>
      <c r="E510" s="5"/>
      <c r="F510" s="5"/>
      <c r="G510" s="5"/>
      <c r="H510" s="6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T510" s="5"/>
      <c r="CW510" s="144"/>
      <c r="DG510" s="143"/>
    </row>
    <row r="511" spans="1:111" ht="11.25">
      <c r="A511" s="5"/>
      <c r="B511" s="6"/>
      <c r="C511" s="6"/>
      <c r="D511" s="5"/>
      <c r="E511" s="5"/>
      <c r="F511" s="5"/>
      <c r="G511" s="5"/>
      <c r="H511" s="6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T511" s="5"/>
      <c r="CW511" s="144"/>
      <c r="DG511" s="143"/>
    </row>
    <row r="512" spans="1:111" ht="11.25">
      <c r="A512" s="5"/>
      <c r="B512" s="6"/>
      <c r="C512" s="6"/>
      <c r="D512" s="5"/>
      <c r="E512" s="5"/>
      <c r="F512" s="5"/>
      <c r="G512" s="5"/>
      <c r="H512" s="6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T512" s="5"/>
      <c r="CW512" s="144"/>
      <c r="DG512" s="143"/>
    </row>
    <row r="513" spans="1:111" ht="11.25">
      <c r="A513" s="5"/>
      <c r="B513" s="6"/>
      <c r="C513" s="6"/>
      <c r="D513" s="5"/>
      <c r="E513" s="5"/>
      <c r="F513" s="5"/>
      <c r="G513" s="5"/>
      <c r="H513" s="6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T513" s="5"/>
      <c r="CW513" s="144"/>
      <c r="DG513" s="143"/>
    </row>
    <row r="514" spans="1:111" ht="11.25">
      <c r="A514" s="5"/>
      <c r="B514" s="6"/>
      <c r="C514" s="6"/>
      <c r="D514" s="5"/>
      <c r="E514" s="5"/>
      <c r="F514" s="5"/>
      <c r="G514" s="5"/>
      <c r="H514" s="6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T514" s="5"/>
      <c r="CW514" s="144"/>
      <c r="DG514" s="143"/>
    </row>
    <row r="515" spans="1:111" ht="11.25">
      <c r="A515" s="5"/>
      <c r="B515" s="6"/>
      <c r="C515" s="6"/>
      <c r="D515" s="5"/>
      <c r="E515" s="5"/>
      <c r="F515" s="5"/>
      <c r="G515" s="5"/>
      <c r="H515" s="6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T515" s="5"/>
      <c r="CW515" s="144"/>
      <c r="DG515" s="143"/>
    </row>
    <row r="516" spans="1:111" ht="11.25">
      <c r="A516" s="5"/>
      <c r="B516" s="6"/>
      <c r="C516" s="6"/>
      <c r="D516" s="5"/>
      <c r="E516" s="5"/>
      <c r="F516" s="5"/>
      <c r="G516" s="5"/>
      <c r="H516" s="6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T516" s="5"/>
      <c r="CW516" s="144"/>
      <c r="DG516" s="143"/>
    </row>
    <row r="517" spans="1:111" ht="11.25">
      <c r="A517" s="5"/>
      <c r="B517" s="6"/>
      <c r="C517" s="6"/>
      <c r="D517" s="5"/>
      <c r="E517" s="5"/>
      <c r="F517" s="5"/>
      <c r="G517" s="5"/>
      <c r="H517" s="6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T517" s="5"/>
      <c r="CW517" s="144"/>
      <c r="DG517" s="143"/>
    </row>
    <row r="518" spans="1:111" ht="11.25">
      <c r="A518" s="5"/>
      <c r="B518" s="6"/>
      <c r="C518" s="6"/>
      <c r="D518" s="5"/>
      <c r="E518" s="5"/>
      <c r="F518" s="5"/>
      <c r="G518" s="5"/>
      <c r="H518" s="6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T518" s="5"/>
      <c r="CW518" s="144"/>
      <c r="DG518" s="143"/>
    </row>
    <row r="519" spans="1:111" ht="11.25">
      <c r="A519" s="5"/>
      <c r="B519" s="6"/>
      <c r="C519" s="6"/>
      <c r="D519" s="5"/>
      <c r="E519" s="5"/>
      <c r="F519" s="5"/>
      <c r="G519" s="5"/>
      <c r="H519" s="6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T519" s="5"/>
      <c r="CW519" s="144"/>
      <c r="DG519" s="143"/>
    </row>
    <row r="520" spans="1:111" ht="11.25">
      <c r="A520" s="5"/>
      <c r="B520" s="6"/>
      <c r="C520" s="6"/>
      <c r="D520" s="5"/>
      <c r="E520" s="5"/>
      <c r="F520" s="5"/>
      <c r="G520" s="5"/>
      <c r="H520" s="6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T520" s="5"/>
      <c r="CW520" s="144"/>
      <c r="DG520" s="143"/>
    </row>
    <row r="521" spans="1:111" ht="11.25">
      <c r="A521" s="5"/>
      <c r="B521" s="6"/>
      <c r="C521" s="6"/>
      <c r="D521" s="5"/>
      <c r="E521" s="5"/>
      <c r="F521" s="5"/>
      <c r="G521" s="5"/>
      <c r="H521" s="6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T521" s="5"/>
      <c r="CW521" s="144"/>
      <c r="DG521" s="143"/>
    </row>
    <row r="522" spans="1:111" ht="11.25">
      <c r="A522" s="5"/>
      <c r="B522" s="6"/>
      <c r="C522" s="6"/>
      <c r="D522" s="5"/>
      <c r="E522" s="5"/>
      <c r="F522" s="5"/>
      <c r="G522" s="5"/>
      <c r="H522" s="6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T522" s="5"/>
      <c r="CW522" s="144"/>
      <c r="DG522" s="143"/>
    </row>
    <row r="523" spans="1:111" ht="11.25">
      <c r="A523" s="5"/>
      <c r="B523" s="6"/>
      <c r="C523" s="6"/>
      <c r="D523" s="5"/>
      <c r="E523" s="5"/>
      <c r="F523" s="5"/>
      <c r="G523" s="5"/>
      <c r="H523" s="6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T523" s="5"/>
      <c r="CW523" s="144"/>
      <c r="DG523" s="143"/>
    </row>
    <row r="524" spans="1:111" ht="11.25">
      <c r="A524" s="5"/>
      <c r="B524" s="6"/>
      <c r="C524" s="6"/>
      <c r="D524" s="5"/>
      <c r="E524" s="5"/>
      <c r="F524" s="5"/>
      <c r="G524" s="5"/>
      <c r="H524" s="6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T524" s="5"/>
      <c r="CW524" s="144"/>
      <c r="DG524" s="143"/>
    </row>
    <row r="525" spans="1:111" ht="11.25">
      <c r="A525" s="5"/>
      <c r="B525" s="6"/>
      <c r="C525" s="6"/>
      <c r="D525" s="5"/>
      <c r="E525" s="5"/>
      <c r="F525" s="5"/>
      <c r="G525" s="5"/>
      <c r="H525" s="6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T525" s="5"/>
      <c r="CW525" s="144"/>
      <c r="DG525" s="143"/>
    </row>
    <row r="526" spans="1:111" ht="11.25">
      <c r="A526" s="5"/>
      <c r="B526" s="6"/>
      <c r="C526" s="6"/>
      <c r="D526" s="5"/>
      <c r="E526" s="5"/>
      <c r="F526" s="5"/>
      <c r="G526" s="5"/>
      <c r="H526" s="6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T526" s="5"/>
      <c r="CW526" s="144"/>
      <c r="DG526" s="143"/>
    </row>
    <row r="527" spans="1:111" ht="11.25">
      <c r="A527" s="5"/>
      <c r="B527" s="6"/>
      <c r="C527" s="6"/>
      <c r="D527" s="5"/>
      <c r="E527" s="5"/>
      <c r="F527" s="5"/>
      <c r="G527" s="5"/>
      <c r="H527" s="6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T527" s="5"/>
      <c r="CW527" s="144"/>
      <c r="DG527" s="143"/>
    </row>
    <row r="528" spans="1:111" ht="11.25">
      <c r="A528" s="5"/>
      <c r="B528" s="6"/>
      <c r="C528" s="6"/>
      <c r="D528" s="5"/>
      <c r="E528" s="5"/>
      <c r="F528" s="5"/>
      <c r="G528" s="5"/>
      <c r="H528" s="6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T528" s="5"/>
      <c r="CW528" s="144"/>
      <c r="DG528" s="143"/>
    </row>
    <row r="529" spans="1:111" ht="11.25">
      <c r="A529" s="5"/>
      <c r="B529" s="6"/>
      <c r="C529" s="6"/>
      <c r="D529" s="5"/>
      <c r="E529" s="5"/>
      <c r="F529" s="5"/>
      <c r="G529" s="5"/>
      <c r="H529" s="6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T529" s="5"/>
      <c r="CW529" s="144"/>
      <c r="DG529" s="143"/>
    </row>
    <row r="530" spans="1:111" ht="11.25">
      <c r="A530" s="5"/>
      <c r="B530" s="6"/>
      <c r="C530" s="6"/>
      <c r="D530" s="5"/>
      <c r="E530" s="5"/>
      <c r="F530" s="5"/>
      <c r="G530" s="5"/>
      <c r="H530" s="6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T530" s="5"/>
      <c r="CW530" s="144"/>
      <c r="DG530" s="143"/>
    </row>
    <row r="531" spans="1:111" ht="11.25">
      <c r="A531" s="5"/>
      <c r="B531" s="6"/>
      <c r="C531" s="6"/>
      <c r="D531" s="5"/>
      <c r="E531" s="5"/>
      <c r="F531" s="5"/>
      <c r="G531" s="5"/>
      <c r="H531" s="6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T531" s="5"/>
      <c r="CW531" s="144"/>
      <c r="DG531" s="143"/>
    </row>
    <row r="532" spans="1:111" ht="11.25">
      <c r="A532" s="5"/>
      <c r="B532" s="6"/>
      <c r="C532" s="6"/>
      <c r="D532" s="5"/>
      <c r="E532" s="5"/>
      <c r="F532" s="5"/>
      <c r="G532" s="5"/>
      <c r="H532" s="6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T532" s="5"/>
      <c r="CW532" s="144"/>
      <c r="DG532" s="143"/>
    </row>
    <row r="533" spans="1:111" ht="11.25">
      <c r="A533" s="5"/>
      <c r="B533" s="6"/>
      <c r="C533" s="6"/>
      <c r="D533" s="5"/>
      <c r="E533" s="5"/>
      <c r="F533" s="5"/>
      <c r="G533" s="5"/>
      <c r="H533" s="6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T533" s="5"/>
      <c r="CW533" s="144"/>
      <c r="DG533" s="143"/>
    </row>
    <row r="534" spans="1:111" ht="11.25">
      <c r="A534" s="5"/>
      <c r="B534" s="6"/>
      <c r="C534" s="6"/>
      <c r="D534" s="5"/>
      <c r="E534" s="5"/>
      <c r="F534" s="5"/>
      <c r="G534" s="5"/>
      <c r="H534" s="6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T534" s="5"/>
      <c r="CW534" s="144"/>
      <c r="DG534" s="143"/>
    </row>
    <row r="535" spans="1:111" ht="11.25">
      <c r="A535" s="5"/>
      <c r="B535" s="6"/>
      <c r="C535" s="6"/>
      <c r="D535" s="5"/>
      <c r="E535" s="5"/>
      <c r="F535" s="5"/>
      <c r="G535" s="5"/>
      <c r="H535" s="6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T535" s="5"/>
      <c r="CW535" s="144"/>
      <c r="DG535" s="143"/>
    </row>
    <row r="536" spans="1:111" ht="11.25">
      <c r="A536" s="5"/>
      <c r="B536" s="6"/>
      <c r="C536" s="6"/>
      <c r="D536" s="5"/>
      <c r="E536" s="5"/>
      <c r="F536" s="5"/>
      <c r="G536" s="5"/>
      <c r="H536" s="6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T536" s="5"/>
      <c r="CW536" s="144"/>
      <c r="DG536" s="143"/>
    </row>
    <row r="537" spans="1:111" ht="11.25">
      <c r="A537" s="5"/>
      <c r="B537" s="6"/>
      <c r="C537" s="6"/>
      <c r="D537" s="5"/>
      <c r="E537" s="5"/>
      <c r="F537" s="5"/>
      <c r="G537" s="5"/>
      <c r="H537" s="6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T537" s="5"/>
      <c r="CW537" s="144"/>
      <c r="DG537" s="143"/>
    </row>
    <row r="538" spans="1:111" ht="11.25">
      <c r="A538" s="5"/>
      <c r="B538" s="6"/>
      <c r="C538" s="6"/>
      <c r="D538" s="5"/>
      <c r="E538" s="5"/>
      <c r="F538" s="5"/>
      <c r="G538" s="5"/>
      <c r="H538" s="6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T538" s="5"/>
      <c r="CW538" s="144"/>
      <c r="DG538" s="143"/>
    </row>
    <row r="539" spans="1:111" ht="11.25">
      <c r="A539" s="5"/>
      <c r="B539" s="6"/>
      <c r="C539" s="6"/>
      <c r="D539" s="5"/>
      <c r="E539" s="5"/>
      <c r="F539" s="5"/>
      <c r="G539" s="5"/>
      <c r="H539" s="6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T539" s="5"/>
      <c r="CW539" s="144"/>
      <c r="DG539" s="143"/>
    </row>
    <row r="540" spans="1:111" ht="11.25">
      <c r="A540" s="5"/>
      <c r="B540" s="6"/>
      <c r="C540" s="6"/>
      <c r="D540" s="5"/>
      <c r="E540" s="5"/>
      <c r="F540" s="5"/>
      <c r="G540" s="5"/>
      <c r="H540" s="6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T540" s="5"/>
      <c r="CW540" s="144"/>
      <c r="DG540" s="143"/>
    </row>
    <row r="541" spans="1:111" ht="11.25">
      <c r="A541" s="5"/>
      <c r="B541" s="6"/>
      <c r="C541" s="6"/>
      <c r="D541" s="5"/>
      <c r="E541" s="5"/>
      <c r="F541" s="5"/>
      <c r="G541" s="5"/>
      <c r="H541" s="6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T541" s="5"/>
      <c r="CW541" s="144"/>
      <c r="DG541" s="143"/>
    </row>
    <row r="542" spans="1:111" ht="11.25">
      <c r="A542" s="5"/>
      <c r="B542" s="6"/>
      <c r="C542" s="6"/>
      <c r="D542" s="5"/>
      <c r="E542" s="5"/>
      <c r="F542" s="5"/>
      <c r="G542" s="5"/>
      <c r="H542" s="6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T542" s="5"/>
      <c r="CW542" s="144"/>
      <c r="DG542" s="143"/>
    </row>
    <row r="543" spans="1:111" ht="11.25">
      <c r="A543" s="5"/>
      <c r="B543" s="6"/>
      <c r="C543" s="6"/>
      <c r="D543" s="5"/>
      <c r="E543" s="5"/>
      <c r="F543" s="5"/>
      <c r="G543" s="5"/>
      <c r="H543" s="6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T543" s="5"/>
      <c r="CW543" s="144"/>
      <c r="DG543" s="143"/>
    </row>
    <row r="544" spans="1:111" ht="11.25">
      <c r="A544" s="5"/>
      <c r="B544" s="6"/>
      <c r="C544" s="6"/>
      <c r="D544" s="5"/>
      <c r="E544" s="5"/>
      <c r="F544" s="5"/>
      <c r="G544" s="5"/>
      <c r="H544" s="6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T544" s="5"/>
      <c r="CW544" s="144"/>
      <c r="DG544" s="143"/>
    </row>
    <row r="545" spans="1:111" ht="11.25">
      <c r="A545" s="5"/>
      <c r="B545" s="6"/>
      <c r="C545" s="6"/>
      <c r="D545" s="5"/>
      <c r="E545" s="5"/>
      <c r="F545" s="5"/>
      <c r="G545" s="5"/>
      <c r="H545" s="6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T545" s="5"/>
      <c r="CW545" s="144"/>
      <c r="DG545" s="143"/>
    </row>
    <row r="546" spans="1:111" ht="11.25">
      <c r="A546" s="5"/>
      <c r="B546" s="6"/>
      <c r="C546" s="6"/>
      <c r="D546" s="5"/>
      <c r="E546" s="5"/>
      <c r="F546" s="5"/>
      <c r="G546" s="5"/>
      <c r="H546" s="6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T546" s="5"/>
      <c r="CW546" s="144"/>
      <c r="DG546" s="143"/>
    </row>
    <row r="547" spans="1:111" ht="11.25">
      <c r="A547" s="5"/>
      <c r="B547" s="6"/>
      <c r="C547" s="6"/>
      <c r="D547" s="5"/>
      <c r="E547" s="5"/>
      <c r="F547" s="5"/>
      <c r="G547" s="5"/>
      <c r="H547" s="6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T547" s="5"/>
      <c r="CW547" s="144"/>
      <c r="DG547" s="143"/>
    </row>
    <row r="548" spans="1:111" ht="11.25">
      <c r="A548" s="5"/>
      <c r="B548" s="6"/>
      <c r="C548" s="6"/>
      <c r="D548" s="5"/>
      <c r="E548" s="5"/>
      <c r="F548" s="5"/>
      <c r="G548" s="5"/>
      <c r="H548" s="6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T548" s="5"/>
      <c r="CW548" s="144"/>
      <c r="DG548" s="143"/>
    </row>
    <row r="549" spans="1:111" ht="11.25">
      <c r="A549" s="5"/>
      <c r="B549" s="6"/>
      <c r="C549" s="6"/>
      <c r="D549" s="5"/>
      <c r="E549" s="5"/>
      <c r="F549" s="5"/>
      <c r="G549" s="5"/>
      <c r="H549" s="6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T549" s="5"/>
      <c r="CW549" s="144"/>
      <c r="DG549" s="143"/>
    </row>
    <row r="550" spans="1:111" ht="11.25">
      <c r="A550" s="5"/>
      <c r="B550" s="6"/>
      <c r="C550" s="6"/>
      <c r="D550" s="5"/>
      <c r="E550" s="5"/>
      <c r="F550" s="5"/>
      <c r="G550" s="5"/>
      <c r="H550" s="6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T550" s="5"/>
      <c r="CW550" s="144"/>
      <c r="DG550" s="143"/>
    </row>
    <row r="551" spans="1:111" ht="11.25">
      <c r="A551" s="5"/>
      <c r="B551" s="6"/>
      <c r="C551" s="6"/>
      <c r="D551" s="5"/>
      <c r="E551" s="5"/>
      <c r="F551" s="5"/>
      <c r="G551" s="5"/>
      <c r="H551" s="6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T551" s="5"/>
      <c r="CW551" s="144"/>
      <c r="DG551" s="143"/>
    </row>
    <row r="552" spans="1:111" ht="11.25">
      <c r="A552" s="5"/>
      <c r="B552" s="6"/>
      <c r="C552" s="6"/>
      <c r="D552" s="5"/>
      <c r="E552" s="5"/>
      <c r="F552" s="5"/>
      <c r="G552" s="5"/>
      <c r="H552" s="6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T552" s="5"/>
      <c r="CW552" s="144"/>
      <c r="DG552" s="143"/>
    </row>
    <row r="553" spans="1:111" ht="11.25">
      <c r="A553" s="5"/>
      <c r="B553" s="6"/>
      <c r="C553" s="6"/>
      <c r="D553" s="5"/>
      <c r="E553" s="5"/>
      <c r="F553" s="5"/>
      <c r="G553" s="5"/>
      <c r="H553" s="6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T553" s="5"/>
      <c r="CW553" s="144"/>
      <c r="DG553" s="143"/>
    </row>
    <row r="554" spans="1:111" ht="11.25">
      <c r="A554" s="5"/>
      <c r="B554" s="6"/>
      <c r="C554" s="6"/>
      <c r="D554" s="5"/>
      <c r="E554" s="5"/>
      <c r="F554" s="5"/>
      <c r="G554" s="5"/>
      <c r="H554" s="6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T554" s="5"/>
      <c r="CW554" s="144"/>
      <c r="DG554" s="143"/>
    </row>
    <row r="555" spans="1:111" ht="11.25">
      <c r="A555" s="5"/>
      <c r="B555" s="6"/>
      <c r="C555" s="6"/>
      <c r="D555" s="5"/>
      <c r="E555" s="5"/>
      <c r="F555" s="5"/>
      <c r="G555" s="5"/>
      <c r="H555" s="6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T555" s="5"/>
      <c r="CW555" s="144"/>
      <c r="DG555" s="143"/>
    </row>
    <row r="556" spans="1:111" ht="11.25">
      <c r="A556" s="5"/>
      <c r="B556" s="6"/>
      <c r="C556" s="6"/>
      <c r="D556" s="5"/>
      <c r="E556" s="5"/>
      <c r="F556" s="5"/>
      <c r="G556" s="5"/>
      <c r="H556" s="6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T556" s="5"/>
      <c r="CW556" s="144"/>
      <c r="DG556" s="143"/>
    </row>
    <row r="557" spans="1:111" ht="11.25">
      <c r="A557" s="5"/>
      <c r="B557" s="6"/>
      <c r="C557" s="6"/>
      <c r="D557" s="5"/>
      <c r="E557" s="5"/>
      <c r="F557" s="5"/>
      <c r="G557" s="5"/>
      <c r="H557" s="6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T557" s="5"/>
      <c r="CW557" s="144"/>
      <c r="DG557" s="143"/>
    </row>
    <row r="558" spans="1:111" ht="11.25">
      <c r="A558" s="5"/>
      <c r="B558" s="6"/>
      <c r="C558" s="6"/>
      <c r="D558" s="5"/>
      <c r="E558" s="5"/>
      <c r="F558" s="5"/>
      <c r="G558" s="5"/>
      <c r="H558" s="6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T558" s="5"/>
      <c r="CW558" s="144"/>
      <c r="DG558" s="143"/>
    </row>
    <row r="559" spans="1:111" ht="11.25">
      <c r="A559" s="5"/>
      <c r="B559" s="6"/>
      <c r="C559" s="6"/>
      <c r="D559" s="5"/>
      <c r="E559" s="5"/>
      <c r="F559" s="5"/>
      <c r="G559" s="5"/>
      <c r="H559" s="6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T559" s="5"/>
      <c r="CW559" s="144"/>
      <c r="DG559" s="143"/>
    </row>
    <row r="560" spans="1:111" ht="11.25">
      <c r="A560" s="5"/>
      <c r="B560" s="6"/>
      <c r="C560" s="6"/>
      <c r="D560" s="5"/>
      <c r="E560" s="5"/>
      <c r="F560" s="5"/>
      <c r="G560" s="5"/>
      <c r="H560" s="6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T560" s="5"/>
      <c r="CW560" s="144"/>
      <c r="DG560" s="143"/>
    </row>
    <row r="561" spans="1:111" ht="11.25">
      <c r="A561" s="5"/>
      <c r="B561" s="6"/>
      <c r="C561" s="6"/>
      <c r="D561" s="5"/>
      <c r="E561" s="5"/>
      <c r="F561" s="5"/>
      <c r="G561" s="5"/>
      <c r="H561" s="6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T561" s="5"/>
      <c r="CW561" s="144"/>
      <c r="DG561" s="143"/>
    </row>
    <row r="562" spans="1:111" ht="11.25">
      <c r="A562" s="5"/>
      <c r="B562" s="6"/>
      <c r="C562" s="6"/>
      <c r="D562" s="5"/>
      <c r="E562" s="5"/>
      <c r="F562" s="5"/>
      <c r="G562" s="5"/>
      <c r="H562" s="6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T562" s="5"/>
      <c r="CW562" s="144"/>
      <c r="DG562" s="143"/>
    </row>
    <row r="563" spans="1:111" ht="11.25">
      <c r="A563" s="5"/>
      <c r="B563" s="6"/>
      <c r="C563" s="6"/>
      <c r="D563" s="5"/>
      <c r="E563" s="5"/>
      <c r="F563" s="5"/>
      <c r="G563" s="5"/>
      <c r="H563" s="6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T563" s="5"/>
      <c r="CW563" s="144"/>
      <c r="DG563" s="143"/>
    </row>
    <row r="564" spans="1:111" ht="11.25">
      <c r="A564" s="5"/>
      <c r="B564" s="6"/>
      <c r="C564" s="6"/>
      <c r="D564" s="5"/>
      <c r="E564" s="5"/>
      <c r="F564" s="5"/>
      <c r="G564" s="5"/>
      <c r="H564" s="6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T564" s="5"/>
      <c r="CW564" s="144"/>
      <c r="DG564" s="143"/>
    </row>
    <row r="565" spans="1:111" ht="11.25">
      <c r="A565" s="5"/>
      <c r="B565" s="6"/>
      <c r="C565" s="6"/>
      <c r="D565" s="5"/>
      <c r="E565" s="5"/>
      <c r="F565" s="5"/>
      <c r="G565" s="5"/>
      <c r="H565" s="6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T565" s="5"/>
      <c r="CW565" s="144"/>
      <c r="DG565" s="143"/>
    </row>
    <row r="566" spans="1:111" ht="11.25">
      <c r="A566" s="5"/>
      <c r="B566" s="6"/>
      <c r="C566" s="6"/>
      <c r="D566" s="5"/>
      <c r="E566" s="5"/>
      <c r="F566" s="5"/>
      <c r="G566" s="5"/>
      <c r="H566" s="6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T566" s="5"/>
      <c r="CW566" s="144"/>
      <c r="DG566" s="143"/>
    </row>
    <row r="567" spans="1:111" ht="11.25">
      <c r="A567" s="5"/>
      <c r="B567" s="6"/>
      <c r="C567" s="6"/>
      <c r="D567" s="5"/>
      <c r="E567" s="5"/>
      <c r="F567" s="5"/>
      <c r="G567" s="5"/>
      <c r="H567" s="6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T567" s="5"/>
      <c r="CW567" s="144"/>
      <c r="DG567" s="143"/>
    </row>
    <row r="568" spans="1:111" ht="11.25">
      <c r="A568" s="5"/>
      <c r="B568" s="6"/>
      <c r="C568" s="6"/>
      <c r="D568" s="5"/>
      <c r="E568" s="5"/>
      <c r="F568" s="5"/>
      <c r="G568" s="5"/>
      <c r="H568" s="6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T568" s="5"/>
      <c r="CW568" s="144"/>
      <c r="DG568" s="143"/>
    </row>
    <row r="569" spans="1:111" ht="11.25">
      <c r="A569" s="5"/>
      <c r="B569" s="6"/>
      <c r="C569" s="6"/>
      <c r="D569" s="5"/>
      <c r="E569" s="5"/>
      <c r="F569" s="5"/>
      <c r="G569" s="5"/>
      <c r="H569" s="6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T569" s="5"/>
      <c r="CW569" s="144"/>
      <c r="DG569" s="143"/>
    </row>
    <row r="570" spans="1:111" ht="11.25">
      <c r="A570" s="5"/>
      <c r="B570" s="6"/>
      <c r="C570" s="6"/>
      <c r="D570" s="5"/>
      <c r="E570" s="5"/>
      <c r="F570" s="5"/>
      <c r="G570" s="5"/>
      <c r="H570" s="6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T570" s="5"/>
      <c r="CW570" s="144"/>
      <c r="DG570" s="143"/>
    </row>
    <row r="571" spans="1:111" ht="11.25">
      <c r="A571" s="5"/>
      <c r="B571" s="6"/>
      <c r="C571" s="6"/>
      <c r="D571" s="5"/>
      <c r="E571" s="5"/>
      <c r="F571" s="5"/>
      <c r="G571" s="5"/>
      <c r="H571" s="6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T571" s="5"/>
      <c r="CW571" s="144"/>
      <c r="DG571" s="143"/>
    </row>
    <row r="572" spans="1:111" ht="11.25">
      <c r="A572" s="5"/>
      <c r="B572" s="6"/>
      <c r="C572" s="6"/>
      <c r="D572" s="5"/>
      <c r="E572" s="5"/>
      <c r="F572" s="5"/>
      <c r="G572" s="5"/>
      <c r="H572" s="6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T572" s="5"/>
      <c r="CW572" s="144"/>
      <c r="DG572" s="143"/>
    </row>
    <row r="573" spans="1:111" ht="11.25">
      <c r="A573" s="5"/>
      <c r="B573" s="6"/>
      <c r="C573" s="6"/>
      <c r="D573" s="5"/>
      <c r="E573" s="5"/>
      <c r="F573" s="5"/>
      <c r="G573" s="5"/>
      <c r="H573" s="6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T573" s="5"/>
      <c r="CW573" s="144"/>
      <c r="DG573" s="143"/>
    </row>
    <row r="574" spans="1:111" ht="11.25">
      <c r="A574" s="5"/>
      <c r="B574" s="6"/>
      <c r="C574" s="6"/>
      <c r="D574" s="5"/>
      <c r="E574" s="5"/>
      <c r="F574" s="5"/>
      <c r="G574" s="5"/>
      <c r="H574" s="6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T574" s="5"/>
      <c r="CW574" s="144"/>
      <c r="DG574" s="143"/>
    </row>
    <row r="575" spans="1:111" ht="11.25">
      <c r="A575" s="5"/>
      <c r="B575" s="6"/>
      <c r="C575" s="6"/>
      <c r="D575" s="5"/>
      <c r="E575" s="5"/>
      <c r="F575" s="5"/>
      <c r="G575" s="5"/>
      <c r="H575" s="6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T575" s="5"/>
      <c r="CW575" s="144"/>
      <c r="DG575" s="143"/>
    </row>
    <row r="576" spans="1:111" ht="11.25">
      <c r="A576" s="5"/>
      <c r="B576" s="6"/>
      <c r="C576" s="6"/>
      <c r="D576" s="5"/>
      <c r="E576" s="5"/>
      <c r="F576" s="5"/>
      <c r="G576" s="5"/>
      <c r="H576" s="6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T576" s="5"/>
      <c r="CW576" s="144"/>
      <c r="DG576" s="143"/>
    </row>
    <row r="577" spans="1:111" ht="11.25">
      <c r="A577" s="5"/>
      <c r="B577" s="6"/>
      <c r="C577" s="6"/>
      <c r="D577" s="5"/>
      <c r="E577" s="5"/>
      <c r="F577" s="5"/>
      <c r="G577" s="5"/>
      <c r="H577" s="6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T577" s="5"/>
      <c r="CW577" s="144"/>
      <c r="DG577" s="143"/>
    </row>
    <row r="578" spans="1:111" ht="11.25">
      <c r="A578" s="5"/>
      <c r="B578" s="6"/>
      <c r="C578" s="6"/>
      <c r="D578" s="5"/>
      <c r="E578" s="5"/>
      <c r="F578" s="5"/>
      <c r="G578" s="5"/>
      <c r="H578" s="6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T578" s="5"/>
      <c r="CW578" s="144"/>
      <c r="DG578" s="143"/>
    </row>
    <row r="579" spans="1:111" ht="11.25">
      <c r="A579" s="5"/>
      <c r="B579" s="6"/>
      <c r="C579" s="6"/>
      <c r="D579" s="5"/>
      <c r="E579" s="5"/>
      <c r="F579" s="5"/>
      <c r="G579" s="5"/>
      <c r="H579" s="6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T579" s="5"/>
      <c r="CW579" s="144"/>
      <c r="DG579" s="143"/>
    </row>
    <row r="580" spans="1:111" ht="11.25">
      <c r="A580" s="5"/>
      <c r="B580" s="6"/>
      <c r="C580" s="6"/>
      <c r="D580" s="5"/>
      <c r="E580" s="5"/>
      <c r="F580" s="5"/>
      <c r="G580" s="5"/>
      <c r="H580" s="6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T580" s="5"/>
      <c r="CW580" s="144"/>
      <c r="DG580" s="143"/>
    </row>
    <row r="581" spans="1:111" ht="11.25">
      <c r="A581" s="5"/>
      <c r="B581" s="6"/>
      <c r="C581" s="6"/>
      <c r="D581" s="5"/>
      <c r="E581" s="5"/>
      <c r="F581" s="5"/>
      <c r="G581" s="5"/>
      <c r="H581" s="6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T581" s="5"/>
      <c r="CW581" s="144"/>
      <c r="DG581" s="143"/>
    </row>
    <row r="582" spans="1:111" ht="11.25">
      <c r="A582" s="5"/>
      <c r="B582" s="6"/>
      <c r="C582" s="6"/>
      <c r="D582" s="5"/>
      <c r="E582" s="5"/>
      <c r="F582" s="5"/>
      <c r="G582" s="5"/>
      <c r="H582" s="6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T582" s="5"/>
      <c r="CW582" s="144"/>
      <c r="DG582" s="143"/>
    </row>
    <row r="583" spans="1:111" ht="11.25">
      <c r="A583" s="5"/>
      <c r="B583" s="6"/>
      <c r="C583" s="6"/>
      <c r="D583" s="5"/>
      <c r="E583" s="5"/>
      <c r="F583" s="5"/>
      <c r="G583" s="5"/>
      <c r="H583" s="6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T583" s="5"/>
      <c r="CW583" s="144"/>
      <c r="DG583" s="143"/>
    </row>
    <row r="584" spans="1:111" ht="11.25">
      <c r="A584" s="5"/>
      <c r="B584" s="6"/>
      <c r="C584" s="6"/>
      <c r="D584" s="5"/>
      <c r="E584" s="5"/>
      <c r="F584" s="5"/>
      <c r="G584" s="5"/>
      <c r="H584" s="6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T584" s="5"/>
      <c r="CW584" s="144"/>
      <c r="DG584" s="143"/>
    </row>
    <row r="585" spans="1:111" ht="11.25">
      <c r="A585" s="5"/>
      <c r="B585" s="6"/>
      <c r="C585" s="6"/>
      <c r="D585" s="5"/>
      <c r="E585" s="5"/>
      <c r="F585" s="5"/>
      <c r="G585" s="5"/>
      <c r="H585" s="6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T585" s="5"/>
      <c r="CW585" s="144"/>
      <c r="DG585" s="143"/>
    </row>
    <row r="586" spans="1:111" ht="11.25">
      <c r="A586" s="5"/>
      <c r="B586" s="6"/>
      <c r="C586" s="6"/>
      <c r="D586" s="5"/>
      <c r="E586" s="5"/>
      <c r="F586" s="5"/>
      <c r="G586" s="5"/>
      <c r="H586" s="6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T586" s="5"/>
      <c r="CW586" s="144"/>
      <c r="DG586" s="143"/>
    </row>
    <row r="587" spans="1:111" ht="11.25">
      <c r="A587" s="5"/>
      <c r="B587" s="6"/>
      <c r="C587" s="6"/>
      <c r="D587" s="5"/>
      <c r="E587" s="5"/>
      <c r="F587" s="5"/>
      <c r="G587" s="5"/>
      <c r="H587" s="6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T587" s="5"/>
      <c r="CW587" s="144"/>
      <c r="DG587" s="143"/>
    </row>
    <row r="588" spans="1:111" ht="11.25">
      <c r="A588" s="5"/>
      <c r="B588" s="6"/>
      <c r="C588" s="6"/>
      <c r="D588" s="5"/>
      <c r="E588" s="5"/>
      <c r="F588" s="5"/>
      <c r="G588" s="5"/>
      <c r="H588" s="6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T588" s="5"/>
      <c r="CW588" s="144"/>
      <c r="DG588" s="143"/>
    </row>
    <row r="589" spans="1:111" ht="11.25">
      <c r="A589" s="5"/>
      <c r="B589" s="6"/>
      <c r="C589" s="6"/>
      <c r="D589" s="5"/>
      <c r="E589" s="5"/>
      <c r="F589" s="5"/>
      <c r="G589" s="5"/>
      <c r="H589" s="6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T589" s="5"/>
      <c r="CW589" s="144"/>
      <c r="DG589" s="143"/>
    </row>
    <row r="590" spans="1:111" ht="11.25">
      <c r="A590" s="5"/>
      <c r="B590" s="6"/>
      <c r="C590" s="6"/>
      <c r="D590" s="5"/>
      <c r="E590" s="5"/>
      <c r="F590" s="5"/>
      <c r="G590" s="5"/>
      <c r="H590" s="6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T590" s="5"/>
      <c r="CW590" s="144"/>
      <c r="DG590" s="143"/>
    </row>
    <row r="591" spans="1:111" ht="11.25">
      <c r="A591" s="5"/>
      <c r="B591" s="6"/>
      <c r="C591" s="6"/>
      <c r="D591" s="5"/>
      <c r="E591" s="5"/>
      <c r="F591" s="5"/>
      <c r="G591" s="5"/>
      <c r="H591" s="6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T591" s="5"/>
      <c r="CW591" s="144"/>
      <c r="DG591" s="143"/>
    </row>
    <row r="592" spans="1:111" ht="11.25">
      <c r="A592" s="5"/>
      <c r="B592" s="6"/>
      <c r="C592" s="6"/>
      <c r="D592" s="5"/>
      <c r="E592" s="5"/>
      <c r="F592" s="5"/>
      <c r="G592" s="5"/>
      <c r="H592" s="6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T592" s="5"/>
      <c r="CW592" s="144"/>
      <c r="DG592" s="143"/>
    </row>
    <row r="593" spans="1:111" ht="11.25">
      <c r="A593" s="5"/>
      <c r="B593" s="6"/>
      <c r="C593" s="6"/>
      <c r="D593" s="5"/>
      <c r="E593" s="5"/>
      <c r="F593" s="5"/>
      <c r="G593" s="5"/>
      <c r="H593" s="6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T593" s="5"/>
      <c r="CW593" s="144"/>
      <c r="DG593" s="143"/>
    </row>
    <row r="594" spans="1:111" ht="11.25">
      <c r="A594" s="5"/>
      <c r="B594" s="6"/>
      <c r="C594" s="6"/>
      <c r="D594" s="5"/>
      <c r="E594" s="5"/>
      <c r="F594" s="5"/>
      <c r="G594" s="5"/>
      <c r="H594" s="6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T594" s="5"/>
      <c r="CW594" s="144"/>
      <c r="DG594" s="143"/>
    </row>
    <row r="595" spans="1:111" ht="11.25">
      <c r="A595" s="5"/>
      <c r="B595" s="6"/>
      <c r="C595" s="6"/>
      <c r="D595" s="5"/>
      <c r="E595" s="5"/>
      <c r="F595" s="5"/>
      <c r="G595" s="5"/>
      <c r="H595" s="6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T595" s="5"/>
      <c r="CW595" s="144"/>
      <c r="DG595" s="143"/>
    </row>
    <row r="596" spans="1:111" ht="11.25">
      <c r="A596" s="5"/>
      <c r="B596" s="6"/>
      <c r="C596" s="6"/>
      <c r="D596" s="5"/>
      <c r="E596" s="5"/>
      <c r="F596" s="5"/>
      <c r="G596" s="5"/>
      <c r="H596" s="6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T596" s="5"/>
      <c r="CW596" s="144"/>
      <c r="DG596" s="143"/>
    </row>
    <row r="597" spans="1:111" ht="11.25">
      <c r="A597" s="5"/>
      <c r="B597" s="6"/>
      <c r="C597" s="6"/>
      <c r="D597" s="5"/>
      <c r="E597" s="5"/>
      <c r="F597" s="5"/>
      <c r="G597" s="5"/>
      <c r="H597" s="6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T597" s="5"/>
      <c r="CW597" s="144"/>
      <c r="DG597" s="143"/>
    </row>
    <row r="598" spans="1:111" ht="11.25">
      <c r="A598" s="5"/>
      <c r="B598" s="6"/>
      <c r="C598" s="6"/>
      <c r="D598" s="5"/>
      <c r="E598" s="5"/>
      <c r="F598" s="5"/>
      <c r="G598" s="5"/>
      <c r="H598" s="6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T598" s="5"/>
      <c r="CW598" s="144"/>
      <c r="DG598" s="143"/>
    </row>
    <row r="599" spans="1:111" ht="11.25">
      <c r="A599" s="5"/>
      <c r="B599" s="6"/>
      <c r="C599" s="6"/>
      <c r="D599" s="5"/>
      <c r="E599" s="5"/>
      <c r="F599" s="5"/>
      <c r="G599" s="5"/>
      <c r="H599" s="6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T599" s="5"/>
      <c r="CW599" s="144"/>
      <c r="DG599" s="143"/>
    </row>
    <row r="600" spans="1:111" ht="11.25">
      <c r="A600" s="5"/>
      <c r="B600" s="6"/>
      <c r="C600" s="6"/>
      <c r="D600" s="5"/>
      <c r="E600" s="5"/>
      <c r="F600" s="5"/>
      <c r="G600" s="5"/>
      <c r="H600" s="6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T600" s="5"/>
      <c r="CW600" s="144"/>
      <c r="DG600" s="143"/>
    </row>
    <row r="601" spans="1:111" ht="11.25">
      <c r="A601" s="5"/>
      <c r="B601" s="6"/>
      <c r="C601" s="6"/>
      <c r="D601" s="5"/>
      <c r="E601" s="5"/>
      <c r="F601" s="5"/>
      <c r="G601" s="5"/>
      <c r="H601" s="6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T601" s="5"/>
      <c r="CW601" s="144"/>
      <c r="DG601" s="143"/>
    </row>
    <row r="602" spans="1:111" ht="11.25">
      <c r="A602" s="5"/>
      <c r="B602" s="6"/>
      <c r="C602" s="6"/>
      <c r="D602" s="5"/>
      <c r="E602" s="5"/>
      <c r="F602" s="5"/>
      <c r="G602" s="5"/>
      <c r="H602" s="6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T602" s="5"/>
      <c r="CW602" s="144"/>
      <c r="DG602" s="143"/>
    </row>
    <row r="603" spans="1:111" ht="11.25">
      <c r="A603" s="5"/>
      <c r="B603" s="6"/>
      <c r="C603" s="6"/>
      <c r="D603" s="5"/>
      <c r="E603" s="5"/>
      <c r="F603" s="5"/>
      <c r="G603" s="5"/>
      <c r="H603" s="6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T603" s="5"/>
      <c r="CW603" s="144"/>
      <c r="DG603" s="143"/>
    </row>
    <row r="604" spans="1:111" ht="11.25">
      <c r="A604" s="5"/>
      <c r="B604" s="6"/>
      <c r="C604" s="6"/>
      <c r="D604" s="5"/>
      <c r="E604" s="5"/>
      <c r="F604" s="5"/>
      <c r="G604" s="5"/>
      <c r="H604" s="6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T604" s="5"/>
      <c r="CW604" s="144"/>
      <c r="DG604" s="143"/>
    </row>
    <row r="605" spans="1:111" ht="11.25">
      <c r="A605" s="5"/>
      <c r="B605" s="6"/>
      <c r="C605" s="6"/>
      <c r="D605" s="5"/>
      <c r="E605" s="5"/>
      <c r="F605" s="5"/>
      <c r="G605" s="5"/>
      <c r="H605" s="6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T605" s="5"/>
      <c r="CW605" s="144"/>
      <c r="DG605" s="143"/>
    </row>
    <row r="606" spans="1:111" ht="11.25">
      <c r="A606" s="5"/>
      <c r="B606" s="6"/>
      <c r="C606" s="6"/>
      <c r="D606" s="5"/>
      <c r="E606" s="5"/>
      <c r="F606" s="5"/>
      <c r="G606" s="5"/>
      <c r="H606" s="6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T606" s="5"/>
      <c r="CW606" s="144"/>
      <c r="DG606" s="143"/>
    </row>
    <row r="607" spans="1:111" ht="11.25">
      <c r="A607" s="5"/>
      <c r="B607" s="6"/>
      <c r="C607" s="6"/>
      <c r="D607" s="5"/>
      <c r="E607" s="5"/>
      <c r="F607" s="5"/>
      <c r="G607" s="5"/>
      <c r="H607" s="6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T607" s="5"/>
      <c r="CW607" s="144"/>
      <c r="DG607" s="143"/>
    </row>
    <row r="608" spans="1:111" ht="11.25">
      <c r="A608" s="5"/>
      <c r="B608" s="6"/>
      <c r="C608" s="6"/>
      <c r="D608" s="5"/>
      <c r="E608" s="5"/>
      <c r="F608" s="5"/>
      <c r="G608" s="5"/>
      <c r="H608" s="6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T608" s="5"/>
      <c r="CW608" s="144"/>
      <c r="DG608" s="143"/>
    </row>
    <row r="609" spans="1:111" ht="11.25">
      <c r="A609" s="5"/>
      <c r="B609" s="6"/>
      <c r="C609" s="6"/>
      <c r="D609" s="5"/>
      <c r="E609" s="5"/>
      <c r="F609" s="5"/>
      <c r="G609" s="5"/>
      <c r="H609" s="6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T609" s="5"/>
      <c r="CW609" s="144"/>
      <c r="DG609" s="143"/>
    </row>
    <row r="610" spans="1:111" ht="11.25">
      <c r="A610" s="5"/>
      <c r="B610" s="6"/>
      <c r="C610" s="6"/>
      <c r="D610" s="5"/>
      <c r="E610" s="5"/>
      <c r="F610" s="5"/>
      <c r="G610" s="5"/>
      <c r="H610" s="6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T610" s="5"/>
      <c r="CW610" s="144"/>
      <c r="DG610" s="143"/>
    </row>
    <row r="611" spans="1:111" ht="11.25">
      <c r="A611" s="5"/>
      <c r="B611" s="6"/>
      <c r="C611" s="6"/>
      <c r="D611" s="5"/>
      <c r="E611" s="5"/>
      <c r="F611" s="5"/>
      <c r="G611" s="5"/>
      <c r="H611" s="6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T611" s="5"/>
      <c r="CW611" s="144"/>
      <c r="DG611" s="143"/>
    </row>
    <row r="612" spans="1:111" ht="11.25">
      <c r="A612" s="5"/>
      <c r="B612" s="6"/>
      <c r="C612" s="6"/>
      <c r="D612" s="5"/>
      <c r="E612" s="5"/>
      <c r="F612" s="5"/>
      <c r="G612" s="5"/>
      <c r="H612" s="6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T612" s="5"/>
      <c r="CW612" s="144"/>
      <c r="DG612" s="143"/>
    </row>
    <row r="613" spans="1:111" ht="11.25">
      <c r="A613" s="5"/>
      <c r="B613" s="6"/>
      <c r="C613" s="6"/>
      <c r="D613" s="5"/>
      <c r="E613" s="5"/>
      <c r="F613" s="5"/>
      <c r="G613" s="5"/>
      <c r="H613" s="6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T613" s="5"/>
      <c r="CW613" s="144"/>
      <c r="DG613" s="143"/>
    </row>
    <row r="614" spans="1:111" ht="11.25">
      <c r="A614" s="5"/>
      <c r="B614" s="6"/>
      <c r="C614" s="6"/>
      <c r="D614" s="5"/>
      <c r="E614" s="5"/>
      <c r="F614" s="5"/>
      <c r="G614" s="5"/>
      <c r="H614" s="6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T614" s="5"/>
      <c r="CW614" s="144"/>
      <c r="DG614" s="143"/>
    </row>
    <row r="615" spans="1:111" ht="11.25">
      <c r="A615" s="5"/>
      <c r="B615" s="6"/>
      <c r="C615" s="6"/>
      <c r="D615" s="5"/>
      <c r="E615" s="5"/>
      <c r="F615" s="5"/>
      <c r="G615" s="5"/>
      <c r="H615" s="6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T615" s="5"/>
      <c r="CW615" s="144"/>
      <c r="DG615" s="143"/>
    </row>
    <row r="616" spans="1:111" ht="11.25">
      <c r="A616" s="5"/>
      <c r="B616" s="6"/>
      <c r="C616" s="6"/>
      <c r="D616" s="5"/>
      <c r="E616" s="5"/>
      <c r="F616" s="5"/>
      <c r="G616" s="5"/>
      <c r="H616" s="6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T616" s="5"/>
      <c r="CW616" s="144"/>
      <c r="DG616" s="143"/>
    </row>
    <row r="617" spans="1:111" ht="11.25">
      <c r="A617" s="5"/>
      <c r="B617" s="6"/>
      <c r="C617" s="6"/>
      <c r="D617" s="5"/>
      <c r="E617" s="5"/>
      <c r="F617" s="5"/>
      <c r="G617" s="5"/>
      <c r="H617" s="6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T617" s="5"/>
      <c r="CW617" s="144"/>
      <c r="DG617" s="143"/>
    </row>
    <row r="618" spans="1:111" ht="11.25">
      <c r="A618" s="5"/>
      <c r="B618" s="6"/>
      <c r="C618" s="6"/>
      <c r="D618" s="5"/>
      <c r="E618" s="5"/>
      <c r="F618" s="5"/>
      <c r="G618" s="5"/>
      <c r="H618" s="6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T618" s="5"/>
      <c r="CW618" s="144"/>
      <c r="DG618" s="143"/>
    </row>
    <row r="619" spans="1:111" ht="11.25">
      <c r="A619" s="5"/>
      <c r="B619" s="6"/>
      <c r="C619" s="6"/>
      <c r="D619" s="5"/>
      <c r="E619" s="5"/>
      <c r="F619" s="5"/>
      <c r="G619" s="5"/>
      <c r="H619" s="6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T619" s="5"/>
      <c r="CW619" s="144"/>
      <c r="DG619" s="143"/>
    </row>
    <row r="620" spans="1:111" ht="11.25">
      <c r="A620" s="5"/>
      <c r="B620" s="6"/>
      <c r="C620" s="6"/>
      <c r="D620" s="5"/>
      <c r="E620" s="5"/>
      <c r="F620" s="5"/>
      <c r="G620" s="5"/>
      <c r="H620" s="6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T620" s="5"/>
      <c r="CW620" s="144"/>
      <c r="DG620" s="143"/>
    </row>
    <row r="621" spans="1:111" ht="11.25">
      <c r="A621" s="5"/>
      <c r="B621" s="6"/>
      <c r="C621" s="6"/>
      <c r="D621" s="5"/>
      <c r="E621" s="5"/>
      <c r="F621" s="5"/>
      <c r="G621" s="5"/>
      <c r="H621" s="6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T621" s="5"/>
      <c r="CW621" s="144"/>
      <c r="DG621" s="143"/>
    </row>
    <row r="622" spans="1:111" ht="11.25">
      <c r="A622" s="5"/>
      <c r="B622" s="6"/>
      <c r="C622" s="6"/>
      <c r="D622" s="5"/>
      <c r="E622" s="5"/>
      <c r="F622" s="5"/>
      <c r="G622" s="5"/>
      <c r="H622" s="6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T622" s="5"/>
      <c r="CW622" s="144"/>
      <c r="DG622" s="143"/>
    </row>
    <row r="623" spans="1:111" ht="11.25">
      <c r="A623" s="5"/>
      <c r="B623" s="6"/>
      <c r="C623" s="6"/>
      <c r="D623" s="5"/>
      <c r="E623" s="5"/>
      <c r="F623" s="5"/>
      <c r="G623" s="5"/>
      <c r="H623" s="6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T623" s="5"/>
      <c r="CW623" s="144"/>
      <c r="DG623" s="143"/>
    </row>
    <row r="624" spans="1:111" ht="11.25">
      <c r="A624" s="5"/>
      <c r="B624" s="6"/>
      <c r="C624" s="6"/>
      <c r="D624" s="5"/>
      <c r="E624" s="5"/>
      <c r="F624" s="5"/>
      <c r="G624" s="5"/>
      <c r="H624" s="6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T624" s="5"/>
      <c r="CW624" s="144"/>
      <c r="DG624" s="143"/>
    </row>
    <row r="625" spans="1:111" ht="11.25">
      <c r="A625" s="5"/>
      <c r="B625" s="6"/>
      <c r="C625" s="6"/>
      <c r="D625" s="5"/>
      <c r="E625" s="5"/>
      <c r="F625" s="5"/>
      <c r="G625" s="5"/>
      <c r="H625" s="6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T625" s="5"/>
      <c r="CW625" s="144"/>
      <c r="DG625" s="143"/>
    </row>
    <row r="626" spans="1:111" ht="11.25">
      <c r="A626" s="5"/>
      <c r="B626" s="6"/>
      <c r="C626" s="6"/>
      <c r="D626" s="5"/>
      <c r="E626" s="5"/>
      <c r="F626" s="5"/>
      <c r="G626" s="5"/>
      <c r="H626" s="6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T626" s="5"/>
      <c r="CW626" s="144"/>
      <c r="DG626" s="143"/>
    </row>
    <row r="627" spans="1:111" ht="11.25">
      <c r="A627" s="5"/>
      <c r="B627" s="6"/>
      <c r="C627" s="6"/>
      <c r="D627" s="5"/>
      <c r="E627" s="5"/>
      <c r="F627" s="5"/>
      <c r="G627" s="5"/>
      <c r="H627" s="6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T627" s="5"/>
      <c r="CW627" s="144"/>
      <c r="DG627" s="143"/>
    </row>
    <row r="628" spans="1:111" ht="11.25">
      <c r="A628" s="5"/>
      <c r="B628" s="6"/>
      <c r="C628" s="6"/>
      <c r="D628" s="5"/>
      <c r="E628" s="5"/>
      <c r="F628" s="5"/>
      <c r="G628" s="5"/>
      <c r="H628" s="6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T628" s="5"/>
      <c r="CW628" s="144"/>
      <c r="DG628" s="143"/>
    </row>
    <row r="629" spans="1:111" ht="11.25">
      <c r="A629" s="5"/>
      <c r="B629" s="6"/>
      <c r="C629" s="6"/>
      <c r="D629" s="5"/>
      <c r="E629" s="5"/>
      <c r="F629" s="5"/>
      <c r="G629" s="5"/>
      <c r="H629" s="6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T629" s="5"/>
      <c r="CW629" s="144"/>
      <c r="DG629" s="143"/>
    </row>
    <row r="630" spans="1:111" ht="11.25">
      <c r="A630" s="5"/>
      <c r="B630" s="6"/>
      <c r="C630" s="6"/>
      <c r="D630" s="5"/>
      <c r="E630" s="5"/>
      <c r="F630" s="5"/>
      <c r="G630" s="5"/>
      <c r="H630" s="6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T630" s="5"/>
      <c r="CW630" s="144"/>
      <c r="DG630" s="143"/>
    </row>
    <row r="631" spans="1:111" ht="11.25">
      <c r="A631" s="5"/>
      <c r="B631" s="6"/>
      <c r="C631" s="6"/>
      <c r="D631" s="5"/>
      <c r="E631" s="5"/>
      <c r="F631" s="5"/>
      <c r="G631" s="5"/>
      <c r="H631" s="6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T631" s="5"/>
      <c r="CW631" s="144"/>
      <c r="DG631" s="143"/>
    </row>
    <row r="632" spans="1:111" ht="11.25">
      <c r="A632" s="5"/>
      <c r="B632" s="6"/>
      <c r="C632" s="6"/>
      <c r="D632" s="5"/>
      <c r="E632" s="5"/>
      <c r="F632" s="5"/>
      <c r="G632" s="5"/>
      <c r="H632" s="6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T632" s="5"/>
      <c r="CW632" s="144"/>
      <c r="DG632" s="143"/>
    </row>
    <row r="633" spans="1:111" ht="11.25">
      <c r="A633" s="5"/>
      <c r="B633" s="6"/>
      <c r="C633" s="6"/>
      <c r="D633" s="5"/>
      <c r="E633" s="5"/>
      <c r="F633" s="5"/>
      <c r="G633" s="5"/>
      <c r="H633" s="6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T633" s="5"/>
      <c r="CW633" s="144"/>
      <c r="DG633" s="143"/>
    </row>
    <row r="634" spans="1:111" ht="11.25">
      <c r="A634" s="5"/>
      <c r="B634" s="6"/>
      <c r="C634" s="6"/>
      <c r="D634" s="5"/>
      <c r="E634" s="5"/>
      <c r="F634" s="5"/>
      <c r="G634" s="5"/>
      <c r="H634" s="6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T634" s="5"/>
      <c r="CW634" s="144"/>
      <c r="DG634" s="143"/>
    </row>
    <row r="635" spans="1:111" ht="11.25">
      <c r="A635" s="5"/>
      <c r="B635" s="6"/>
      <c r="C635" s="6"/>
      <c r="D635" s="5"/>
      <c r="E635" s="5"/>
      <c r="F635" s="5"/>
      <c r="G635" s="5"/>
      <c r="H635" s="6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T635" s="5"/>
      <c r="CW635" s="144"/>
      <c r="DG635" s="143"/>
    </row>
    <row r="636" spans="1:111" ht="11.25">
      <c r="A636" s="5"/>
      <c r="B636" s="6"/>
      <c r="C636" s="6"/>
      <c r="D636" s="5"/>
      <c r="E636" s="5"/>
      <c r="F636" s="5"/>
      <c r="G636" s="5"/>
      <c r="H636" s="6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T636" s="5"/>
      <c r="CW636" s="144"/>
      <c r="DG636" s="143"/>
    </row>
    <row r="637" spans="1:111" ht="11.25">
      <c r="A637" s="5"/>
      <c r="B637" s="6"/>
      <c r="C637" s="6"/>
      <c r="D637" s="5"/>
      <c r="E637" s="5"/>
      <c r="F637" s="5"/>
      <c r="G637" s="5"/>
      <c r="H637" s="6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T637" s="5"/>
      <c r="CW637" s="144"/>
      <c r="DG637" s="143"/>
    </row>
    <row r="638" spans="1:111" ht="11.25">
      <c r="A638" s="5"/>
      <c r="B638" s="6"/>
      <c r="C638" s="6"/>
      <c r="D638" s="5"/>
      <c r="E638" s="5"/>
      <c r="F638" s="5"/>
      <c r="G638" s="5"/>
      <c r="H638" s="6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T638" s="5"/>
      <c r="CW638" s="144"/>
      <c r="DG638" s="143"/>
    </row>
    <row r="639" spans="1:111" ht="11.25">
      <c r="A639" s="5"/>
      <c r="B639" s="6"/>
      <c r="C639" s="6"/>
      <c r="D639" s="5"/>
      <c r="E639" s="5"/>
      <c r="F639" s="5"/>
      <c r="G639" s="5"/>
      <c r="H639" s="6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T639" s="5"/>
      <c r="CW639" s="144"/>
      <c r="DG639" s="143"/>
    </row>
    <row r="640" spans="1:111" ht="11.25">
      <c r="A640" s="5"/>
      <c r="B640" s="6"/>
      <c r="C640" s="6"/>
      <c r="D640" s="5"/>
      <c r="E640" s="5"/>
      <c r="F640" s="5"/>
      <c r="G640" s="5"/>
      <c r="H640" s="6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T640" s="5"/>
      <c r="CW640" s="144"/>
      <c r="DG640" s="143"/>
    </row>
    <row r="641" spans="1:111" ht="11.25">
      <c r="A641" s="5"/>
      <c r="B641" s="6"/>
      <c r="C641" s="6"/>
      <c r="D641" s="5"/>
      <c r="E641" s="5"/>
      <c r="F641" s="5"/>
      <c r="G641" s="5"/>
      <c r="H641" s="6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T641" s="5"/>
      <c r="CW641" s="144"/>
      <c r="DG641" s="143"/>
    </row>
    <row r="642" spans="1:111" ht="11.25">
      <c r="A642" s="5"/>
      <c r="B642" s="6"/>
      <c r="C642" s="6"/>
      <c r="D642" s="5"/>
      <c r="E642" s="5"/>
      <c r="F642" s="5"/>
      <c r="G642" s="5"/>
      <c r="H642" s="6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T642" s="5"/>
      <c r="CW642" s="144"/>
      <c r="DG642" s="143"/>
    </row>
    <row r="643" spans="1:111" ht="11.25">
      <c r="A643" s="5"/>
      <c r="B643" s="6"/>
      <c r="C643" s="6"/>
      <c r="D643" s="5"/>
      <c r="E643" s="5"/>
      <c r="F643" s="5"/>
      <c r="G643" s="5"/>
      <c r="H643" s="6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T643" s="5"/>
      <c r="CW643" s="144"/>
      <c r="DG643" s="143"/>
    </row>
    <row r="644" spans="1:111" ht="11.25">
      <c r="A644" s="5"/>
      <c r="B644" s="6"/>
      <c r="C644" s="6"/>
      <c r="D644" s="5"/>
      <c r="E644" s="5"/>
      <c r="F644" s="5"/>
      <c r="G644" s="5"/>
      <c r="H644" s="6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T644" s="5"/>
      <c r="CW644" s="144"/>
      <c r="DG644" s="143"/>
    </row>
    <row r="645" spans="1:111" ht="11.25">
      <c r="A645" s="5"/>
      <c r="B645" s="6"/>
      <c r="C645" s="6"/>
      <c r="D645" s="5"/>
      <c r="E645" s="5"/>
      <c r="F645" s="5"/>
      <c r="G645" s="5"/>
      <c r="H645" s="6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T645" s="5"/>
      <c r="CW645" s="144"/>
      <c r="DG645" s="143"/>
    </row>
    <row r="646" spans="1:111" ht="11.25">
      <c r="A646" s="5"/>
      <c r="B646" s="6"/>
      <c r="C646" s="6"/>
      <c r="D646" s="5"/>
      <c r="E646" s="5"/>
      <c r="F646" s="5"/>
      <c r="G646" s="5"/>
      <c r="H646" s="6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T646" s="5"/>
      <c r="CW646" s="144"/>
      <c r="DG646" s="143"/>
    </row>
    <row r="647" spans="1:111" ht="11.25">
      <c r="A647" s="5"/>
      <c r="B647" s="6"/>
      <c r="C647" s="6"/>
      <c r="D647" s="5"/>
      <c r="E647" s="5"/>
      <c r="F647" s="5"/>
      <c r="G647" s="5"/>
      <c r="H647" s="6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T647" s="5"/>
      <c r="CW647" s="144"/>
      <c r="DG647" s="143"/>
    </row>
    <row r="648" spans="1:111" ht="11.25">
      <c r="A648" s="5"/>
      <c r="B648" s="6"/>
      <c r="C648" s="6"/>
      <c r="D648" s="5"/>
      <c r="E648" s="5"/>
      <c r="F648" s="5"/>
      <c r="G648" s="5"/>
      <c r="H648" s="6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T648" s="5"/>
      <c r="CW648" s="144"/>
      <c r="DG648" s="143"/>
    </row>
    <row r="649" spans="1:111" ht="11.25">
      <c r="A649" s="5"/>
      <c r="B649" s="6"/>
      <c r="C649" s="6"/>
      <c r="D649" s="5"/>
      <c r="E649" s="5"/>
      <c r="F649" s="5"/>
      <c r="G649" s="5"/>
      <c r="H649" s="6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T649" s="5"/>
      <c r="CW649" s="144"/>
      <c r="DG649" s="143"/>
    </row>
    <row r="650" spans="1:111" ht="11.25">
      <c r="A650" s="5"/>
      <c r="B650" s="6"/>
      <c r="C650" s="6"/>
      <c r="D650" s="5"/>
      <c r="E650" s="5"/>
      <c r="F650" s="5"/>
      <c r="G650" s="5"/>
      <c r="H650" s="6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T650" s="5"/>
      <c r="CW650" s="144"/>
      <c r="DG650" s="143"/>
    </row>
    <row r="651" spans="1:111" ht="11.25">
      <c r="A651" s="5"/>
      <c r="B651" s="6"/>
      <c r="C651" s="6"/>
      <c r="D651" s="5"/>
      <c r="E651" s="5"/>
      <c r="F651" s="5"/>
      <c r="G651" s="5"/>
      <c r="H651" s="6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T651" s="5"/>
      <c r="CW651" s="144"/>
      <c r="DG651" s="143"/>
    </row>
    <row r="652" spans="1:111" ht="11.25">
      <c r="A652" s="5"/>
      <c r="B652" s="6"/>
      <c r="C652" s="6"/>
      <c r="D652" s="5"/>
      <c r="E652" s="5"/>
      <c r="F652" s="5"/>
      <c r="G652" s="5"/>
      <c r="H652" s="6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T652" s="5"/>
      <c r="CW652" s="144"/>
      <c r="DG652" s="143"/>
    </row>
    <row r="653" spans="1:111" ht="11.25">
      <c r="A653" s="5"/>
      <c r="B653" s="6"/>
      <c r="C653" s="6"/>
      <c r="D653" s="5"/>
      <c r="E653" s="5"/>
      <c r="F653" s="5"/>
      <c r="G653" s="5"/>
      <c r="H653" s="6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T653" s="5"/>
      <c r="CW653" s="144"/>
      <c r="DG653" s="143"/>
    </row>
    <row r="654" spans="1:111" ht="11.25">
      <c r="A654" s="5"/>
      <c r="B654" s="6"/>
      <c r="C654" s="6"/>
      <c r="D654" s="5"/>
      <c r="E654" s="5"/>
      <c r="F654" s="5"/>
      <c r="G654" s="5"/>
      <c r="H654" s="6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T654" s="5"/>
      <c r="CW654" s="144"/>
      <c r="DG654" s="143"/>
    </row>
    <row r="655" spans="1:111" ht="11.25">
      <c r="A655" s="5"/>
      <c r="B655" s="6"/>
      <c r="C655" s="6"/>
      <c r="D655" s="5"/>
      <c r="E655" s="5"/>
      <c r="F655" s="5"/>
      <c r="G655" s="5"/>
      <c r="H655" s="6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T655" s="5"/>
      <c r="CW655" s="144"/>
      <c r="DG655" s="143"/>
    </row>
    <row r="656" spans="1:111" ht="11.25">
      <c r="A656" s="5"/>
      <c r="B656" s="6"/>
      <c r="C656" s="6"/>
      <c r="D656" s="5"/>
      <c r="E656" s="5"/>
      <c r="F656" s="5"/>
      <c r="G656" s="5"/>
      <c r="H656" s="6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T656" s="5"/>
      <c r="CW656" s="144"/>
      <c r="DG656" s="143"/>
    </row>
    <row r="657" spans="1:111" ht="11.25">
      <c r="A657" s="5"/>
      <c r="B657" s="6"/>
      <c r="C657" s="6"/>
      <c r="D657" s="5"/>
      <c r="E657" s="5"/>
      <c r="F657" s="5"/>
      <c r="G657" s="5"/>
      <c r="H657" s="6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T657" s="5"/>
      <c r="CW657" s="144"/>
      <c r="DG657" s="143"/>
    </row>
    <row r="658" spans="1:111" ht="11.25">
      <c r="A658" s="5"/>
      <c r="B658" s="6"/>
      <c r="C658" s="6"/>
      <c r="D658" s="5"/>
      <c r="E658" s="5"/>
      <c r="F658" s="5"/>
      <c r="G658" s="5"/>
      <c r="H658" s="6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T658" s="5"/>
      <c r="CW658" s="144"/>
      <c r="DG658" s="143"/>
    </row>
    <row r="659" spans="1:111" ht="11.25">
      <c r="A659" s="5"/>
      <c r="B659" s="6"/>
      <c r="C659" s="6"/>
      <c r="D659" s="5"/>
      <c r="E659" s="5"/>
      <c r="F659" s="5"/>
      <c r="G659" s="5"/>
      <c r="H659" s="6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T659" s="5"/>
      <c r="CW659" s="144"/>
      <c r="DG659" s="143"/>
    </row>
    <row r="660" spans="1:111" ht="11.25">
      <c r="A660" s="5"/>
      <c r="B660" s="6"/>
      <c r="C660" s="6"/>
      <c r="D660" s="5"/>
      <c r="E660" s="5"/>
      <c r="F660" s="5"/>
      <c r="G660" s="5"/>
      <c r="H660" s="6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T660" s="5"/>
      <c r="CW660" s="144"/>
      <c r="DG660" s="143"/>
    </row>
    <row r="661" spans="1:111" ht="11.25">
      <c r="A661" s="5"/>
      <c r="B661" s="6"/>
      <c r="C661" s="6"/>
      <c r="D661" s="5"/>
      <c r="E661" s="5"/>
      <c r="F661" s="5"/>
      <c r="G661" s="5"/>
      <c r="H661" s="6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T661" s="5"/>
      <c r="CW661" s="144"/>
      <c r="DG661" s="143"/>
    </row>
    <row r="662" spans="1:111" ht="11.25">
      <c r="A662" s="5"/>
      <c r="B662" s="6"/>
      <c r="C662" s="6"/>
      <c r="D662" s="5"/>
      <c r="E662" s="5"/>
      <c r="F662" s="5"/>
      <c r="G662" s="5"/>
      <c r="H662" s="6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T662" s="5"/>
      <c r="CW662" s="144"/>
      <c r="DG662" s="143"/>
    </row>
    <row r="663" spans="1:111" ht="11.25">
      <c r="A663" s="5"/>
      <c r="B663" s="6"/>
      <c r="C663" s="6"/>
      <c r="D663" s="5"/>
      <c r="E663" s="5"/>
      <c r="F663" s="5"/>
      <c r="G663" s="5"/>
      <c r="H663" s="6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T663" s="5"/>
      <c r="CW663" s="144"/>
      <c r="DG663" s="143"/>
    </row>
    <row r="664" spans="1:111" ht="11.25">
      <c r="A664" s="5"/>
      <c r="B664" s="6"/>
      <c r="C664" s="6"/>
      <c r="D664" s="5"/>
      <c r="E664" s="5"/>
      <c r="F664" s="5"/>
      <c r="G664" s="5"/>
      <c r="H664" s="6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T664" s="5"/>
      <c r="CW664" s="144"/>
      <c r="DG664" s="143"/>
    </row>
    <row r="665" spans="1:111" ht="11.25">
      <c r="A665" s="5"/>
      <c r="B665" s="6"/>
      <c r="C665" s="6"/>
      <c r="D665" s="5"/>
      <c r="E665" s="5"/>
      <c r="F665" s="5"/>
      <c r="G665" s="5"/>
      <c r="H665" s="6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T665" s="5"/>
      <c r="CW665" s="144"/>
      <c r="DG665" s="143"/>
    </row>
    <row r="666" spans="1:111" ht="11.25">
      <c r="A666" s="5"/>
      <c r="B666" s="6"/>
      <c r="C666" s="6"/>
      <c r="D666" s="5"/>
      <c r="E666" s="5"/>
      <c r="F666" s="5"/>
      <c r="G666" s="5"/>
      <c r="H666" s="6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T666" s="5"/>
      <c r="CW666" s="144"/>
      <c r="DG666" s="143"/>
    </row>
    <row r="667" spans="1:111" ht="11.25">
      <c r="A667" s="5"/>
      <c r="B667" s="6"/>
      <c r="C667" s="6"/>
      <c r="D667" s="5"/>
      <c r="E667" s="5"/>
      <c r="F667" s="5"/>
      <c r="G667" s="5"/>
      <c r="H667" s="6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T667" s="5"/>
      <c r="CW667" s="144"/>
      <c r="DG667" s="143"/>
    </row>
    <row r="668" spans="1:111" ht="11.25">
      <c r="A668" s="5"/>
      <c r="B668" s="6"/>
      <c r="C668" s="6"/>
      <c r="D668" s="5"/>
      <c r="E668" s="5"/>
      <c r="F668" s="5"/>
      <c r="G668" s="5"/>
      <c r="H668" s="6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T668" s="5"/>
      <c r="CW668" s="144"/>
      <c r="DG668" s="143"/>
    </row>
    <row r="669" spans="1:111" ht="11.25">
      <c r="A669" s="5"/>
      <c r="B669" s="6"/>
      <c r="C669" s="6"/>
      <c r="D669" s="5"/>
      <c r="E669" s="5"/>
      <c r="F669" s="5"/>
      <c r="G669" s="5"/>
      <c r="H669" s="6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T669" s="5"/>
      <c r="CW669" s="144"/>
      <c r="DG669" s="143"/>
    </row>
    <row r="670" spans="1:111" ht="11.25">
      <c r="A670" s="5"/>
      <c r="B670" s="6"/>
      <c r="C670" s="6"/>
      <c r="D670" s="5"/>
      <c r="E670" s="5"/>
      <c r="F670" s="5"/>
      <c r="G670" s="5"/>
      <c r="H670" s="6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T670" s="5"/>
      <c r="CW670" s="144"/>
      <c r="DG670" s="143"/>
    </row>
    <row r="671" spans="1:111" ht="11.25">
      <c r="A671" s="5"/>
      <c r="B671" s="6"/>
      <c r="C671" s="6"/>
      <c r="D671" s="5"/>
      <c r="E671" s="5"/>
      <c r="F671" s="5"/>
      <c r="G671" s="5"/>
      <c r="H671" s="6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T671" s="5"/>
      <c r="CW671" s="144"/>
      <c r="DG671" s="143"/>
    </row>
    <row r="672" spans="1:111" ht="11.25">
      <c r="A672" s="5"/>
      <c r="B672" s="6"/>
      <c r="C672" s="6"/>
      <c r="D672" s="5"/>
      <c r="E672" s="5"/>
      <c r="F672" s="5"/>
      <c r="G672" s="5"/>
      <c r="H672" s="6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T672" s="5"/>
      <c r="CW672" s="144"/>
      <c r="DG672" s="143"/>
    </row>
    <row r="673" spans="1:111" ht="11.25">
      <c r="A673" s="5"/>
      <c r="B673" s="6"/>
      <c r="C673" s="6"/>
      <c r="D673" s="5"/>
      <c r="E673" s="5"/>
      <c r="F673" s="5"/>
      <c r="G673" s="5"/>
      <c r="H673" s="6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T673" s="5"/>
      <c r="CW673" s="144"/>
      <c r="DG673" s="143"/>
    </row>
    <row r="674" spans="1:111" ht="11.25">
      <c r="A674" s="5"/>
      <c r="B674" s="6"/>
      <c r="C674" s="6"/>
      <c r="D674" s="5"/>
      <c r="E674" s="5"/>
      <c r="F674" s="5"/>
      <c r="G674" s="5"/>
      <c r="H674" s="6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T674" s="5"/>
      <c r="CW674" s="144"/>
      <c r="DG674" s="143"/>
    </row>
    <row r="675" spans="1:111" ht="11.25">
      <c r="A675" s="5"/>
      <c r="B675" s="6"/>
      <c r="C675" s="6"/>
      <c r="D675" s="5"/>
      <c r="E675" s="5"/>
      <c r="F675" s="5"/>
      <c r="G675" s="5"/>
      <c r="H675" s="6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T675" s="5"/>
      <c r="CW675" s="144"/>
      <c r="DG675" s="143"/>
    </row>
    <row r="676" spans="1:111" ht="11.25">
      <c r="A676" s="5"/>
      <c r="B676" s="6"/>
      <c r="C676" s="6"/>
      <c r="D676" s="5"/>
      <c r="E676" s="5"/>
      <c r="F676" s="5"/>
      <c r="G676" s="5"/>
      <c r="H676" s="6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T676" s="5"/>
      <c r="CW676" s="144"/>
      <c r="DG676" s="143"/>
    </row>
    <row r="677" spans="1:111" ht="11.25">
      <c r="A677" s="5"/>
      <c r="B677" s="6"/>
      <c r="C677" s="6"/>
      <c r="D677" s="5"/>
      <c r="E677" s="5"/>
      <c r="F677" s="5"/>
      <c r="G677" s="5"/>
      <c r="H677" s="6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T677" s="5"/>
      <c r="CW677" s="144"/>
      <c r="DG677" s="143"/>
    </row>
    <row r="678" spans="1:111" ht="11.25">
      <c r="A678" s="5"/>
      <c r="B678" s="6"/>
      <c r="C678" s="6"/>
      <c r="D678" s="5"/>
      <c r="E678" s="5"/>
      <c r="F678" s="5"/>
      <c r="G678" s="5"/>
      <c r="H678" s="6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T678" s="5"/>
      <c r="CW678" s="144"/>
      <c r="DG678" s="143"/>
    </row>
    <row r="679" spans="1:111" ht="11.25">
      <c r="A679" s="5"/>
      <c r="B679" s="6"/>
      <c r="C679" s="6"/>
      <c r="D679" s="5"/>
      <c r="E679" s="5"/>
      <c r="F679" s="5"/>
      <c r="G679" s="5"/>
      <c r="H679" s="6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T679" s="5"/>
      <c r="CW679" s="144"/>
      <c r="DG679" s="143"/>
    </row>
    <row r="680" spans="1:111" ht="11.25">
      <c r="A680" s="5"/>
      <c r="B680" s="6"/>
      <c r="C680" s="6"/>
      <c r="D680" s="5"/>
      <c r="E680" s="5"/>
      <c r="F680" s="5"/>
      <c r="G680" s="5"/>
      <c r="H680" s="6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T680" s="5"/>
      <c r="CW680" s="144"/>
      <c r="DG680" s="143"/>
    </row>
    <row r="681" spans="1:111" ht="11.25">
      <c r="A681" s="5"/>
      <c r="B681" s="6"/>
      <c r="C681" s="6"/>
      <c r="D681" s="5"/>
      <c r="E681" s="5"/>
      <c r="F681" s="5"/>
      <c r="G681" s="5"/>
      <c r="H681" s="6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T681" s="5"/>
      <c r="CW681" s="144"/>
      <c r="DG681" s="143"/>
    </row>
    <row r="682" spans="1:111" ht="11.25">
      <c r="A682" s="5"/>
      <c r="B682" s="6"/>
      <c r="C682" s="6"/>
      <c r="D682" s="5"/>
      <c r="E682" s="5"/>
      <c r="F682" s="5"/>
      <c r="G682" s="5"/>
      <c r="H682" s="6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T682" s="5"/>
      <c r="CW682" s="144"/>
      <c r="DG682" s="143"/>
    </row>
    <row r="683" spans="1:111" ht="11.25">
      <c r="A683" s="5"/>
      <c r="B683" s="6"/>
      <c r="C683" s="6"/>
      <c r="D683" s="5"/>
      <c r="E683" s="5"/>
      <c r="F683" s="5"/>
      <c r="G683" s="5"/>
      <c r="H683" s="6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T683" s="5"/>
      <c r="CW683" s="144"/>
      <c r="DG683" s="143"/>
    </row>
    <row r="684" spans="1:111" ht="11.25">
      <c r="A684" s="5"/>
      <c r="B684" s="6"/>
      <c r="C684" s="6"/>
      <c r="D684" s="5"/>
      <c r="E684" s="5"/>
      <c r="F684" s="5"/>
      <c r="G684" s="5"/>
      <c r="H684" s="6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T684" s="5"/>
      <c r="CW684" s="144"/>
      <c r="DG684" s="143"/>
    </row>
    <row r="685" spans="1:111" ht="11.25">
      <c r="A685" s="5"/>
      <c r="B685" s="6"/>
      <c r="C685" s="6"/>
      <c r="D685" s="5"/>
      <c r="E685" s="5"/>
      <c r="F685" s="5"/>
      <c r="G685" s="5"/>
      <c r="H685" s="6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T685" s="5"/>
      <c r="CW685" s="144"/>
      <c r="DG685" s="143"/>
    </row>
    <row r="686" spans="1:111" ht="11.25">
      <c r="A686" s="5"/>
      <c r="B686" s="6"/>
      <c r="C686" s="6"/>
      <c r="D686" s="5"/>
      <c r="E686" s="5"/>
      <c r="F686" s="5"/>
      <c r="G686" s="5"/>
      <c r="H686" s="6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T686" s="5"/>
      <c r="CW686" s="144"/>
      <c r="DG686" s="143"/>
    </row>
    <row r="687" spans="1:111" ht="11.25">
      <c r="A687" s="5"/>
      <c r="B687" s="6"/>
      <c r="C687" s="6"/>
      <c r="D687" s="5"/>
      <c r="E687" s="5"/>
      <c r="F687" s="5"/>
      <c r="G687" s="5"/>
      <c r="H687" s="6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T687" s="5"/>
      <c r="CW687" s="144"/>
      <c r="DG687" s="143"/>
    </row>
    <row r="688" spans="1:111" ht="11.25">
      <c r="A688" s="5"/>
      <c r="B688" s="6"/>
      <c r="C688" s="6"/>
      <c r="D688" s="5"/>
      <c r="E688" s="5"/>
      <c r="F688" s="5"/>
      <c r="G688" s="5"/>
      <c r="H688" s="6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T688" s="5"/>
      <c r="CW688" s="144"/>
      <c r="DG688" s="143"/>
    </row>
    <row r="689" spans="1:111" ht="11.25">
      <c r="A689" s="5"/>
      <c r="B689" s="6"/>
      <c r="C689" s="6"/>
      <c r="D689" s="5"/>
      <c r="E689" s="5"/>
      <c r="F689" s="5"/>
      <c r="G689" s="5"/>
      <c r="H689" s="6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T689" s="5"/>
      <c r="CW689" s="144"/>
      <c r="DG689" s="143"/>
    </row>
    <row r="690" spans="1:111" ht="11.25">
      <c r="A690" s="5"/>
      <c r="B690" s="6"/>
      <c r="C690" s="6"/>
      <c r="D690" s="5"/>
      <c r="E690" s="5"/>
      <c r="F690" s="5"/>
      <c r="G690" s="5"/>
      <c r="H690" s="6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T690" s="5"/>
      <c r="CW690" s="144"/>
      <c r="DG690" s="143"/>
    </row>
    <row r="691" spans="1:111" ht="11.25">
      <c r="A691" s="5"/>
      <c r="B691" s="6"/>
      <c r="C691" s="6"/>
      <c r="D691" s="5"/>
      <c r="E691" s="5"/>
      <c r="F691" s="5"/>
      <c r="G691" s="5"/>
      <c r="H691" s="6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T691" s="5"/>
      <c r="CW691" s="144"/>
      <c r="DG691" s="143"/>
    </row>
    <row r="692" spans="1:111" ht="11.25">
      <c r="A692" s="5"/>
      <c r="B692" s="6"/>
      <c r="C692" s="6"/>
      <c r="D692" s="5"/>
      <c r="E692" s="5"/>
      <c r="F692" s="5"/>
      <c r="G692" s="5"/>
      <c r="H692" s="6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T692" s="5"/>
      <c r="CW692" s="144"/>
      <c r="DG692" s="143"/>
    </row>
    <row r="693" spans="1:111" ht="11.25">
      <c r="A693" s="5"/>
      <c r="B693" s="6"/>
      <c r="C693" s="6"/>
      <c r="D693" s="5"/>
      <c r="E693" s="5"/>
      <c r="F693" s="5"/>
      <c r="G693" s="5"/>
      <c r="H693" s="6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T693" s="5"/>
      <c r="CW693" s="144"/>
      <c r="DG693" s="143"/>
    </row>
    <row r="694" spans="1:111" ht="11.25">
      <c r="A694" s="5"/>
      <c r="B694" s="6"/>
      <c r="C694" s="6"/>
      <c r="D694" s="5"/>
      <c r="E694" s="5"/>
      <c r="F694" s="5"/>
      <c r="G694" s="5"/>
      <c r="H694" s="6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T694" s="5"/>
      <c r="CW694" s="144"/>
      <c r="DG694" s="143"/>
    </row>
    <row r="695" spans="1:111" ht="11.25">
      <c r="A695" s="5"/>
      <c r="B695" s="6"/>
      <c r="C695" s="6"/>
      <c r="D695" s="5"/>
      <c r="E695" s="5"/>
      <c r="F695" s="5"/>
      <c r="G695" s="5"/>
      <c r="H695" s="6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T695" s="5"/>
      <c r="CW695" s="144"/>
      <c r="DG695" s="143"/>
    </row>
    <row r="696" spans="1:111" ht="11.25">
      <c r="A696" s="5"/>
      <c r="B696" s="6"/>
      <c r="C696" s="6"/>
      <c r="D696" s="5"/>
      <c r="E696" s="5"/>
      <c r="F696" s="5"/>
      <c r="G696" s="5"/>
      <c r="H696" s="6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T696" s="5"/>
      <c r="CW696" s="144"/>
      <c r="DG696" s="143"/>
    </row>
    <row r="697" spans="1:111" ht="11.25">
      <c r="A697" s="5"/>
      <c r="B697" s="6"/>
      <c r="C697" s="6"/>
      <c r="D697" s="5"/>
      <c r="E697" s="5"/>
      <c r="F697" s="5"/>
      <c r="G697" s="5"/>
      <c r="H697" s="6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T697" s="5"/>
      <c r="CW697" s="144"/>
      <c r="DG697" s="143"/>
    </row>
    <row r="698" spans="1:111" ht="11.25">
      <c r="A698" s="5"/>
      <c r="B698" s="6"/>
      <c r="C698" s="6"/>
      <c r="D698" s="5"/>
      <c r="E698" s="5"/>
      <c r="F698" s="5"/>
      <c r="G698" s="5"/>
      <c r="H698" s="6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T698" s="5"/>
      <c r="CW698" s="144"/>
      <c r="DG698" s="143"/>
    </row>
    <row r="699" spans="1:111" ht="11.25">
      <c r="A699" s="5"/>
      <c r="B699" s="6"/>
      <c r="C699" s="6"/>
      <c r="D699" s="5"/>
      <c r="E699" s="5"/>
      <c r="F699" s="5"/>
      <c r="G699" s="5"/>
      <c r="H699" s="6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T699" s="5"/>
      <c r="CW699" s="144"/>
      <c r="DG699" s="143"/>
    </row>
    <row r="700" spans="1:111" ht="11.25">
      <c r="A700" s="5"/>
      <c r="B700" s="6"/>
      <c r="C700" s="6"/>
      <c r="D700" s="5"/>
      <c r="E700" s="5"/>
      <c r="F700" s="5"/>
      <c r="G700" s="5"/>
      <c r="H700" s="6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T700" s="5"/>
      <c r="CW700" s="144"/>
      <c r="DG700" s="143"/>
    </row>
    <row r="701" spans="1:111" ht="11.25">
      <c r="A701" s="5"/>
      <c r="B701" s="6"/>
      <c r="C701" s="6"/>
      <c r="D701" s="5"/>
      <c r="E701" s="5"/>
      <c r="F701" s="5"/>
      <c r="G701" s="5"/>
      <c r="H701" s="6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T701" s="5"/>
      <c r="CW701" s="144"/>
      <c r="DG701" s="143"/>
    </row>
    <row r="702" spans="1:111" ht="11.25">
      <c r="A702" s="5"/>
      <c r="B702" s="6"/>
      <c r="C702" s="6"/>
      <c r="D702" s="5"/>
      <c r="E702" s="5"/>
      <c r="F702" s="5"/>
      <c r="G702" s="5"/>
      <c r="H702" s="6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T702" s="5"/>
      <c r="CW702" s="144"/>
      <c r="DG702" s="143"/>
    </row>
    <row r="703" spans="1:111" ht="11.25">
      <c r="A703" s="5"/>
      <c r="B703" s="6"/>
      <c r="C703" s="6"/>
      <c r="D703" s="5"/>
      <c r="E703" s="5"/>
      <c r="F703" s="5"/>
      <c r="G703" s="5"/>
      <c r="H703" s="6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T703" s="5"/>
      <c r="CW703" s="144"/>
      <c r="DG703" s="143"/>
    </row>
    <row r="704" spans="1:111" ht="11.25">
      <c r="A704" s="5"/>
      <c r="B704" s="6"/>
      <c r="C704" s="6"/>
      <c r="D704" s="5"/>
      <c r="E704" s="5"/>
      <c r="F704" s="5"/>
      <c r="G704" s="5"/>
      <c r="H704" s="6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T704" s="5"/>
      <c r="CW704" s="144"/>
      <c r="DG704" s="143"/>
    </row>
    <row r="705" spans="1:111" ht="11.25">
      <c r="A705" s="5"/>
      <c r="B705" s="6"/>
      <c r="C705" s="6"/>
      <c r="D705" s="5"/>
      <c r="E705" s="5"/>
      <c r="F705" s="5"/>
      <c r="G705" s="5"/>
      <c r="H705" s="6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T705" s="5"/>
      <c r="CW705" s="144"/>
      <c r="DG705" s="143"/>
    </row>
    <row r="706" spans="1:111" ht="11.25">
      <c r="A706" s="5"/>
      <c r="B706" s="6"/>
      <c r="C706" s="6"/>
      <c r="D706" s="5"/>
      <c r="E706" s="5"/>
      <c r="F706" s="5"/>
      <c r="G706" s="5"/>
      <c r="H706" s="6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T706" s="5"/>
      <c r="CW706" s="144"/>
      <c r="DG706" s="143"/>
    </row>
    <row r="707" spans="1:111" ht="11.25">
      <c r="A707" s="5"/>
      <c r="B707" s="6"/>
      <c r="C707" s="6"/>
      <c r="D707" s="5"/>
      <c r="E707" s="5"/>
      <c r="F707" s="5"/>
      <c r="G707" s="5"/>
      <c r="H707" s="6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T707" s="5"/>
      <c r="CW707" s="144"/>
      <c r="DG707" s="143"/>
    </row>
    <row r="708" spans="1:111" ht="11.25">
      <c r="A708" s="5"/>
      <c r="B708" s="6"/>
      <c r="C708" s="6"/>
      <c r="D708" s="5"/>
      <c r="E708" s="5"/>
      <c r="F708" s="5"/>
      <c r="G708" s="5"/>
      <c r="H708" s="6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T708" s="5"/>
      <c r="CW708" s="144"/>
      <c r="DG708" s="143"/>
    </row>
    <row r="709" spans="1:111" ht="11.25">
      <c r="A709" s="5"/>
      <c r="B709" s="6"/>
      <c r="C709" s="6"/>
      <c r="D709" s="5"/>
      <c r="E709" s="5"/>
      <c r="F709" s="5"/>
      <c r="G709" s="5"/>
      <c r="H709" s="6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T709" s="5"/>
      <c r="CW709" s="144"/>
      <c r="DG709" s="143"/>
    </row>
    <row r="710" spans="1:111" ht="11.25">
      <c r="A710" s="5"/>
      <c r="B710" s="6"/>
      <c r="C710" s="6"/>
      <c r="D710" s="5"/>
      <c r="E710" s="5"/>
      <c r="F710" s="5"/>
      <c r="G710" s="5"/>
      <c r="H710" s="6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T710" s="5"/>
      <c r="CW710" s="144"/>
      <c r="DG710" s="143"/>
    </row>
    <row r="711" spans="1:111" ht="11.25">
      <c r="A711" s="5"/>
      <c r="B711" s="6"/>
      <c r="C711" s="6"/>
      <c r="D711" s="5"/>
      <c r="E711" s="5"/>
      <c r="F711" s="5"/>
      <c r="G711" s="5"/>
      <c r="H711" s="6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T711" s="5"/>
      <c r="CW711" s="144"/>
      <c r="DG711" s="143"/>
    </row>
    <row r="712" spans="1:111" ht="11.25">
      <c r="A712" s="5"/>
      <c r="B712" s="6"/>
      <c r="C712" s="6"/>
      <c r="D712" s="5"/>
      <c r="E712" s="5"/>
      <c r="F712" s="5"/>
      <c r="G712" s="5"/>
      <c r="H712" s="6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T712" s="5"/>
      <c r="CW712" s="144"/>
      <c r="DG712" s="143"/>
    </row>
    <row r="713" spans="1:111" ht="11.25">
      <c r="A713" s="5"/>
      <c r="B713" s="6"/>
      <c r="C713" s="6"/>
      <c r="D713" s="5"/>
      <c r="E713" s="5"/>
      <c r="F713" s="5"/>
      <c r="G713" s="5"/>
      <c r="H713" s="6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T713" s="5"/>
      <c r="CW713" s="144"/>
      <c r="DG713" s="143"/>
    </row>
    <row r="714" spans="1:111" ht="11.25">
      <c r="A714" s="5"/>
      <c r="B714" s="6"/>
      <c r="C714" s="6"/>
      <c r="D714" s="5"/>
      <c r="E714" s="5"/>
      <c r="F714" s="5"/>
      <c r="G714" s="5"/>
      <c r="H714" s="6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T714" s="5"/>
      <c r="CW714" s="144"/>
      <c r="DG714" s="143"/>
    </row>
    <row r="715" spans="1:111" ht="11.25">
      <c r="A715" s="5"/>
      <c r="B715" s="6"/>
      <c r="C715" s="6"/>
      <c r="D715" s="5"/>
      <c r="E715" s="5"/>
      <c r="F715" s="5"/>
      <c r="G715" s="5"/>
      <c r="H715" s="6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T715" s="5"/>
      <c r="CW715" s="144"/>
      <c r="DG715" s="143"/>
    </row>
    <row r="716" spans="1:111" ht="11.25">
      <c r="A716" s="5"/>
      <c r="B716" s="6"/>
      <c r="C716" s="6"/>
      <c r="D716" s="5"/>
      <c r="E716" s="5"/>
      <c r="F716" s="5"/>
      <c r="G716" s="5"/>
      <c r="H716" s="6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T716" s="5"/>
      <c r="CW716" s="144"/>
      <c r="DG716" s="143"/>
    </row>
    <row r="717" spans="1:111" ht="11.25">
      <c r="A717" s="5"/>
      <c r="B717" s="6"/>
      <c r="C717" s="6"/>
      <c r="D717" s="5"/>
      <c r="E717" s="5"/>
      <c r="F717" s="5"/>
      <c r="G717" s="5"/>
      <c r="H717" s="6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T717" s="5"/>
      <c r="CW717" s="144"/>
      <c r="DG717" s="143"/>
    </row>
    <row r="718" spans="1:111" ht="11.25">
      <c r="A718" s="5"/>
      <c r="B718" s="6"/>
      <c r="C718" s="6"/>
      <c r="D718" s="5"/>
      <c r="E718" s="5"/>
      <c r="F718" s="5"/>
      <c r="G718" s="5"/>
      <c r="H718" s="6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T718" s="5"/>
      <c r="CW718" s="144"/>
      <c r="DG718" s="143"/>
    </row>
    <row r="719" spans="1:111" ht="11.25">
      <c r="A719" s="5"/>
      <c r="B719" s="6"/>
      <c r="C719" s="6"/>
      <c r="D719" s="5"/>
      <c r="E719" s="5"/>
      <c r="F719" s="5"/>
      <c r="G719" s="5"/>
      <c r="H719" s="6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T719" s="5"/>
      <c r="CW719" s="144"/>
      <c r="DG719" s="143"/>
    </row>
    <row r="720" spans="1:111" ht="11.25">
      <c r="A720" s="5"/>
      <c r="B720" s="6"/>
      <c r="C720" s="6"/>
      <c r="D720" s="5"/>
      <c r="E720" s="5"/>
      <c r="F720" s="5"/>
      <c r="G720" s="5"/>
      <c r="H720" s="6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T720" s="5"/>
      <c r="CW720" s="144"/>
      <c r="DG720" s="143"/>
    </row>
    <row r="721" spans="1:111" ht="11.25">
      <c r="A721" s="5"/>
      <c r="B721" s="6"/>
      <c r="C721" s="6"/>
      <c r="D721" s="5"/>
      <c r="E721" s="5"/>
      <c r="F721" s="5"/>
      <c r="G721" s="5"/>
      <c r="H721" s="6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T721" s="5"/>
      <c r="CW721" s="144"/>
      <c r="DG721" s="143"/>
    </row>
    <row r="722" spans="1:111" ht="11.25">
      <c r="A722" s="5"/>
      <c r="B722" s="6"/>
      <c r="C722" s="6"/>
      <c r="D722" s="5"/>
      <c r="E722" s="5"/>
      <c r="F722" s="5"/>
      <c r="G722" s="5"/>
      <c r="H722" s="6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T722" s="5"/>
      <c r="CW722" s="144"/>
      <c r="DG722" s="143"/>
    </row>
    <row r="723" spans="1:111" ht="11.25">
      <c r="A723" s="5"/>
      <c r="B723" s="6"/>
      <c r="C723" s="6"/>
      <c r="D723" s="5"/>
      <c r="E723" s="5"/>
      <c r="F723" s="5"/>
      <c r="G723" s="5"/>
      <c r="H723" s="6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T723" s="5"/>
      <c r="CW723" s="144"/>
      <c r="DG723" s="143"/>
    </row>
    <row r="724" spans="1:111" ht="11.25">
      <c r="A724" s="5"/>
      <c r="B724" s="6"/>
      <c r="C724" s="6"/>
      <c r="D724" s="5"/>
      <c r="E724" s="5"/>
      <c r="F724" s="5"/>
      <c r="G724" s="5"/>
      <c r="H724" s="6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T724" s="5"/>
      <c r="CW724" s="144"/>
      <c r="DG724" s="143"/>
    </row>
    <row r="725" spans="1:111" ht="11.25">
      <c r="A725" s="5"/>
      <c r="B725" s="6"/>
      <c r="C725" s="6"/>
      <c r="D725" s="5"/>
      <c r="E725" s="5"/>
      <c r="F725" s="5"/>
      <c r="G725" s="5"/>
      <c r="H725" s="6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T725" s="5"/>
      <c r="CW725" s="144"/>
      <c r="DG725" s="143"/>
    </row>
    <row r="726" spans="1:111" ht="11.25">
      <c r="A726" s="5"/>
      <c r="B726" s="6"/>
      <c r="C726" s="6"/>
      <c r="D726" s="5"/>
      <c r="E726" s="5"/>
      <c r="F726" s="5"/>
      <c r="G726" s="5"/>
      <c r="H726" s="6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T726" s="5"/>
      <c r="CW726" s="144"/>
      <c r="DG726" s="143"/>
    </row>
    <row r="727" spans="1:111" ht="11.25">
      <c r="A727" s="5"/>
      <c r="B727" s="6"/>
      <c r="C727" s="6"/>
      <c r="D727" s="5"/>
      <c r="E727" s="5"/>
      <c r="F727" s="5"/>
      <c r="G727" s="5"/>
      <c r="H727" s="6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T727" s="5"/>
      <c r="CW727" s="144"/>
      <c r="DG727" s="143"/>
    </row>
    <row r="728" spans="1:111" ht="11.25">
      <c r="A728" s="5"/>
      <c r="B728" s="6"/>
      <c r="C728" s="6"/>
      <c r="D728" s="5"/>
      <c r="E728" s="5"/>
      <c r="F728" s="5"/>
      <c r="G728" s="5"/>
      <c r="H728" s="6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T728" s="5"/>
      <c r="CW728" s="144"/>
      <c r="DG728" s="143"/>
    </row>
    <row r="729" spans="1:111" ht="11.25">
      <c r="A729" s="5"/>
      <c r="B729" s="6"/>
      <c r="C729" s="6"/>
      <c r="D729" s="5"/>
      <c r="E729" s="5"/>
      <c r="F729" s="5"/>
      <c r="G729" s="5"/>
      <c r="H729" s="6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T729" s="5"/>
      <c r="CW729" s="144"/>
      <c r="DG729" s="143"/>
    </row>
    <row r="730" spans="1:111" ht="11.25">
      <c r="A730" s="5"/>
      <c r="B730" s="6"/>
      <c r="C730" s="6"/>
      <c r="D730" s="5"/>
      <c r="E730" s="5"/>
      <c r="F730" s="5"/>
      <c r="G730" s="5"/>
      <c r="H730" s="6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T730" s="5"/>
      <c r="CW730" s="144"/>
      <c r="DG730" s="143"/>
    </row>
    <row r="731" spans="1:111" ht="11.25">
      <c r="A731" s="5"/>
      <c r="B731" s="6"/>
      <c r="C731" s="6"/>
      <c r="D731" s="5"/>
      <c r="E731" s="5"/>
      <c r="F731" s="5"/>
      <c r="G731" s="5"/>
      <c r="H731" s="6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T731" s="5"/>
      <c r="CW731" s="144"/>
      <c r="DG731" s="143"/>
    </row>
    <row r="732" spans="1:111" ht="11.25">
      <c r="A732" s="5"/>
      <c r="B732" s="6"/>
      <c r="C732" s="6"/>
      <c r="D732" s="5"/>
      <c r="E732" s="5"/>
      <c r="F732" s="5"/>
      <c r="G732" s="5"/>
      <c r="H732" s="6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T732" s="5"/>
      <c r="CW732" s="144"/>
      <c r="DG732" s="143"/>
    </row>
    <row r="733" spans="1:111" ht="11.25">
      <c r="A733" s="5"/>
      <c r="B733" s="6"/>
      <c r="C733" s="6"/>
      <c r="D733" s="5"/>
      <c r="E733" s="5"/>
      <c r="F733" s="5"/>
      <c r="G733" s="5"/>
      <c r="H733" s="6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T733" s="5"/>
      <c r="CW733" s="144"/>
      <c r="DG733" s="143"/>
    </row>
    <row r="734" spans="1:111" ht="11.25">
      <c r="A734" s="5"/>
      <c r="B734" s="6"/>
      <c r="C734" s="6"/>
      <c r="D734" s="5"/>
      <c r="E734" s="5"/>
      <c r="F734" s="5"/>
      <c r="G734" s="5"/>
      <c r="H734" s="6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T734" s="5"/>
      <c r="CW734" s="144"/>
      <c r="DG734" s="143"/>
    </row>
    <row r="735" spans="1:111" ht="11.25">
      <c r="A735" s="5"/>
      <c r="B735" s="6"/>
      <c r="C735" s="6"/>
      <c r="D735" s="5"/>
      <c r="E735" s="5"/>
      <c r="F735" s="5"/>
      <c r="G735" s="5"/>
      <c r="H735" s="6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T735" s="5"/>
      <c r="CW735" s="144"/>
      <c r="DG735" s="143"/>
    </row>
    <row r="736" spans="1:111" ht="11.25">
      <c r="A736" s="5"/>
      <c r="B736" s="6"/>
      <c r="C736" s="6"/>
      <c r="D736" s="5"/>
      <c r="E736" s="5"/>
      <c r="F736" s="5"/>
      <c r="G736" s="5"/>
      <c r="H736" s="6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T736" s="5"/>
      <c r="CW736" s="144"/>
      <c r="DG736" s="143"/>
    </row>
    <row r="737" spans="1:111" ht="11.25">
      <c r="A737" s="5"/>
      <c r="B737" s="6"/>
      <c r="C737" s="6"/>
      <c r="D737" s="5"/>
      <c r="E737" s="5"/>
      <c r="F737" s="5"/>
      <c r="G737" s="5"/>
      <c r="H737" s="6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T737" s="5"/>
      <c r="CW737" s="144"/>
      <c r="DG737" s="143"/>
    </row>
    <row r="738" spans="1:111" ht="11.25">
      <c r="A738" s="5"/>
      <c r="B738" s="6"/>
      <c r="C738" s="6"/>
      <c r="D738" s="5"/>
      <c r="E738" s="5"/>
      <c r="F738" s="5"/>
      <c r="G738" s="5"/>
      <c r="H738" s="6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T738" s="5"/>
      <c r="CW738" s="144"/>
      <c r="DG738" s="143"/>
    </row>
    <row r="739" spans="1:111" ht="11.25">
      <c r="A739" s="5"/>
      <c r="B739" s="6"/>
      <c r="C739" s="6"/>
      <c r="D739" s="5"/>
      <c r="E739" s="5"/>
      <c r="F739" s="5"/>
      <c r="G739" s="5"/>
      <c r="H739" s="6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T739" s="5"/>
      <c r="CW739" s="144"/>
      <c r="DG739" s="143"/>
    </row>
    <row r="740" spans="1:111" ht="11.25">
      <c r="A740" s="5"/>
      <c r="B740" s="6"/>
      <c r="C740" s="6"/>
      <c r="D740" s="5"/>
      <c r="E740" s="5"/>
      <c r="F740" s="5"/>
      <c r="G740" s="5"/>
      <c r="H740" s="6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T740" s="5"/>
      <c r="CW740" s="144"/>
      <c r="DG740" s="143"/>
    </row>
    <row r="741" spans="1:111" ht="11.25">
      <c r="A741" s="5"/>
      <c r="B741" s="6"/>
      <c r="C741" s="6"/>
      <c r="D741" s="5"/>
      <c r="E741" s="5"/>
      <c r="F741" s="5"/>
      <c r="G741" s="5"/>
      <c r="H741" s="6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T741" s="5"/>
      <c r="CW741" s="144"/>
      <c r="DG741" s="143"/>
    </row>
    <row r="742" spans="1:111" ht="11.25">
      <c r="A742" s="5"/>
      <c r="B742" s="6"/>
      <c r="C742" s="6"/>
      <c r="D742" s="5"/>
      <c r="E742" s="5"/>
      <c r="F742" s="5"/>
      <c r="G742" s="5"/>
      <c r="H742" s="6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T742" s="5"/>
      <c r="CW742" s="144"/>
      <c r="DG742" s="143"/>
    </row>
    <row r="743" spans="1:111" ht="11.25">
      <c r="A743" s="5"/>
      <c r="B743" s="6"/>
      <c r="C743" s="6"/>
      <c r="D743" s="5"/>
      <c r="E743" s="5"/>
      <c r="F743" s="5"/>
      <c r="G743" s="5"/>
      <c r="H743" s="6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T743" s="5"/>
      <c r="CW743" s="144"/>
      <c r="DG743" s="143"/>
    </row>
    <row r="744" spans="1:111" ht="11.25">
      <c r="A744" s="5"/>
      <c r="B744" s="6"/>
      <c r="C744" s="6"/>
      <c r="D744" s="5"/>
      <c r="E744" s="5"/>
      <c r="F744" s="5"/>
      <c r="G744" s="5"/>
      <c r="H744" s="6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T744" s="5"/>
      <c r="CW744" s="144"/>
      <c r="DG744" s="143"/>
    </row>
    <row r="745" spans="1:111" ht="11.25">
      <c r="A745" s="5"/>
      <c r="B745" s="6"/>
      <c r="C745" s="6"/>
      <c r="D745" s="5"/>
      <c r="E745" s="5"/>
      <c r="F745" s="5"/>
      <c r="G745" s="5"/>
      <c r="H745" s="6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T745" s="5"/>
      <c r="CW745" s="144"/>
      <c r="DG745" s="143"/>
    </row>
    <row r="746" spans="1:111" ht="11.25">
      <c r="A746" s="5"/>
      <c r="B746" s="6"/>
      <c r="C746" s="6"/>
      <c r="D746" s="5"/>
      <c r="E746" s="5"/>
      <c r="F746" s="5"/>
      <c r="G746" s="5"/>
      <c r="H746" s="6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T746" s="5"/>
      <c r="CW746" s="144"/>
      <c r="DG746" s="143"/>
    </row>
    <row r="747" spans="1:111" ht="11.25">
      <c r="A747" s="5"/>
      <c r="B747" s="6"/>
      <c r="C747" s="6"/>
      <c r="D747" s="5"/>
      <c r="E747" s="5"/>
      <c r="F747" s="5"/>
      <c r="G747" s="5"/>
      <c r="H747" s="6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T747" s="5"/>
      <c r="CW747" s="144"/>
      <c r="DG747" s="143"/>
    </row>
    <row r="748" spans="1:111" ht="11.25">
      <c r="A748" s="5"/>
      <c r="B748" s="6"/>
      <c r="C748" s="6"/>
      <c r="D748" s="5"/>
      <c r="E748" s="5"/>
      <c r="F748" s="5"/>
      <c r="G748" s="5"/>
      <c r="H748" s="6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T748" s="5"/>
      <c r="CW748" s="144"/>
      <c r="DG748" s="143"/>
    </row>
    <row r="749" spans="1:111" ht="11.25">
      <c r="A749" s="5"/>
      <c r="B749" s="6"/>
      <c r="C749" s="6"/>
      <c r="D749" s="5"/>
      <c r="E749" s="5"/>
      <c r="F749" s="5"/>
      <c r="G749" s="5"/>
      <c r="H749" s="6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T749" s="5"/>
      <c r="CW749" s="144"/>
      <c r="DG749" s="143"/>
    </row>
    <row r="750" spans="1:111" ht="11.25">
      <c r="A750" s="5"/>
      <c r="B750" s="6"/>
      <c r="C750" s="6"/>
      <c r="D750" s="5"/>
      <c r="E750" s="5"/>
      <c r="F750" s="5"/>
      <c r="G750" s="5"/>
      <c r="H750" s="6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T750" s="5"/>
      <c r="CW750" s="144"/>
      <c r="DG750" s="143"/>
    </row>
    <row r="751" spans="1:111" ht="11.25">
      <c r="A751" s="5"/>
      <c r="B751" s="6"/>
      <c r="C751" s="6"/>
      <c r="D751" s="5"/>
      <c r="E751" s="5"/>
      <c r="F751" s="5"/>
      <c r="G751" s="5"/>
      <c r="H751" s="6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T751" s="5"/>
      <c r="CW751" s="144"/>
      <c r="DG751" s="143"/>
    </row>
    <row r="752" spans="1:111" ht="11.25">
      <c r="A752" s="5"/>
      <c r="B752" s="6"/>
      <c r="C752" s="6"/>
      <c r="D752" s="5"/>
      <c r="E752" s="5"/>
      <c r="F752" s="5"/>
      <c r="G752" s="5"/>
      <c r="H752" s="6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T752" s="5"/>
      <c r="CW752" s="144"/>
      <c r="DG752" s="143"/>
    </row>
    <row r="753" spans="1:111" ht="11.25">
      <c r="A753" s="5"/>
      <c r="B753" s="6"/>
      <c r="C753" s="6"/>
      <c r="D753" s="5"/>
      <c r="E753" s="5"/>
      <c r="F753" s="5"/>
      <c r="G753" s="5"/>
      <c r="H753" s="6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T753" s="5"/>
      <c r="CW753" s="144"/>
      <c r="DG753" s="143"/>
    </row>
    <row r="754" spans="1:111" ht="11.25">
      <c r="A754" s="5"/>
      <c r="B754" s="6"/>
      <c r="C754" s="6"/>
      <c r="D754" s="5"/>
      <c r="E754" s="5"/>
      <c r="F754" s="5"/>
      <c r="G754" s="5"/>
      <c r="H754" s="6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T754" s="5"/>
      <c r="CW754" s="144"/>
      <c r="DG754" s="143"/>
    </row>
    <row r="755" spans="1:111" ht="11.25">
      <c r="A755" s="5"/>
      <c r="B755" s="6"/>
      <c r="C755" s="6"/>
      <c r="D755" s="5"/>
      <c r="E755" s="5"/>
      <c r="F755" s="5"/>
      <c r="G755" s="5"/>
      <c r="H755" s="6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T755" s="5"/>
      <c r="CW755" s="144"/>
      <c r="DG755" s="143"/>
    </row>
    <row r="756" spans="1:111" ht="11.25">
      <c r="A756" s="5"/>
      <c r="B756" s="6"/>
      <c r="C756" s="6"/>
      <c r="D756" s="5"/>
      <c r="E756" s="5"/>
      <c r="F756" s="5"/>
      <c r="G756" s="5"/>
      <c r="H756" s="6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T756" s="5"/>
      <c r="CW756" s="144"/>
      <c r="DG756" s="143"/>
    </row>
    <row r="757" spans="1:111" ht="11.25">
      <c r="A757" s="5"/>
      <c r="B757" s="6"/>
      <c r="C757" s="6"/>
      <c r="D757" s="5"/>
      <c r="E757" s="5"/>
      <c r="F757" s="5"/>
      <c r="G757" s="5"/>
      <c r="H757" s="6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T757" s="5"/>
      <c r="CW757" s="144"/>
      <c r="DG757" s="143"/>
    </row>
    <row r="758" spans="1:111" ht="11.25">
      <c r="A758" s="5"/>
      <c r="B758" s="6"/>
      <c r="C758" s="6"/>
      <c r="D758" s="5"/>
      <c r="E758" s="5"/>
      <c r="F758" s="5"/>
      <c r="G758" s="5"/>
      <c r="H758" s="6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T758" s="5"/>
      <c r="CW758" s="144"/>
      <c r="DG758" s="143"/>
    </row>
    <row r="759" spans="1:111" ht="11.25">
      <c r="A759" s="5"/>
      <c r="B759" s="6"/>
      <c r="C759" s="6"/>
      <c r="D759" s="5"/>
      <c r="E759" s="5"/>
      <c r="F759" s="5"/>
      <c r="G759" s="5"/>
      <c r="H759" s="6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T759" s="5"/>
      <c r="CW759" s="144"/>
      <c r="DG759" s="143"/>
    </row>
    <row r="760" spans="1:111" ht="11.25">
      <c r="A760" s="5"/>
      <c r="B760" s="6"/>
      <c r="C760" s="6"/>
      <c r="D760" s="5"/>
      <c r="E760" s="5"/>
      <c r="F760" s="5"/>
      <c r="G760" s="5"/>
      <c r="H760" s="6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T760" s="5"/>
      <c r="CW760" s="144"/>
      <c r="DG760" s="143"/>
    </row>
    <row r="761" spans="1:111" ht="11.25">
      <c r="A761" s="5"/>
      <c r="B761" s="6"/>
      <c r="C761" s="6"/>
      <c r="D761" s="5"/>
      <c r="E761" s="5"/>
      <c r="F761" s="5"/>
      <c r="G761" s="5"/>
      <c r="H761" s="6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T761" s="5"/>
      <c r="CW761" s="144"/>
      <c r="DG761" s="143"/>
    </row>
    <row r="762" spans="1:111" ht="11.25">
      <c r="A762" s="5"/>
      <c r="B762" s="6"/>
      <c r="C762" s="6"/>
      <c r="D762" s="5"/>
      <c r="E762" s="5"/>
      <c r="F762" s="5"/>
      <c r="G762" s="5"/>
      <c r="H762" s="6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T762" s="5"/>
      <c r="CW762" s="144"/>
      <c r="DG762" s="143"/>
    </row>
    <row r="763" spans="1:111" ht="11.25">
      <c r="A763" s="5"/>
      <c r="B763" s="6"/>
      <c r="C763" s="6"/>
      <c r="D763" s="5"/>
      <c r="E763" s="5"/>
      <c r="F763" s="5"/>
      <c r="G763" s="5"/>
      <c r="H763" s="6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T763" s="5"/>
      <c r="CW763" s="144"/>
      <c r="DG763" s="143"/>
    </row>
    <row r="764" spans="1:111" ht="11.25">
      <c r="A764" s="5"/>
      <c r="B764" s="6"/>
      <c r="C764" s="6"/>
      <c r="D764" s="5"/>
      <c r="E764" s="5"/>
      <c r="F764" s="5"/>
      <c r="G764" s="5"/>
      <c r="H764" s="6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T764" s="5"/>
      <c r="CW764" s="144"/>
      <c r="DG764" s="143"/>
    </row>
    <row r="765" spans="1:111" ht="11.25">
      <c r="A765" s="5"/>
      <c r="B765" s="6"/>
      <c r="C765" s="6"/>
      <c r="D765" s="5"/>
      <c r="E765" s="5"/>
      <c r="F765" s="5"/>
      <c r="G765" s="5"/>
      <c r="H765" s="6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T765" s="5"/>
      <c r="CW765" s="144"/>
      <c r="DG765" s="143"/>
    </row>
    <row r="766" spans="1:111" ht="11.25">
      <c r="A766" s="5"/>
      <c r="B766" s="6"/>
      <c r="C766" s="6"/>
      <c r="D766" s="5"/>
      <c r="E766" s="5"/>
      <c r="F766" s="5"/>
      <c r="G766" s="5"/>
      <c r="H766" s="6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T766" s="5"/>
      <c r="CW766" s="144"/>
      <c r="DG766" s="143"/>
    </row>
    <row r="767" spans="1:111" ht="11.25">
      <c r="A767" s="5"/>
      <c r="B767" s="6"/>
      <c r="C767" s="6"/>
      <c r="D767" s="5"/>
      <c r="E767" s="5"/>
      <c r="F767" s="5"/>
      <c r="G767" s="5"/>
      <c r="H767" s="6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T767" s="5"/>
      <c r="CW767" s="144"/>
      <c r="DG767" s="143"/>
    </row>
    <row r="768" spans="1:111" ht="11.25">
      <c r="A768" s="5"/>
      <c r="B768" s="6"/>
      <c r="C768" s="6"/>
      <c r="D768" s="5"/>
      <c r="E768" s="5"/>
      <c r="F768" s="5"/>
      <c r="G768" s="5"/>
      <c r="H768" s="6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T768" s="5"/>
      <c r="CW768" s="144"/>
      <c r="DG768" s="143"/>
    </row>
    <row r="769" spans="1:111" ht="11.25">
      <c r="A769" s="5"/>
      <c r="B769" s="6"/>
      <c r="C769" s="6"/>
      <c r="D769" s="5"/>
      <c r="E769" s="5"/>
      <c r="F769" s="5"/>
      <c r="G769" s="5"/>
      <c r="H769" s="6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T769" s="5"/>
      <c r="CW769" s="144"/>
      <c r="DG769" s="143"/>
    </row>
    <row r="770" spans="1:111" ht="11.25">
      <c r="A770" s="5"/>
      <c r="B770" s="6"/>
      <c r="C770" s="6"/>
      <c r="D770" s="5"/>
      <c r="E770" s="5"/>
      <c r="F770" s="5"/>
      <c r="G770" s="5"/>
      <c r="H770" s="6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T770" s="5"/>
      <c r="CW770" s="144"/>
      <c r="DG770" s="143"/>
    </row>
    <row r="771" spans="1:111" ht="11.25">
      <c r="A771" s="5"/>
      <c r="B771" s="6"/>
      <c r="C771" s="6"/>
      <c r="D771" s="5"/>
      <c r="E771" s="5"/>
      <c r="F771" s="5"/>
      <c r="G771" s="5"/>
      <c r="H771" s="6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T771" s="5"/>
      <c r="CW771" s="144"/>
      <c r="DG771" s="143"/>
    </row>
    <row r="772" spans="1:111" ht="11.25">
      <c r="A772" s="5"/>
      <c r="B772" s="6"/>
      <c r="C772" s="6"/>
      <c r="D772" s="5"/>
      <c r="E772" s="5"/>
      <c r="F772" s="5"/>
      <c r="G772" s="5"/>
      <c r="H772" s="6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T772" s="5"/>
      <c r="CW772" s="144"/>
      <c r="DG772" s="143"/>
    </row>
    <row r="773" spans="1:111" ht="11.25">
      <c r="A773" s="5"/>
      <c r="B773" s="6"/>
      <c r="C773" s="6"/>
      <c r="D773" s="5"/>
      <c r="E773" s="5"/>
      <c r="F773" s="5"/>
      <c r="G773" s="5"/>
      <c r="H773" s="6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T773" s="5"/>
      <c r="CW773" s="144"/>
      <c r="DG773" s="143"/>
    </row>
    <row r="774" spans="1:111" ht="11.25">
      <c r="A774" s="5"/>
      <c r="B774" s="6"/>
      <c r="C774" s="6"/>
      <c r="D774" s="5"/>
      <c r="E774" s="5"/>
      <c r="F774" s="5"/>
      <c r="G774" s="5"/>
      <c r="H774" s="6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T774" s="5"/>
      <c r="CW774" s="144"/>
      <c r="DG774" s="143"/>
    </row>
    <row r="775" spans="1:111" ht="11.25">
      <c r="A775" s="5"/>
      <c r="B775" s="6"/>
      <c r="C775" s="6"/>
      <c r="D775" s="5"/>
      <c r="E775" s="5"/>
      <c r="F775" s="5"/>
      <c r="G775" s="5"/>
      <c r="H775" s="6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T775" s="5"/>
      <c r="CW775" s="144"/>
      <c r="DG775" s="143"/>
    </row>
    <row r="776" spans="1:111" ht="11.25">
      <c r="A776" s="5"/>
      <c r="B776" s="6"/>
      <c r="C776" s="6"/>
      <c r="D776" s="5"/>
      <c r="E776" s="5"/>
      <c r="F776" s="5"/>
      <c r="G776" s="5"/>
      <c r="H776" s="6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T776" s="5"/>
      <c r="CW776" s="144"/>
      <c r="DG776" s="143"/>
    </row>
    <row r="777" spans="1:111" ht="11.25">
      <c r="A777" s="5"/>
      <c r="B777" s="6"/>
      <c r="C777" s="6"/>
      <c r="D777" s="5"/>
      <c r="E777" s="5"/>
      <c r="F777" s="5"/>
      <c r="G777" s="5"/>
      <c r="H777" s="6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T777" s="5"/>
      <c r="CW777" s="144"/>
      <c r="DG777" s="143"/>
    </row>
    <row r="778" spans="1:111" ht="11.25">
      <c r="A778" s="5"/>
      <c r="B778" s="6"/>
      <c r="C778" s="6"/>
      <c r="D778" s="5"/>
      <c r="E778" s="5"/>
      <c r="F778" s="5"/>
      <c r="G778" s="5"/>
      <c r="H778" s="6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T778" s="5"/>
      <c r="CW778" s="144"/>
      <c r="DG778" s="143"/>
    </row>
    <row r="779" spans="1:111" ht="11.25">
      <c r="A779" s="5"/>
      <c r="B779" s="6"/>
      <c r="C779" s="6"/>
      <c r="D779" s="5"/>
      <c r="E779" s="5"/>
      <c r="F779" s="5"/>
      <c r="G779" s="5"/>
      <c r="H779" s="6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T779" s="5"/>
      <c r="CW779" s="144"/>
      <c r="DG779" s="143"/>
    </row>
    <row r="780" spans="1:111" ht="11.25">
      <c r="A780" s="5"/>
      <c r="B780" s="6"/>
      <c r="C780" s="6"/>
      <c r="D780" s="5"/>
      <c r="E780" s="5"/>
      <c r="F780" s="5"/>
      <c r="G780" s="5"/>
      <c r="H780" s="6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T780" s="5"/>
      <c r="CW780" s="144"/>
      <c r="DG780" s="143"/>
    </row>
    <row r="781" spans="1:111" ht="11.25">
      <c r="A781" s="5"/>
      <c r="B781" s="6"/>
      <c r="C781" s="6"/>
      <c r="D781" s="5"/>
      <c r="E781" s="5"/>
      <c r="F781" s="5"/>
      <c r="G781" s="5"/>
      <c r="H781" s="6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T781" s="5"/>
      <c r="CW781" s="144"/>
      <c r="DG781" s="143"/>
    </row>
    <row r="782" spans="1:111" ht="11.25">
      <c r="A782" s="5"/>
      <c r="B782" s="6"/>
      <c r="C782" s="6"/>
      <c r="D782" s="5"/>
      <c r="E782" s="5"/>
      <c r="F782" s="5"/>
      <c r="G782" s="5"/>
      <c r="H782" s="6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T782" s="5"/>
      <c r="CW782" s="144"/>
      <c r="DG782" s="143"/>
    </row>
    <row r="783" spans="1:111" ht="11.25">
      <c r="A783" s="5"/>
      <c r="B783" s="6"/>
      <c r="C783" s="6"/>
      <c r="D783" s="5"/>
      <c r="E783" s="5"/>
      <c r="F783" s="5"/>
      <c r="G783" s="5"/>
      <c r="H783" s="6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T783" s="5"/>
      <c r="CW783" s="144"/>
      <c r="DG783" s="143"/>
    </row>
    <row r="784" spans="1:111" ht="11.25">
      <c r="A784" s="5"/>
      <c r="B784" s="6"/>
      <c r="C784" s="6"/>
      <c r="D784" s="5"/>
      <c r="E784" s="5"/>
      <c r="F784" s="5"/>
      <c r="G784" s="5"/>
      <c r="H784" s="6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T784" s="5"/>
      <c r="CW784" s="144"/>
      <c r="DG784" s="143"/>
    </row>
    <row r="785" spans="1:111" ht="11.25">
      <c r="A785" s="5"/>
      <c r="B785" s="6"/>
      <c r="C785" s="6"/>
      <c r="D785" s="5"/>
      <c r="E785" s="5"/>
      <c r="F785" s="5"/>
      <c r="G785" s="5"/>
      <c r="H785" s="6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T785" s="5"/>
      <c r="CW785" s="144"/>
      <c r="DG785" s="143"/>
    </row>
    <row r="786" spans="1:111" ht="11.25">
      <c r="A786" s="5"/>
      <c r="B786" s="6"/>
      <c r="C786" s="6"/>
      <c r="D786" s="5"/>
      <c r="E786" s="5"/>
      <c r="F786" s="5"/>
      <c r="G786" s="5"/>
      <c r="H786" s="6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T786" s="5"/>
      <c r="CW786" s="144"/>
      <c r="DG786" s="143"/>
    </row>
    <row r="787" spans="1:111" ht="11.25">
      <c r="A787" s="5"/>
      <c r="B787" s="6"/>
      <c r="C787" s="6"/>
      <c r="D787" s="5"/>
      <c r="E787" s="5"/>
      <c r="F787" s="5"/>
      <c r="G787" s="5"/>
      <c r="H787" s="6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T787" s="5"/>
      <c r="CW787" s="144"/>
      <c r="DG787" s="143"/>
    </row>
    <row r="788" spans="1:111" ht="11.25">
      <c r="A788" s="5"/>
      <c r="B788" s="6"/>
      <c r="C788" s="6"/>
      <c r="D788" s="5"/>
      <c r="E788" s="5"/>
      <c r="F788" s="5"/>
      <c r="G788" s="5"/>
      <c r="H788" s="6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T788" s="5"/>
      <c r="CW788" s="144"/>
      <c r="DG788" s="143"/>
    </row>
    <row r="789" spans="1:111" ht="11.25">
      <c r="A789" s="5"/>
      <c r="B789" s="6"/>
      <c r="C789" s="6"/>
      <c r="D789" s="5"/>
      <c r="E789" s="5"/>
      <c r="F789" s="5"/>
      <c r="G789" s="5"/>
      <c r="H789" s="6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T789" s="5"/>
      <c r="CW789" s="144"/>
      <c r="DG789" s="143"/>
    </row>
    <row r="790" spans="1:111" ht="11.25">
      <c r="A790" s="5"/>
      <c r="B790" s="6"/>
      <c r="C790" s="6"/>
      <c r="D790" s="5"/>
      <c r="E790" s="5"/>
      <c r="F790" s="5"/>
      <c r="G790" s="5"/>
      <c r="H790" s="6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T790" s="5"/>
      <c r="CW790" s="144"/>
      <c r="DG790" s="143"/>
    </row>
    <row r="791" spans="1:111" ht="11.25">
      <c r="A791" s="5"/>
      <c r="B791" s="6"/>
      <c r="C791" s="6"/>
      <c r="D791" s="5"/>
      <c r="E791" s="5"/>
      <c r="F791" s="5"/>
      <c r="G791" s="5"/>
      <c r="H791" s="6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T791" s="5"/>
      <c r="CW791" s="144"/>
      <c r="DG791" s="143"/>
    </row>
    <row r="792" spans="1:111" ht="11.25">
      <c r="A792" s="5"/>
      <c r="B792" s="6"/>
      <c r="C792" s="6"/>
      <c r="D792" s="5"/>
      <c r="E792" s="5"/>
      <c r="F792" s="5"/>
      <c r="G792" s="5"/>
      <c r="H792" s="6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T792" s="5"/>
      <c r="CW792" s="144"/>
      <c r="DG792" s="143"/>
    </row>
    <row r="793" spans="1:111" ht="11.25">
      <c r="A793" s="5"/>
      <c r="B793" s="6"/>
      <c r="C793" s="6"/>
      <c r="D793" s="5"/>
      <c r="E793" s="5"/>
      <c r="F793" s="5"/>
      <c r="G793" s="5"/>
      <c r="H793" s="6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T793" s="5"/>
      <c r="CW793" s="144"/>
      <c r="DG793" s="143"/>
    </row>
    <row r="794" spans="1:111" ht="11.25">
      <c r="A794" s="5"/>
      <c r="B794" s="6"/>
      <c r="C794" s="6"/>
      <c r="D794" s="5"/>
      <c r="E794" s="5"/>
      <c r="F794" s="5"/>
      <c r="G794" s="5"/>
      <c r="H794" s="6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T794" s="5"/>
      <c r="CW794" s="144"/>
      <c r="DG794" s="143"/>
    </row>
    <row r="795" spans="1:111" ht="11.25">
      <c r="A795" s="5"/>
      <c r="B795" s="6"/>
      <c r="C795" s="6"/>
      <c r="D795" s="5"/>
      <c r="E795" s="5"/>
      <c r="F795" s="5"/>
      <c r="G795" s="5"/>
      <c r="H795" s="6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T795" s="5"/>
      <c r="CW795" s="144"/>
      <c r="DG795" s="143"/>
    </row>
    <row r="796" spans="1:111" ht="11.25">
      <c r="A796" s="5"/>
      <c r="B796" s="6"/>
      <c r="C796" s="6"/>
      <c r="D796" s="5"/>
      <c r="E796" s="5"/>
      <c r="F796" s="5"/>
      <c r="G796" s="5"/>
      <c r="H796" s="6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T796" s="5"/>
      <c r="CW796" s="144"/>
      <c r="DG796" s="143"/>
    </row>
    <row r="797" spans="1:111" ht="11.25">
      <c r="A797" s="5"/>
      <c r="B797" s="6"/>
      <c r="C797" s="6"/>
      <c r="D797" s="5"/>
      <c r="E797" s="5"/>
      <c r="F797" s="5"/>
      <c r="G797" s="5"/>
      <c r="H797" s="6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T797" s="5"/>
      <c r="CW797" s="144"/>
      <c r="DG797" s="143"/>
    </row>
    <row r="798" spans="1:111" ht="11.25">
      <c r="A798" s="5"/>
      <c r="B798" s="6"/>
      <c r="C798" s="6"/>
      <c r="D798" s="5"/>
      <c r="E798" s="5"/>
      <c r="F798" s="5"/>
      <c r="G798" s="5"/>
      <c r="H798" s="6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T798" s="5"/>
      <c r="CW798" s="144"/>
      <c r="DG798" s="143"/>
    </row>
    <row r="799" spans="1:111" ht="11.25">
      <c r="A799" s="5"/>
      <c r="B799" s="6"/>
      <c r="C799" s="6"/>
      <c r="D799" s="5"/>
      <c r="E799" s="5"/>
      <c r="F799" s="5"/>
      <c r="G799" s="5"/>
      <c r="H799" s="6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T799" s="5"/>
      <c r="CW799" s="144"/>
      <c r="DG799" s="143"/>
    </row>
    <row r="800" spans="1:111" ht="11.25">
      <c r="A800" s="5"/>
      <c r="B800" s="6"/>
      <c r="C800" s="6"/>
      <c r="D800" s="5"/>
      <c r="E800" s="5"/>
      <c r="F800" s="5"/>
      <c r="G800" s="5"/>
      <c r="H800" s="6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T800" s="5"/>
      <c r="CW800" s="144"/>
      <c r="DG800" s="143"/>
    </row>
    <row r="801" spans="1:111" ht="11.25">
      <c r="A801" s="5"/>
      <c r="B801" s="6"/>
      <c r="C801" s="6"/>
      <c r="D801" s="5"/>
      <c r="E801" s="5"/>
      <c r="F801" s="5"/>
      <c r="G801" s="5"/>
      <c r="H801" s="6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T801" s="5"/>
      <c r="CW801" s="144"/>
      <c r="DG801" s="143"/>
    </row>
    <row r="802" spans="1:111" ht="11.25">
      <c r="A802" s="5"/>
      <c r="B802" s="6"/>
      <c r="C802" s="6"/>
      <c r="D802" s="5"/>
      <c r="E802" s="5"/>
      <c r="F802" s="5"/>
      <c r="G802" s="5"/>
      <c r="H802" s="6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T802" s="5"/>
      <c r="CW802" s="144"/>
      <c r="DG802" s="143"/>
    </row>
    <row r="803" spans="1:111" ht="11.25">
      <c r="A803" s="5"/>
      <c r="B803" s="6"/>
      <c r="C803" s="6"/>
      <c r="D803" s="5"/>
      <c r="E803" s="5"/>
      <c r="F803" s="5"/>
      <c r="G803" s="5"/>
      <c r="H803" s="6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T803" s="5"/>
      <c r="CW803" s="144"/>
      <c r="DG803" s="143"/>
    </row>
    <row r="804" spans="1:111" ht="11.25">
      <c r="A804" s="5"/>
      <c r="B804" s="6"/>
      <c r="C804" s="6"/>
      <c r="D804" s="5"/>
      <c r="E804" s="5"/>
      <c r="F804" s="5"/>
      <c r="G804" s="5"/>
      <c r="H804" s="6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T804" s="5"/>
      <c r="CW804" s="144"/>
      <c r="DG804" s="143"/>
    </row>
    <row r="805" spans="1:111" ht="11.25">
      <c r="A805" s="5"/>
      <c r="B805" s="6"/>
      <c r="C805" s="6"/>
      <c r="D805" s="5"/>
      <c r="E805" s="5"/>
      <c r="F805" s="5"/>
      <c r="G805" s="5"/>
      <c r="H805" s="6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T805" s="5"/>
      <c r="CW805" s="144"/>
      <c r="DG805" s="143"/>
    </row>
    <row r="806" spans="1:111" ht="11.25">
      <c r="A806" s="5"/>
      <c r="B806" s="6"/>
      <c r="C806" s="6"/>
      <c r="D806" s="5"/>
      <c r="E806" s="5"/>
      <c r="F806" s="5"/>
      <c r="G806" s="5"/>
      <c r="H806" s="6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T806" s="5"/>
      <c r="CW806" s="144"/>
      <c r="DG806" s="143"/>
    </row>
    <row r="807" spans="1:111" ht="11.25">
      <c r="A807" s="5"/>
      <c r="B807" s="6"/>
      <c r="C807" s="6"/>
      <c r="D807" s="5"/>
      <c r="E807" s="5"/>
      <c r="F807" s="5"/>
      <c r="G807" s="5"/>
      <c r="H807" s="6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T807" s="5"/>
      <c r="CW807" s="144"/>
      <c r="DG807" s="143"/>
    </row>
    <row r="808" spans="1:111" ht="11.25">
      <c r="A808" s="5"/>
      <c r="B808" s="6"/>
      <c r="C808" s="6"/>
      <c r="D808" s="5"/>
      <c r="E808" s="5"/>
      <c r="F808" s="5"/>
      <c r="G808" s="5"/>
      <c r="H808" s="6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T808" s="5"/>
      <c r="CW808" s="144"/>
      <c r="DG808" s="143"/>
    </row>
    <row r="809" spans="1:111" ht="11.25">
      <c r="A809" s="5"/>
      <c r="B809" s="6"/>
      <c r="C809" s="6"/>
      <c r="D809" s="5"/>
      <c r="E809" s="5"/>
      <c r="F809" s="5"/>
      <c r="G809" s="5"/>
      <c r="H809" s="6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T809" s="5"/>
      <c r="CW809" s="144"/>
      <c r="DG809" s="143"/>
    </row>
    <row r="810" spans="1:111" ht="11.25">
      <c r="A810" s="5"/>
      <c r="B810" s="6"/>
      <c r="C810" s="6"/>
      <c r="D810" s="5"/>
      <c r="E810" s="5"/>
      <c r="F810" s="5"/>
      <c r="G810" s="5"/>
      <c r="H810" s="6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T810" s="5"/>
      <c r="CW810" s="144"/>
      <c r="DG810" s="143"/>
    </row>
    <row r="811" spans="1:111" ht="11.25">
      <c r="A811" s="5"/>
      <c r="B811" s="6"/>
      <c r="C811" s="6"/>
      <c r="D811" s="5"/>
      <c r="E811" s="5"/>
      <c r="F811" s="5"/>
      <c r="G811" s="5"/>
      <c r="H811" s="6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T811" s="5"/>
      <c r="CW811" s="144"/>
      <c r="DG811" s="143"/>
    </row>
    <row r="812" spans="1:111" ht="11.25">
      <c r="A812" s="5"/>
      <c r="B812" s="6"/>
      <c r="C812" s="6"/>
      <c r="D812" s="5"/>
      <c r="E812" s="5"/>
      <c r="F812" s="5"/>
      <c r="G812" s="5"/>
      <c r="H812" s="6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T812" s="5"/>
      <c r="CW812" s="144"/>
      <c r="DG812" s="143"/>
    </row>
    <row r="813" spans="1:111" ht="11.25">
      <c r="A813" s="5"/>
      <c r="B813" s="6"/>
      <c r="C813" s="6"/>
      <c r="D813" s="5"/>
      <c r="E813" s="5"/>
      <c r="F813" s="5"/>
      <c r="G813" s="5"/>
      <c r="H813" s="6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T813" s="5"/>
      <c r="CW813" s="144"/>
      <c r="DG813" s="143"/>
    </row>
    <row r="814" spans="1:111" ht="11.25">
      <c r="A814" s="5"/>
      <c r="B814" s="6"/>
      <c r="C814" s="6"/>
      <c r="D814" s="5"/>
      <c r="E814" s="5"/>
      <c r="F814" s="5"/>
      <c r="G814" s="5"/>
      <c r="H814" s="6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T814" s="5"/>
      <c r="CW814" s="144"/>
      <c r="DG814" s="143"/>
    </row>
    <row r="815" spans="1:111" ht="11.25">
      <c r="A815" s="5"/>
      <c r="B815" s="6"/>
      <c r="C815" s="6"/>
      <c r="D815" s="5"/>
      <c r="E815" s="5"/>
      <c r="F815" s="5"/>
      <c r="G815" s="5"/>
      <c r="H815" s="6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T815" s="5"/>
      <c r="CW815" s="144"/>
      <c r="DG815" s="143"/>
    </row>
    <row r="816" spans="1:111" ht="11.25">
      <c r="A816" s="5"/>
      <c r="B816" s="6"/>
      <c r="C816" s="6"/>
      <c r="D816" s="5"/>
      <c r="E816" s="5"/>
      <c r="F816" s="5"/>
      <c r="G816" s="5"/>
      <c r="H816" s="6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T816" s="5"/>
      <c r="CW816" s="144"/>
      <c r="DG816" s="143"/>
    </row>
    <row r="817" spans="1:111" ht="11.25">
      <c r="A817" s="5"/>
      <c r="B817" s="6"/>
      <c r="C817" s="6"/>
      <c r="D817" s="5"/>
      <c r="E817" s="5"/>
      <c r="F817" s="5"/>
      <c r="G817" s="5"/>
      <c r="H817" s="6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T817" s="5"/>
      <c r="CW817" s="144"/>
      <c r="DG817" s="143"/>
    </row>
    <row r="818" spans="1:111" ht="11.25">
      <c r="A818" s="5"/>
      <c r="B818" s="6"/>
      <c r="C818" s="6"/>
      <c r="D818" s="5"/>
      <c r="E818" s="5"/>
      <c r="F818" s="5"/>
      <c r="G818" s="5"/>
      <c r="H818" s="6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T818" s="5"/>
      <c r="CW818" s="144"/>
      <c r="DG818" s="143"/>
    </row>
    <row r="819" spans="1:111" ht="11.25">
      <c r="A819" s="5"/>
      <c r="B819" s="6"/>
      <c r="C819" s="6"/>
      <c r="D819" s="5"/>
      <c r="E819" s="5"/>
      <c r="F819" s="5"/>
      <c r="G819" s="5"/>
      <c r="H819" s="6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T819" s="5"/>
      <c r="CW819" s="144"/>
      <c r="DG819" s="143"/>
    </row>
    <row r="820" spans="1:111" ht="11.25">
      <c r="A820" s="5"/>
      <c r="B820" s="6"/>
      <c r="C820" s="6"/>
      <c r="D820" s="5"/>
      <c r="E820" s="5"/>
      <c r="F820" s="5"/>
      <c r="G820" s="5"/>
      <c r="H820" s="6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T820" s="5"/>
      <c r="CW820" s="144"/>
      <c r="DG820" s="143"/>
    </row>
    <row r="821" spans="1:111" ht="11.25">
      <c r="A821" s="5"/>
      <c r="B821" s="6"/>
      <c r="C821" s="6"/>
      <c r="D821" s="5"/>
      <c r="E821" s="5"/>
      <c r="F821" s="5"/>
      <c r="G821" s="5"/>
      <c r="H821" s="6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T821" s="5"/>
      <c r="CW821" s="144"/>
      <c r="DG821" s="143"/>
    </row>
    <row r="822" spans="1:111" ht="11.25">
      <c r="A822" s="5"/>
      <c r="B822" s="6"/>
      <c r="C822" s="6"/>
      <c r="D822" s="5"/>
      <c r="E822" s="5"/>
      <c r="F822" s="5"/>
      <c r="G822" s="5"/>
      <c r="H822" s="6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T822" s="5"/>
      <c r="CW822" s="144"/>
      <c r="DG822" s="143"/>
    </row>
    <row r="823" spans="1:111" ht="11.25">
      <c r="A823" s="5"/>
      <c r="B823" s="6"/>
      <c r="C823" s="6"/>
      <c r="D823" s="5"/>
      <c r="E823" s="5"/>
      <c r="F823" s="5"/>
      <c r="G823" s="5"/>
      <c r="H823" s="6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T823" s="5"/>
      <c r="CW823" s="144"/>
      <c r="DG823" s="143"/>
    </row>
    <row r="824" spans="1:111" ht="11.25">
      <c r="A824" s="5"/>
      <c r="B824" s="6"/>
      <c r="C824" s="6"/>
      <c r="D824" s="5"/>
      <c r="E824" s="5"/>
      <c r="F824" s="5"/>
      <c r="G824" s="5"/>
      <c r="H824" s="6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T824" s="5"/>
      <c r="CW824" s="144"/>
      <c r="DG824" s="143"/>
    </row>
    <row r="825" spans="1:111" ht="11.25">
      <c r="A825" s="5"/>
      <c r="B825" s="6"/>
      <c r="C825" s="6"/>
      <c r="D825" s="5"/>
      <c r="E825" s="5"/>
      <c r="F825" s="5"/>
      <c r="G825" s="5"/>
      <c r="H825" s="6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T825" s="5"/>
      <c r="CW825" s="144"/>
      <c r="DG825" s="143"/>
    </row>
    <row r="826" spans="1:111" ht="11.25">
      <c r="A826" s="5"/>
      <c r="B826" s="6"/>
      <c r="C826" s="6"/>
      <c r="D826" s="5"/>
      <c r="E826" s="5"/>
      <c r="F826" s="5"/>
      <c r="G826" s="5"/>
      <c r="H826" s="6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T826" s="5"/>
      <c r="CW826" s="144"/>
      <c r="DG826" s="143"/>
    </row>
    <row r="827" spans="1:111" ht="11.25">
      <c r="A827" s="5"/>
      <c r="B827" s="6"/>
      <c r="C827" s="6"/>
      <c r="D827" s="5"/>
      <c r="E827" s="5"/>
      <c r="F827" s="5"/>
      <c r="G827" s="5"/>
      <c r="H827" s="6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T827" s="5"/>
      <c r="CW827" s="144"/>
      <c r="DG827" s="143"/>
    </row>
    <row r="828" spans="1:111" ht="11.25">
      <c r="A828" s="5"/>
      <c r="B828" s="6"/>
      <c r="C828" s="6"/>
      <c r="D828" s="5"/>
      <c r="E828" s="5"/>
      <c r="F828" s="5"/>
      <c r="G828" s="5"/>
      <c r="H828" s="6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T828" s="5"/>
      <c r="CW828" s="144"/>
      <c r="DG828" s="143"/>
    </row>
    <row r="829" spans="1:111" ht="11.25">
      <c r="A829" s="5"/>
      <c r="B829" s="6"/>
      <c r="C829" s="6"/>
      <c r="D829" s="5"/>
      <c r="E829" s="5"/>
      <c r="F829" s="5"/>
      <c r="G829" s="5"/>
      <c r="H829" s="6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T829" s="5"/>
      <c r="CW829" s="144"/>
      <c r="DG829" s="143"/>
    </row>
    <row r="830" spans="1:111" ht="11.25">
      <c r="A830" s="5"/>
      <c r="B830" s="6"/>
      <c r="C830" s="6"/>
      <c r="D830" s="5"/>
      <c r="E830" s="5"/>
      <c r="F830" s="5"/>
      <c r="G830" s="5"/>
      <c r="H830" s="6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T830" s="5"/>
      <c r="CW830" s="144"/>
      <c r="DG830" s="143"/>
    </row>
    <row r="831" spans="1:111" ht="11.25">
      <c r="A831" s="5"/>
      <c r="B831" s="6"/>
      <c r="C831" s="6"/>
      <c r="D831" s="5"/>
      <c r="E831" s="5"/>
      <c r="F831" s="5"/>
      <c r="G831" s="5"/>
      <c r="H831" s="6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T831" s="5"/>
      <c r="CW831" s="144"/>
      <c r="DG831" s="143"/>
    </row>
    <row r="832" spans="1:111" ht="11.25">
      <c r="A832" s="5"/>
      <c r="B832" s="6"/>
      <c r="C832" s="6"/>
      <c r="D832" s="5"/>
      <c r="E832" s="5"/>
      <c r="F832" s="5"/>
      <c r="G832" s="5"/>
      <c r="H832" s="6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T832" s="5"/>
      <c r="CW832" s="144"/>
      <c r="DG832" s="143"/>
    </row>
    <row r="833" spans="1:111" ht="11.25">
      <c r="A833" s="5"/>
      <c r="B833" s="6"/>
      <c r="C833" s="6"/>
      <c r="D833" s="5"/>
      <c r="E833" s="5"/>
      <c r="F833" s="5"/>
      <c r="G833" s="5"/>
      <c r="H833" s="6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T833" s="5"/>
      <c r="CW833" s="144"/>
      <c r="DG833" s="143"/>
    </row>
    <row r="834" spans="1:111" ht="11.25">
      <c r="A834" s="5"/>
      <c r="B834" s="6"/>
      <c r="C834" s="6"/>
      <c r="D834" s="5"/>
      <c r="E834" s="5"/>
      <c r="F834" s="5"/>
      <c r="G834" s="5"/>
      <c r="H834" s="6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T834" s="5"/>
      <c r="CW834" s="144"/>
      <c r="DG834" s="143"/>
    </row>
    <row r="835" spans="1:111" ht="11.25">
      <c r="A835" s="5"/>
      <c r="B835" s="6"/>
      <c r="C835" s="6"/>
      <c r="D835" s="5"/>
      <c r="E835" s="5"/>
      <c r="F835" s="5"/>
      <c r="G835" s="5"/>
      <c r="H835" s="6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T835" s="5"/>
      <c r="CW835" s="144"/>
      <c r="DG835" s="143"/>
    </row>
    <row r="836" spans="1:111" ht="11.25">
      <c r="A836" s="5"/>
      <c r="B836" s="6"/>
      <c r="C836" s="6"/>
      <c r="D836" s="5"/>
      <c r="E836" s="5"/>
      <c r="F836" s="5"/>
      <c r="G836" s="5"/>
      <c r="H836" s="6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T836" s="5"/>
      <c r="CW836" s="144"/>
      <c r="DG836" s="143"/>
    </row>
    <row r="837" spans="1:111" ht="11.25">
      <c r="A837" s="5"/>
      <c r="B837" s="6"/>
      <c r="C837" s="6"/>
      <c r="D837" s="5"/>
      <c r="E837" s="5"/>
      <c r="F837" s="5"/>
      <c r="G837" s="5"/>
      <c r="H837" s="6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T837" s="5"/>
      <c r="CW837" s="144"/>
      <c r="DG837" s="143"/>
    </row>
    <row r="838" spans="1:111" ht="11.25">
      <c r="A838" s="5"/>
      <c r="B838" s="6"/>
      <c r="C838" s="6"/>
      <c r="D838" s="5"/>
      <c r="E838" s="5"/>
      <c r="F838" s="5"/>
      <c r="G838" s="5"/>
      <c r="H838" s="6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T838" s="5"/>
      <c r="CW838" s="144"/>
      <c r="DG838" s="143"/>
    </row>
    <row r="839" spans="1:111" ht="11.25">
      <c r="A839" s="5"/>
      <c r="B839" s="6"/>
      <c r="C839" s="6"/>
      <c r="D839" s="5"/>
      <c r="E839" s="5"/>
      <c r="F839" s="5"/>
      <c r="G839" s="5"/>
      <c r="H839" s="6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T839" s="5"/>
      <c r="CW839" s="144"/>
      <c r="DG839" s="143"/>
    </row>
    <row r="840" spans="1:111" ht="11.25">
      <c r="A840" s="5"/>
      <c r="B840" s="6"/>
      <c r="C840" s="6"/>
      <c r="D840" s="5"/>
      <c r="E840" s="5"/>
      <c r="F840" s="5"/>
      <c r="G840" s="5"/>
      <c r="H840" s="6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T840" s="5"/>
      <c r="CW840" s="144"/>
      <c r="DG840" s="143"/>
    </row>
    <row r="841" spans="1:111" ht="11.25">
      <c r="A841" s="5"/>
      <c r="B841" s="6"/>
      <c r="C841" s="6"/>
      <c r="D841" s="5"/>
      <c r="E841" s="5"/>
      <c r="F841" s="5"/>
      <c r="G841" s="5"/>
      <c r="H841" s="6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T841" s="5"/>
      <c r="CW841" s="144"/>
      <c r="DG841" s="143"/>
    </row>
    <row r="842" spans="1:111" ht="11.25">
      <c r="A842" s="5"/>
      <c r="B842" s="6"/>
      <c r="C842" s="6"/>
      <c r="D842" s="5"/>
      <c r="E842" s="5"/>
      <c r="F842" s="5"/>
      <c r="G842" s="5"/>
      <c r="H842" s="6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T842" s="5"/>
      <c r="CW842" s="144"/>
      <c r="DG842" s="143"/>
    </row>
    <row r="843" spans="1:111" ht="11.25">
      <c r="A843" s="5"/>
      <c r="B843" s="6"/>
      <c r="C843" s="6"/>
      <c r="D843" s="5"/>
      <c r="E843" s="5"/>
      <c r="F843" s="5"/>
      <c r="G843" s="5"/>
      <c r="H843" s="6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T843" s="5"/>
      <c r="CW843" s="144"/>
      <c r="DG843" s="143"/>
    </row>
    <row r="844" spans="1:111" ht="11.25">
      <c r="A844" s="5"/>
      <c r="B844" s="6"/>
      <c r="C844" s="6"/>
      <c r="D844" s="5"/>
      <c r="E844" s="5"/>
      <c r="F844" s="5"/>
      <c r="G844" s="5"/>
      <c r="H844" s="6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T844" s="5"/>
      <c r="CW844" s="144"/>
      <c r="DG844" s="143"/>
    </row>
    <row r="845" spans="1:111" ht="11.25">
      <c r="A845" s="5"/>
      <c r="B845" s="6"/>
      <c r="C845" s="6"/>
      <c r="D845" s="5"/>
      <c r="E845" s="5"/>
      <c r="F845" s="5"/>
      <c r="G845" s="5"/>
      <c r="H845" s="6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T845" s="5"/>
      <c r="CW845" s="144"/>
      <c r="DG845" s="143"/>
    </row>
    <row r="846" spans="1:111" ht="11.25">
      <c r="A846" s="5"/>
      <c r="B846" s="6"/>
      <c r="C846" s="6"/>
      <c r="D846" s="5"/>
      <c r="E846" s="5"/>
      <c r="F846" s="5"/>
      <c r="G846" s="5"/>
      <c r="H846" s="6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T846" s="5"/>
      <c r="CW846" s="144"/>
      <c r="DG846" s="143"/>
    </row>
    <row r="847" spans="1:111" ht="11.25">
      <c r="A847" s="5"/>
      <c r="B847" s="6"/>
      <c r="C847" s="6"/>
      <c r="D847" s="5"/>
      <c r="E847" s="5"/>
      <c r="F847" s="5"/>
      <c r="G847" s="5"/>
      <c r="H847" s="6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T847" s="5"/>
      <c r="CW847" s="144"/>
      <c r="DG847" s="143"/>
    </row>
    <row r="848" spans="1:111" ht="11.25">
      <c r="A848" s="5"/>
      <c r="B848" s="6"/>
      <c r="C848" s="6"/>
      <c r="D848" s="5"/>
      <c r="E848" s="5"/>
      <c r="F848" s="5"/>
      <c r="G848" s="5"/>
      <c r="H848" s="6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T848" s="5"/>
      <c r="CW848" s="144"/>
      <c r="DG848" s="143"/>
    </row>
    <row r="849" spans="1:111" ht="11.25">
      <c r="A849" s="5"/>
      <c r="B849" s="6"/>
      <c r="C849" s="6"/>
      <c r="D849" s="5"/>
      <c r="E849" s="5"/>
      <c r="F849" s="5"/>
      <c r="G849" s="5"/>
      <c r="H849" s="6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T849" s="5"/>
      <c r="CW849" s="144"/>
      <c r="DG849" s="143"/>
    </row>
    <row r="850" spans="1:111" ht="11.25">
      <c r="A850" s="5"/>
      <c r="B850" s="6"/>
      <c r="C850" s="6"/>
      <c r="D850" s="5"/>
      <c r="E850" s="5"/>
      <c r="F850" s="5"/>
      <c r="G850" s="5"/>
      <c r="H850" s="6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T850" s="5"/>
      <c r="CW850" s="144"/>
      <c r="DG850" s="143"/>
    </row>
    <row r="851" spans="1:111" ht="11.25">
      <c r="A851" s="5"/>
      <c r="B851" s="6"/>
      <c r="C851" s="6"/>
      <c r="D851" s="5"/>
      <c r="E851" s="5"/>
      <c r="F851" s="5"/>
      <c r="G851" s="5"/>
      <c r="H851" s="6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T851" s="5"/>
      <c r="CW851" s="144"/>
      <c r="DG851" s="143"/>
    </row>
    <row r="852" spans="1:111" ht="11.25">
      <c r="A852" s="5"/>
      <c r="B852" s="6"/>
      <c r="C852" s="6"/>
      <c r="D852" s="5"/>
      <c r="E852" s="5"/>
      <c r="F852" s="5"/>
      <c r="G852" s="5"/>
      <c r="H852" s="6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T852" s="5"/>
      <c r="CW852" s="144"/>
      <c r="DG852" s="143"/>
    </row>
    <row r="853" spans="1:111" ht="11.25">
      <c r="A853" s="5"/>
      <c r="B853" s="6"/>
      <c r="C853" s="6"/>
      <c r="D853" s="5"/>
      <c r="E853" s="5"/>
      <c r="F853" s="5"/>
      <c r="G853" s="5"/>
      <c r="H853" s="6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T853" s="5"/>
      <c r="CW853" s="144"/>
      <c r="DG853" s="143"/>
    </row>
    <row r="854" spans="1:111" ht="11.25">
      <c r="A854" s="5"/>
      <c r="B854" s="6"/>
      <c r="C854" s="6"/>
      <c r="D854" s="5"/>
      <c r="E854" s="5"/>
      <c r="F854" s="5"/>
      <c r="G854" s="5"/>
      <c r="H854" s="6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T854" s="5"/>
      <c r="CW854" s="144"/>
      <c r="DG854" s="143"/>
    </row>
    <row r="855" spans="1:111" ht="11.25">
      <c r="A855" s="5"/>
      <c r="B855" s="6"/>
      <c r="C855" s="6"/>
      <c r="D855" s="5"/>
      <c r="E855" s="5"/>
      <c r="F855" s="5"/>
      <c r="G855" s="5"/>
      <c r="H855" s="6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T855" s="5"/>
      <c r="CW855" s="144"/>
      <c r="DG855" s="143"/>
    </row>
    <row r="856" spans="1:111" ht="11.25">
      <c r="A856" s="5"/>
      <c r="B856" s="6"/>
      <c r="C856" s="6"/>
      <c r="D856" s="5"/>
      <c r="E856" s="5"/>
      <c r="F856" s="5"/>
      <c r="G856" s="5"/>
      <c r="H856" s="6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T856" s="5"/>
      <c r="CW856" s="144"/>
      <c r="DG856" s="143"/>
    </row>
    <row r="857" spans="1:111" ht="11.25">
      <c r="A857" s="5"/>
      <c r="B857" s="6"/>
      <c r="C857" s="6"/>
      <c r="D857" s="5"/>
      <c r="E857" s="5"/>
      <c r="F857" s="5"/>
      <c r="G857" s="5"/>
      <c r="H857" s="6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T857" s="5"/>
      <c r="CW857" s="144"/>
      <c r="DG857" s="143"/>
    </row>
    <row r="858" spans="1:111" ht="11.25">
      <c r="A858" s="5"/>
      <c r="B858" s="6"/>
      <c r="C858" s="6"/>
      <c r="D858" s="5"/>
      <c r="E858" s="5"/>
      <c r="F858" s="5"/>
      <c r="G858" s="5"/>
      <c r="H858" s="6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T858" s="5"/>
      <c r="CW858" s="144"/>
      <c r="DG858" s="143"/>
    </row>
    <row r="859" spans="1:111" ht="11.25">
      <c r="A859" s="5"/>
      <c r="B859" s="6"/>
      <c r="C859" s="6"/>
      <c r="D859" s="5"/>
      <c r="E859" s="5"/>
      <c r="F859" s="5"/>
      <c r="G859" s="5"/>
      <c r="H859" s="6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T859" s="5"/>
      <c r="CW859" s="144"/>
      <c r="DG859" s="143"/>
    </row>
    <row r="860" spans="1:111" ht="11.25">
      <c r="A860" s="5"/>
      <c r="B860" s="6"/>
      <c r="C860" s="6"/>
      <c r="D860" s="5"/>
      <c r="E860" s="5"/>
      <c r="F860" s="5"/>
      <c r="G860" s="5"/>
      <c r="H860" s="6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T860" s="5"/>
      <c r="CW860" s="144"/>
      <c r="DG860" s="143"/>
    </row>
    <row r="861" spans="1:111" ht="11.25">
      <c r="A861" s="5"/>
      <c r="B861" s="6"/>
      <c r="C861" s="6"/>
      <c r="D861" s="5"/>
      <c r="E861" s="5"/>
      <c r="F861" s="5"/>
      <c r="G861" s="5"/>
      <c r="H861" s="6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T861" s="5"/>
      <c r="CW861" s="144"/>
      <c r="DG861" s="143"/>
    </row>
    <row r="862" spans="1:111" ht="11.25">
      <c r="A862" s="5"/>
      <c r="B862" s="6"/>
      <c r="C862" s="6"/>
      <c r="D862" s="5"/>
      <c r="E862" s="5"/>
      <c r="F862" s="5"/>
      <c r="G862" s="5"/>
      <c r="H862" s="6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T862" s="5"/>
      <c r="CW862" s="144"/>
      <c r="DG862" s="143"/>
    </row>
    <row r="863" spans="1:111" ht="11.25">
      <c r="A863" s="5"/>
      <c r="B863" s="6"/>
      <c r="C863" s="6"/>
      <c r="D863" s="5"/>
      <c r="E863" s="5"/>
      <c r="F863" s="5"/>
      <c r="G863" s="5"/>
      <c r="H863" s="6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T863" s="5"/>
      <c r="CW863" s="144"/>
      <c r="DG863" s="143"/>
    </row>
    <row r="864" spans="1:111" ht="11.25">
      <c r="A864" s="5"/>
      <c r="B864" s="6"/>
      <c r="C864" s="6"/>
      <c r="D864" s="5"/>
      <c r="E864" s="5"/>
      <c r="F864" s="5"/>
      <c r="G864" s="5"/>
      <c r="H864" s="6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T864" s="5"/>
      <c r="CW864" s="144"/>
      <c r="DG864" s="143"/>
    </row>
    <row r="865" spans="1:111" ht="11.25">
      <c r="A865" s="5"/>
      <c r="B865" s="6"/>
      <c r="C865" s="6"/>
      <c r="D865" s="5"/>
      <c r="E865" s="5"/>
      <c r="F865" s="5"/>
      <c r="G865" s="5"/>
      <c r="H865" s="6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T865" s="5"/>
      <c r="CW865" s="144"/>
      <c r="DG865" s="143"/>
    </row>
    <row r="866" spans="1:111" ht="11.25">
      <c r="A866" s="5"/>
      <c r="B866" s="6"/>
      <c r="C866" s="6"/>
      <c r="D866" s="5"/>
      <c r="E866" s="5"/>
      <c r="F866" s="5"/>
      <c r="G866" s="5"/>
      <c r="H866" s="6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T866" s="5"/>
      <c r="CW866" s="144"/>
      <c r="DG866" s="143"/>
    </row>
    <row r="867" spans="1:111" ht="11.25">
      <c r="A867" s="5"/>
      <c r="B867" s="6"/>
      <c r="C867" s="6"/>
      <c r="D867" s="5"/>
      <c r="E867" s="5"/>
      <c r="F867" s="5"/>
      <c r="G867" s="5"/>
      <c r="H867" s="6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T867" s="5"/>
      <c r="CW867" s="144"/>
      <c r="DG867" s="143"/>
    </row>
    <row r="868" spans="1:111" ht="11.25">
      <c r="A868" s="5"/>
      <c r="B868" s="6"/>
      <c r="C868" s="6"/>
      <c r="D868" s="5"/>
      <c r="E868" s="5"/>
      <c r="F868" s="5"/>
      <c r="G868" s="5"/>
      <c r="H868" s="6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T868" s="5"/>
      <c r="CW868" s="144"/>
      <c r="DG868" s="143"/>
    </row>
    <row r="869" spans="1:111" ht="11.25">
      <c r="A869" s="5"/>
      <c r="B869" s="6"/>
      <c r="C869" s="6"/>
      <c r="D869" s="5"/>
      <c r="E869" s="5"/>
      <c r="F869" s="5"/>
      <c r="G869" s="5"/>
      <c r="H869" s="6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T869" s="5"/>
      <c r="CW869" s="144"/>
      <c r="DG869" s="143"/>
    </row>
    <row r="870" spans="1:111" ht="11.25">
      <c r="A870" s="5"/>
      <c r="B870" s="6"/>
      <c r="C870" s="6"/>
      <c r="D870" s="5"/>
      <c r="E870" s="5"/>
      <c r="F870" s="5"/>
      <c r="G870" s="5"/>
      <c r="H870" s="6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T870" s="5"/>
      <c r="CW870" s="144"/>
      <c r="DG870" s="143"/>
    </row>
    <row r="871" spans="1:111" ht="11.25">
      <c r="A871" s="5"/>
      <c r="B871" s="6"/>
      <c r="C871" s="6"/>
      <c r="D871" s="5"/>
      <c r="E871" s="5"/>
      <c r="F871" s="5"/>
      <c r="G871" s="5"/>
      <c r="H871" s="6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T871" s="5"/>
      <c r="CW871" s="144"/>
      <c r="DG871" s="143"/>
    </row>
    <row r="872" spans="1:111" ht="11.25">
      <c r="A872" s="5"/>
      <c r="B872" s="6"/>
      <c r="C872" s="6"/>
      <c r="D872" s="5"/>
      <c r="E872" s="5"/>
      <c r="F872" s="5"/>
      <c r="G872" s="5"/>
      <c r="H872" s="6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T872" s="5"/>
      <c r="CW872" s="144"/>
      <c r="DG872" s="143"/>
    </row>
    <row r="873" spans="1:111" ht="11.25">
      <c r="A873" s="5"/>
      <c r="B873" s="6"/>
      <c r="C873" s="6"/>
      <c r="D873" s="5"/>
      <c r="E873" s="5"/>
      <c r="F873" s="5"/>
      <c r="G873" s="5"/>
      <c r="H873" s="6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T873" s="5"/>
      <c r="CW873" s="144"/>
      <c r="DG873" s="143"/>
    </row>
    <row r="874" spans="1:111" ht="11.25">
      <c r="A874" s="5"/>
      <c r="B874" s="6"/>
      <c r="C874" s="6"/>
      <c r="D874" s="5"/>
      <c r="E874" s="5"/>
      <c r="F874" s="5"/>
      <c r="G874" s="5"/>
      <c r="H874" s="6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T874" s="5"/>
      <c r="CW874" s="144"/>
      <c r="DG874" s="143"/>
    </row>
    <row r="875" spans="1:111" ht="11.25">
      <c r="A875" s="5"/>
      <c r="B875" s="6"/>
      <c r="C875" s="6"/>
      <c r="D875" s="5"/>
      <c r="E875" s="5"/>
      <c r="F875" s="5"/>
      <c r="G875" s="5"/>
      <c r="H875" s="6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T875" s="5"/>
      <c r="CW875" s="144"/>
      <c r="DG875" s="143"/>
    </row>
    <row r="876" spans="1:111" ht="11.25">
      <c r="A876" s="5"/>
      <c r="B876" s="6"/>
      <c r="C876" s="6"/>
      <c r="D876" s="5"/>
      <c r="E876" s="5"/>
      <c r="F876" s="5"/>
      <c r="G876" s="5"/>
      <c r="H876" s="6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T876" s="5"/>
      <c r="CW876" s="144"/>
      <c r="DG876" s="143"/>
    </row>
    <row r="877" spans="1:111" ht="11.25">
      <c r="A877" s="5"/>
      <c r="B877" s="6"/>
      <c r="C877" s="6"/>
      <c r="D877" s="5"/>
      <c r="E877" s="5"/>
      <c r="F877" s="5"/>
      <c r="G877" s="5"/>
      <c r="H877" s="6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T877" s="5"/>
      <c r="CW877" s="144"/>
      <c r="DG877" s="143"/>
    </row>
    <row r="878" spans="1:111" ht="11.25">
      <c r="A878" s="5"/>
      <c r="B878" s="6"/>
      <c r="C878" s="6"/>
      <c r="D878" s="5"/>
      <c r="E878" s="5"/>
      <c r="F878" s="5"/>
      <c r="G878" s="5"/>
      <c r="H878" s="6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T878" s="5"/>
      <c r="CW878" s="144"/>
      <c r="DG878" s="143"/>
    </row>
    <row r="879" spans="1:111" ht="11.25">
      <c r="A879" s="5"/>
      <c r="B879" s="6"/>
      <c r="C879" s="6"/>
      <c r="D879" s="5"/>
      <c r="E879" s="5"/>
      <c r="F879" s="5"/>
      <c r="G879" s="5"/>
      <c r="H879" s="6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T879" s="5"/>
      <c r="CW879" s="144"/>
      <c r="DG879" s="143"/>
    </row>
    <row r="880" spans="1:111" ht="11.25">
      <c r="A880" s="5"/>
      <c r="B880" s="6"/>
      <c r="C880" s="6"/>
      <c r="D880" s="5"/>
      <c r="E880" s="5"/>
      <c r="F880" s="5"/>
      <c r="G880" s="5"/>
      <c r="H880" s="6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T880" s="5"/>
      <c r="CW880" s="144"/>
      <c r="DG880" s="143"/>
    </row>
    <row r="881" spans="1:111" ht="11.25">
      <c r="A881" s="5"/>
      <c r="B881" s="6"/>
      <c r="C881" s="6"/>
      <c r="D881" s="5"/>
      <c r="E881" s="5"/>
      <c r="F881" s="5"/>
      <c r="G881" s="5"/>
      <c r="H881" s="6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T881" s="5"/>
      <c r="CW881" s="144"/>
      <c r="DG881" s="143"/>
    </row>
    <row r="882" spans="1:111" ht="11.25">
      <c r="A882" s="5"/>
      <c r="B882" s="6"/>
      <c r="C882" s="6"/>
      <c r="D882" s="5"/>
      <c r="E882" s="5"/>
      <c r="F882" s="5"/>
      <c r="G882" s="5"/>
      <c r="H882" s="6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T882" s="5"/>
      <c r="CW882" s="144"/>
      <c r="DG882" s="143"/>
    </row>
    <row r="883" spans="1:111" ht="11.25">
      <c r="A883" s="5"/>
      <c r="B883" s="6"/>
      <c r="C883" s="6"/>
      <c r="D883" s="5"/>
      <c r="E883" s="5"/>
      <c r="F883" s="5"/>
      <c r="G883" s="5"/>
      <c r="H883" s="6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T883" s="5"/>
      <c r="CW883" s="144"/>
      <c r="DG883" s="143"/>
    </row>
    <row r="884" spans="1:111" ht="11.25">
      <c r="A884" s="5"/>
      <c r="B884" s="6"/>
      <c r="C884" s="6"/>
      <c r="D884" s="5"/>
      <c r="E884" s="5"/>
      <c r="F884" s="5"/>
      <c r="G884" s="5"/>
      <c r="H884" s="6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T884" s="5"/>
      <c r="CW884" s="144"/>
      <c r="DG884" s="143"/>
    </row>
    <row r="885" spans="1:111" ht="11.25">
      <c r="A885" s="5"/>
      <c r="B885" s="6"/>
      <c r="C885" s="6"/>
      <c r="D885" s="5"/>
      <c r="E885" s="5"/>
      <c r="F885" s="5"/>
      <c r="G885" s="5"/>
      <c r="H885" s="6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T885" s="5"/>
      <c r="CW885" s="144"/>
      <c r="DG885" s="143"/>
    </row>
    <row r="886" spans="1:111" ht="11.25">
      <c r="A886" s="5"/>
      <c r="B886" s="6"/>
      <c r="C886" s="6"/>
      <c r="D886" s="5"/>
      <c r="E886" s="5"/>
      <c r="F886" s="5"/>
      <c r="G886" s="5"/>
      <c r="H886" s="6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T886" s="5"/>
      <c r="CW886" s="144"/>
      <c r="DG886" s="143"/>
    </row>
    <row r="887" spans="1:111" ht="11.25">
      <c r="A887" s="5"/>
      <c r="B887" s="6"/>
      <c r="C887" s="6"/>
      <c r="D887" s="5"/>
      <c r="E887" s="5"/>
      <c r="F887" s="5"/>
      <c r="G887" s="5"/>
      <c r="H887" s="6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T887" s="5"/>
      <c r="CW887" s="144"/>
      <c r="DG887" s="143"/>
    </row>
    <row r="888" spans="1:111" ht="11.25">
      <c r="A888" s="5"/>
      <c r="B888" s="6"/>
      <c r="C888" s="6"/>
      <c r="D888" s="5"/>
      <c r="E888" s="5"/>
      <c r="F888" s="5"/>
      <c r="G888" s="5"/>
      <c r="H888" s="6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T888" s="5"/>
      <c r="CW888" s="144"/>
      <c r="DG888" s="143"/>
    </row>
    <row r="889" spans="1:111" ht="11.25">
      <c r="A889" s="5"/>
      <c r="B889" s="6"/>
      <c r="C889" s="6"/>
      <c r="D889" s="5"/>
      <c r="E889" s="5"/>
      <c r="F889" s="5"/>
      <c r="G889" s="5"/>
      <c r="H889" s="6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T889" s="5"/>
      <c r="CW889" s="144"/>
      <c r="DG889" s="143"/>
    </row>
    <row r="890" spans="1:111" ht="11.25">
      <c r="A890" s="5"/>
      <c r="B890" s="6"/>
      <c r="C890" s="6"/>
      <c r="D890" s="5"/>
      <c r="E890" s="5"/>
      <c r="F890" s="5"/>
      <c r="G890" s="5"/>
      <c r="H890" s="6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T890" s="5"/>
      <c r="CW890" s="144"/>
      <c r="DG890" s="143"/>
    </row>
    <row r="891" spans="1:111" ht="11.25">
      <c r="A891" s="5"/>
      <c r="B891" s="6"/>
      <c r="C891" s="6"/>
      <c r="D891" s="5"/>
      <c r="E891" s="5"/>
      <c r="F891" s="5"/>
      <c r="G891" s="5"/>
      <c r="H891" s="6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T891" s="5"/>
      <c r="CW891" s="144"/>
      <c r="DG891" s="143"/>
    </row>
    <row r="892" spans="1:111" ht="11.25">
      <c r="A892" s="5"/>
      <c r="B892" s="6"/>
      <c r="C892" s="6"/>
      <c r="D892" s="5"/>
      <c r="E892" s="5"/>
      <c r="F892" s="5"/>
      <c r="G892" s="5"/>
      <c r="H892" s="6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T892" s="5"/>
      <c r="CW892" s="144"/>
      <c r="DG892" s="143"/>
    </row>
    <row r="893" spans="1:111" ht="11.25">
      <c r="A893" s="5"/>
      <c r="B893" s="6"/>
      <c r="C893" s="6"/>
      <c r="D893" s="5"/>
      <c r="E893" s="5"/>
      <c r="F893" s="5"/>
      <c r="G893" s="5"/>
      <c r="H893" s="6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T893" s="5"/>
      <c r="CW893" s="144"/>
      <c r="DG893" s="143"/>
    </row>
    <row r="894" spans="1:111" ht="11.25">
      <c r="A894" s="5"/>
      <c r="B894" s="6"/>
      <c r="C894" s="6"/>
      <c r="D894" s="5"/>
      <c r="E894" s="5"/>
      <c r="F894" s="5"/>
      <c r="G894" s="5"/>
      <c r="H894" s="6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T894" s="5"/>
      <c r="CW894" s="144"/>
      <c r="DG894" s="143"/>
    </row>
    <row r="895" spans="1:111" ht="11.25">
      <c r="A895" s="5"/>
      <c r="B895" s="6"/>
      <c r="C895" s="6"/>
      <c r="D895" s="5"/>
      <c r="E895" s="5"/>
      <c r="F895" s="5"/>
      <c r="G895" s="5"/>
      <c r="H895" s="6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T895" s="5"/>
      <c r="CW895" s="144"/>
      <c r="DG895" s="143"/>
    </row>
    <row r="896" spans="1:111" ht="11.25">
      <c r="A896" s="5"/>
      <c r="B896" s="6"/>
      <c r="C896" s="6"/>
      <c r="D896" s="5"/>
      <c r="E896" s="5"/>
      <c r="F896" s="5"/>
      <c r="G896" s="5"/>
      <c r="H896" s="6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T896" s="5"/>
      <c r="CW896" s="144"/>
      <c r="DG896" s="143"/>
    </row>
    <row r="897" spans="1:111" ht="11.25">
      <c r="A897" s="5"/>
      <c r="B897" s="6"/>
      <c r="C897" s="6"/>
      <c r="D897" s="5"/>
      <c r="E897" s="5"/>
      <c r="F897" s="5"/>
      <c r="G897" s="5"/>
      <c r="H897" s="6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T897" s="5"/>
      <c r="CW897" s="144"/>
      <c r="DG897" s="143"/>
    </row>
    <row r="898" spans="1:111" ht="11.25">
      <c r="A898" s="5"/>
      <c r="B898" s="6"/>
      <c r="C898" s="6"/>
      <c r="D898" s="5"/>
      <c r="E898" s="5"/>
      <c r="F898" s="5"/>
      <c r="G898" s="5"/>
      <c r="H898" s="6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T898" s="5"/>
      <c r="CW898" s="144"/>
      <c r="DG898" s="143"/>
    </row>
    <row r="899" spans="1:111" ht="11.25">
      <c r="A899" s="5"/>
      <c r="B899" s="6"/>
      <c r="C899" s="6"/>
      <c r="D899" s="5"/>
      <c r="E899" s="5"/>
      <c r="F899" s="5"/>
      <c r="G899" s="5"/>
      <c r="H899" s="6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T899" s="5"/>
      <c r="CW899" s="144"/>
      <c r="DG899" s="143"/>
    </row>
    <row r="900" spans="1:111" ht="11.25">
      <c r="A900" s="5"/>
      <c r="B900" s="6"/>
      <c r="C900" s="6"/>
      <c r="D900" s="5"/>
      <c r="E900" s="5"/>
      <c r="F900" s="5"/>
      <c r="G900" s="5"/>
      <c r="H900" s="6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T900" s="5"/>
      <c r="CW900" s="144"/>
      <c r="DG900" s="143"/>
    </row>
    <row r="901" spans="1:111" ht="11.25">
      <c r="A901" s="5"/>
      <c r="B901" s="6"/>
      <c r="C901" s="6"/>
      <c r="D901" s="5"/>
      <c r="E901" s="5"/>
      <c r="F901" s="5"/>
      <c r="G901" s="5"/>
      <c r="H901" s="6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T901" s="5"/>
      <c r="CW901" s="144"/>
      <c r="DG901" s="143"/>
    </row>
    <row r="902" spans="1:111" ht="11.25">
      <c r="A902" s="5"/>
      <c r="B902" s="6"/>
      <c r="C902" s="6"/>
      <c r="D902" s="5"/>
      <c r="E902" s="5"/>
      <c r="F902" s="5"/>
      <c r="G902" s="5"/>
      <c r="H902" s="6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T902" s="5"/>
      <c r="CW902" s="144"/>
      <c r="DG902" s="143"/>
    </row>
    <row r="903" spans="1:111" ht="11.25">
      <c r="A903" s="5"/>
      <c r="B903" s="6"/>
      <c r="C903" s="6"/>
      <c r="D903" s="5"/>
      <c r="E903" s="5"/>
      <c r="F903" s="5"/>
      <c r="G903" s="5"/>
      <c r="H903" s="6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T903" s="5"/>
      <c r="CW903" s="144"/>
      <c r="DG903" s="143"/>
    </row>
    <row r="904" spans="1:111" ht="11.25">
      <c r="A904" s="5"/>
      <c r="B904" s="6"/>
      <c r="C904" s="6"/>
      <c r="D904" s="5"/>
      <c r="E904" s="5"/>
      <c r="F904" s="5"/>
      <c r="G904" s="5"/>
      <c r="H904" s="6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T904" s="5"/>
      <c r="CW904" s="144"/>
      <c r="DG904" s="143"/>
    </row>
    <row r="905" spans="1:111" ht="11.25">
      <c r="A905" s="5"/>
      <c r="B905" s="6"/>
      <c r="C905" s="6"/>
      <c r="D905" s="5"/>
      <c r="E905" s="5"/>
      <c r="F905" s="5"/>
      <c r="G905" s="5"/>
      <c r="H905" s="6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T905" s="5"/>
      <c r="CW905" s="144"/>
      <c r="DG905" s="143"/>
    </row>
    <row r="906" spans="1:111" ht="11.25">
      <c r="A906" s="5"/>
      <c r="B906" s="6"/>
      <c r="C906" s="6"/>
      <c r="D906" s="5"/>
      <c r="E906" s="5"/>
      <c r="F906" s="5"/>
      <c r="G906" s="5"/>
      <c r="H906" s="6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T906" s="5"/>
      <c r="CW906" s="144"/>
      <c r="DG906" s="143"/>
    </row>
    <row r="907" spans="1:111" ht="11.25">
      <c r="A907" s="5"/>
      <c r="B907" s="6"/>
      <c r="C907" s="6"/>
      <c r="D907" s="5"/>
      <c r="E907" s="5"/>
      <c r="F907" s="5"/>
      <c r="G907" s="5"/>
      <c r="H907" s="6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T907" s="5"/>
      <c r="CW907" s="144"/>
      <c r="DG907" s="143"/>
    </row>
    <row r="908" spans="1:111" ht="11.25">
      <c r="A908" s="5"/>
      <c r="B908" s="6"/>
      <c r="C908" s="6"/>
      <c r="D908" s="5"/>
      <c r="E908" s="5"/>
      <c r="F908" s="5"/>
      <c r="G908" s="5"/>
      <c r="H908" s="6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T908" s="5"/>
      <c r="CW908" s="144"/>
      <c r="DG908" s="143"/>
    </row>
    <row r="909" spans="1:111" ht="11.25">
      <c r="A909" s="5"/>
      <c r="B909" s="6"/>
      <c r="C909" s="6"/>
      <c r="D909" s="5"/>
      <c r="E909" s="5"/>
      <c r="F909" s="5"/>
      <c r="G909" s="5"/>
      <c r="H909" s="6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T909" s="5"/>
      <c r="CW909" s="144"/>
      <c r="DG909" s="143"/>
    </row>
    <row r="910" spans="1:111" ht="11.25">
      <c r="A910" s="5"/>
      <c r="B910" s="6"/>
      <c r="C910" s="6"/>
      <c r="D910" s="5"/>
      <c r="E910" s="5"/>
      <c r="F910" s="5"/>
      <c r="G910" s="5"/>
      <c r="H910" s="6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T910" s="5"/>
      <c r="CW910" s="144"/>
      <c r="DG910" s="143"/>
    </row>
    <row r="911" spans="1:111" ht="11.25">
      <c r="A911" s="5"/>
      <c r="B911" s="6"/>
      <c r="C911" s="6"/>
      <c r="D911" s="5"/>
      <c r="E911" s="5"/>
      <c r="F911" s="5"/>
      <c r="G911" s="5"/>
      <c r="H911" s="6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T911" s="5"/>
      <c r="CW911" s="144"/>
      <c r="DG911" s="143"/>
    </row>
    <row r="912" spans="1:111" ht="11.25">
      <c r="A912" s="5"/>
      <c r="B912" s="6"/>
      <c r="C912" s="6"/>
      <c r="D912" s="5"/>
      <c r="E912" s="5"/>
      <c r="F912" s="5"/>
      <c r="G912" s="5"/>
      <c r="H912" s="6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T912" s="5"/>
      <c r="CW912" s="144"/>
      <c r="DG912" s="143"/>
    </row>
    <row r="913" spans="1:111" ht="11.25">
      <c r="A913" s="5"/>
      <c r="B913" s="6"/>
      <c r="C913" s="6"/>
      <c r="D913" s="5"/>
      <c r="E913" s="5"/>
      <c r="F913" s="5"/>
      <c r="G913" s="5"/>
      <c r="H913" s="6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T913" s="5"/>
      <c r="CW913" s="144"/>
      <c r="DG913" s="143"/>
    </row>
    <row r="914" spans="1:111" ht="11.25">
      <c r="A914" s="5"/>
      <c r="B914" s="6"/>
      <c r="C914" s="6"/>
      <c r="D914" s="5"/>
      <c r="E914" s="5"/>
      <c r="F914" s="5"/>
      <c r="G914" s="5"/>
      <c r="H914" s="6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T914" s="5"/>
      <c r="CW914" s="144"/>
      <c r="DG914" s="143"/>
    </row>
    <row r="915" spans="1:111" ht="11.25">
      <c r="A915" s="5"/>
      <c r="B915" s="6"/>
      <c r="C915" s="6"/>
      <c r="D915" s="5"/>
      <c r="E915" s="5"/>
      <c r="F915" s="5"/>
      <c r="G915" s="5"/>
      <c r="H915" s="6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T915" s="5"/>
      <c r="CW915" s="144"/>
      <c r="DG915" s="143"/>
    </row>
    <row r="916" spans="1:111" ht="11.25">
      <c r="A916" s="5"/>
      <c r="B916" s="6"/>
      <c r="C916" s="6"/>
      <c r="D916" s="5"/>
      <c r="E916" s="5"/>
      <c r="F916" s="5"/>
      <c r="G916" s="5"/>
      <c r="H916" s="6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T916" s="5"/>
      <c r="CW916" s="144"/>
      <c r="DG916" s="143"/>
    </row>
    <row r="917" spans="1:111" ht="11.25">
      <c r="A917" s="5"/>
      <c r="B917" s="6"/>
      <c r="C917" s="6"/>
      <c r="D917" s="5"/>
      <c r="E917" s="5"/>
      <c r="F917" s="5"/>
      <c r="G917" s="5"/>
      <c r="H917" s="6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T917" s="5"/>
      <c r="CW917" s="144"/>
      <c r="DG917" s="143"/>
    </row>
    <row r="918" spans="1:111" ht="11.25">
      <c r="A918" s="5"/>
      <c r="B918" s="6"/>
      <c r="C918" s="6"/>
      <c r="D918" s="5"/>
      <c r="E918" s="5"/>
      <c r="F918" s="5"/>
      <c r="G918" s="5"/>
      <c r="H918" s="6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T918" s="5"/>
      <c r="CW918" s="144"/>
      <c r="DG918" s="143"/>
    </row>
    <row r="919" spans="1:111" ht="11.25">
      <c r="A919" s="5"/>
      <c r="B919" s="6"/>
      <c r="C919" s="6"/>
      <c r="D919" s="5"/>
      <c r="E919" s="5"/>
      <c r="F919" s="5"/>
      <c r="G919" s="5"/>
      <c r="H919" s="6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T919" s="5"/>
      <c r="CW919" s="144"/>
      <c r="DG919" s="143"/>
    </row>
    <row r="920" spans="1:111" ht="11.25">
      <c r="A920" s="5"/>
      <c r="B920" s="6"/>
      <c r="C920" s="6"/>
      <c r="D920" s="5"/>
      <c r="E920" s="5"/>
      <c r="F920" s="5"/>
      <c r="G920" s="5"/>
      <c r="H920" s="6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T920" s="5"/>
      <c r="CW920" s="144"/>
      <c r="DG920" s="143"/>
    </row>
    <row r="921" spans="1:111" ht="11.25">
      <c r="A921" s="5"/>
      <c r="B921" s="6"/>
      <c r="C921" s="6"/>
      <c r="D921" s="5"/>
      <c r="E921" s="5"/>
      <c r="F921" s="5"/>
      <c r="G921" s="5"/>
      <c r="H921" s="6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T921" s="5"/>
      <c r="CW921" s="144"/>
      <c r="DG921" s="143"/>
    </row>
    <row r="922" spans="1:111" ht="11.25">
      <c r="A922" s="5"/>
      <c r="B922" s="6"/>
      <c r="C922" s="6"/>
      <c r="D922" s="5"/>
      <c r="E922" s="5"/>
      <c r="F922" s="5"/>
      <c r="G922" s="5"/>
      <c r="H922" s="6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T922" s="5"/>
      <c r="CW922" s="144"/>
      <c r="DG922" s="143"/>
    </row>
    <row r="923" spans="1:111" ht="11.25">
      <c r="A923" s="5"/>
      <c r="B923" s="6"/>
      <c r="C923" s="6"/>
      <c r="D923" s="5"/>
      <c r="E923" s="5"/>
      <c r="F923" s="5"/>
      <c r="G923" s="5"/>
      <c r="H923" s="6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T923" s="5"/>
      <c r="CW923" s="144"/>
      <c r="DG923" s="143"/>
    </row>
    <row r="924" spans="1:111" ht="11.25">
      <c r="A924" s="5"/>
      <c r="B924" s="6"/>
      <c r="C924" s="6"/>
      <c r="D924" s="5"/>
      <c r="E924" s="5"/>
      <c r="F924" s="5"/>
      <c r="G924" s="5"/>
      <c r="H924" s="6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T924" s="5"/>
      <c r="CW924" s="144"/>
      <c r="DG924" s="143"/>
    </row>
    <row r="925" spans="1:111" ht="11.25">
      <c r="A925" s="5"/>
      <c r="B925" s="6"/>
      <c r="C925" s="6"/>
      <c r="D925" s="5"/>
      <c r="E925" s="5"/>
      <c r="F925" s="5"/>
      <c r="G925" s="5"/>
      <c r="H925" s="6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T925" s="5"/>
      <c r="CW925" s="144"/>
      <c r="DG925" s="143"/>
    </row>
    <row r="926" spans="1:111" ht="11.25">
      <c r="A926" s="5"/>
      <c r="B926" s="6"/>
      <c r="C926" s="6"/>
      <c r="D926" s="5"/>
      <c r="E926" s="5"/>
      <c r="F926" s="5"/>
      <c r="G926" s="5"/>
      <c r="H926" s="6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T926" s="5"/>
      <c r="CW926" s="144"/>
      <c r="DG926" s="143"/>
    </row>
    <row r="927" spans="1:111" ht="11.25">
      <c r="A927" s="5"/>
      <c r="B927" s="6"/>
      <c r="C927" s="6"/>
      <c r="D927" s="5"/>
      <c r="E927" s="5"/>
      <c r="F927" s="5"/>
      <c r="G927" s="5"/>
      <c r="H927" s="6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T927" s="5"/>
      <c r="CW927" s="144"/>
      <c r="DG927" s="143"/>
    </row>
    <row r="928" spans="1:111" ht="11.25">
      <c r="A928" s="5"/>
      <c r="B928" s="6"/>
      <c r="C928" s="6"/>
      <c r="D928" s="5"/>
      <c r="E928" s="5"/>
      <c r="F928" s="5"/>
      <c r="G928" s="5"/>
      <c r="H928" s="6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T928" s="5"/>
      <c r="CW928" s="144"/>
      <c r="DG928" s="143"/>
    </row>
    <row r="929" spans="1:111" ht="11.25">
      <c r="A929" s="5"/>
      <c r="B929" s="6"/>
      <c r="C929" s="6"/>
      <c r="D929" s="5"/>
      <c r="E929" s="5"/>
      <c r="F929" s="5"/>
      <c r="G929" s="5"/>
      <c r="H929" s="6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T929" s="5"/>
      <c r="CW929" s="144"/>
      <c r="DG929" s="143"/>
    </row>
    <row r="930" spans="1:111" ht="11.25">
      <c r="A930" s="5"/>
      <c r="B930" s="6"/>
      <c r="C930" s="6"/>
      <c r="D930" s="5"/>
      <c r="E930" s="5"/>
      <c r="F930" s="5"/>
      <c r="G930" s="5"/>
      <c r="H930" s="6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T930" s="5"/>
      <c r="CW930" s="144"/>
      <c r="DG930" s="143"/>
    </row>
    <row r="931" spans="1:111" ht="11.25">
      <c r="A931" s="5"/>
      <c r="B931" s="6"/>
      <c r="C931" s="6"/>
      <c r="D931" s="5"/>
      <c r="E931" s="5"/>
      <c r="F931" s="5"/>
      <c r="G931" s="5"/>
      <c r="H931" s="6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T931" s="5"/>
      <c r="CW931" s="144"/>
      <c r="DG931" s="143"/>
    </row>
    <row r="932" spans="1:111" ht="11.25">
      <c r="A932" s="5"/>
      <c r="B932" s="6"/>
      <c r="C932" s="6"/>
      <c r="D932" s="5"/>
      <c r="E932" s="5"/>
      <c r="F932" s="5"/>
      <c r="G932" s="5"/>
      <c r="H932" s="6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T932" s="5"/>
      <c r="CW932" s="144"/>
      <c r="DG932" s="143"/>
    </row>
    <row r="933" spans="1:111" ht="11.25">
      <c r="A933" s="5"/>
      <c r="B933" s="6"/>
      <c r="C933" s="6"/>
      <c r="D933" s="5"/>
      <c r="E933" s="5"/>
      <c r="F933" s="5"/>
      <c r="G933" s="5"/>
      <c r="H933" s="6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T933" s="5"/>
      <c r="CW933" s="144"/>
      <c r="DG933" s="143"/>
    </row>
    <row r="934" spans="1:111" ht="11.25">
      <c r="A934" s="5"/>
      <c r="B934" s="6"/>
      <c r="C934" s="6"/>
      <c r="D934" s="5"/>
      <c r="E934" s="5"/>
      <c r="F934" s="5"/>
      <c r="G934" s="5"/>
      <c r="H934" s="6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T934" s="5"/>
      <c r="CW934" s="144"/>
      <c r="DG934" s="143"/>
    </row>
    <row r="935" spans="1:111" ht="11.25">
      <c r="A935" s="5"/>
      <c r="B935" s="6"/>
      <c r="C935" s="6"/>
      <c r="D935" s="5"/>
      <c r="E935" s="5"/>
      <c r="F935" s="5"/>
      <c r="G935" s="5"/>
      <c r="H935" s="6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T935" s="5"/>
      <c r="CW935" s="144"/>
      <c r="DG935" s="143"/>
    </row>
    <row r="936" spans="1:111" ht="11.25">
      <c r="A936" s="5"/>
      <c r="B936" s="6"/>
      <c r="C936" s="6"/>
      <c r="D936" s="5"/>
      <c r="E936" s="5"/>
      <c r="F936" s="5"/>
      <c r="G936" s="5"/>
      <c r="H936" s="6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T936" s="5"/>
      <c r="CW936" s="144"/>
      <c r="DG936" s="143"/>
    </row>
    <row r="937" spans="1:111" ht="11.25">
      <c r="A937" s="5"/>
      <c r="B937" s="6"/>
      <c r="C937" s="6"/>
      <c r="D937" s="5"/>
      <c r="E937" s="5"/>
      <c r="F937" s="5"/>
      <c r="G937" s="5"/>
      <c r="H937" s="6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T937" s="5"/>
      <c r="CW937" s="144"/>
      <c r="DG937" s="143"/>
    </row>
    <row r="938" spans="1:111" ht="11.25">
      <c r="A938" s="5"/>
      <c r="B938" s="6"/>
      <c r="C938" s="6"/>
      <c r="D938" s="5"/>
      <c r="E938" s="5"/>
      <c r="F938" s="5"/>
      <c r="G938" s="5"/>
      <c r="H938" s="6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T938" s="5"/>
      <c r="CW938" s="144"/>
      <c r="DG938" s="143"/>
    </row>
    <row r="939" spans="1:111" ht="11.25">
      <c r="A939" s="5"/>
      <c r="B939" s="6"/>
      <c r="C939" s="6"/>
      <c r="D939" s="5"/>
      <c r="E939" s="5"/>
      <c r="F939" s="5"/>
      <c r="G939" s="5"/>
      <c r="H939" s="6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T939" s="5"/>
      <c r="CW939" s="144"/>
      <c r="DG939" s="143"/>
    </row>
    <row r="940" spans="1:111" ht="11.25">
      <c r="A940" s="5"/>
      <c r="B940" s="6"/>
      <c r="C940" s="6"/>
      <c r="D940" s="5"/>
      <c r="E940" s="5"/>
      <c r="F940" s="5"/>
      <c r="G940" s="5"/>
      <c r="H940" s="6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T940" s="5"/>
      <c r="CW940" s="144"/>
      <c r="DG940" s="143"/>
    </row>
    <row r="941" spans="1:111" ht="11.25">
      <c r="A941" s="5"/>
      <c r="B941" s="6"/>
      <c r="C941" s="6"/>
      <c r="D941" s="5"/>
      <c r="E941" s="5"/>
      <c r="F941" s="5"/>
      <c r="G941" s="5"/>
      <c r="H941" s="6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T941" s="5"/>
      <c r="CW941" s="144"/>
      <c r="DG941" s="143"/>
    </row>
    <row r="942" spans="1:111" ht="11.25">
      <c r="A942" s="5"/>
      <c r="B942" s="6"/>
      <c r="C942" s="6"/>
      <c r="D942" s="5"/>
      <c r="E942" s="5"/>
      <c r="F942" s="5"/>
      <c r="G942" s="5"/>
      <c r="H942" s="6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T942" s="5"/>
      <c r="CW942" s="144"/>
      <c r="DG942" s="143"/>
    </row>
    <row r="943" spans="1:111" ht="11.25">
      <c r="A943" s="5"/>
      <c r="B943" s="6"/>
      <c r="C943" s="6"/>
      <c r="D943" s="5"/>
      <c r="E943" s="5"/>
      <c r="F943" s="5"/>
      <c r="G943" s="5"/>
      <c r="H943" s="6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T943" s="5"/>
      <c r="CW943" s="144"/>
      <c r="DG943" s="143"/>
    </row>
    <row r="944" spans="1:111" ht="11.25">
      <c r="A944" s="5"/>
      <c r="B944" s="6"/>
      <c r="C944" s="6"/>
      <c r="D944" s="5"/>
      <c r="E944" s="5"/>
      <c r="F944" s="5"/>
      <c r="G944" s="5"/>
      <c r="H944" s="6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T944" s="5"/>
      <c r="CW944" s="144"/>
      <c r="DG944" s="143"/>
    </row>
    <row r="945" spans="1:111" ht="11.25">
      <c r="A945" s="5"/>
      <c r="B945" s="6"/>
      <c r="C945" s="6"/>
      <c r="D945" s="5"/>
      <c r="E945" s="5"/>
      <c r="F945" s="5"/>
      <c r="G945" s="5"/>
      <c r="H945" s="6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T945" s="5"/>
      <c r="CW945" s="144"/>
      <c r="DG945" s="143"/>
    </row>
    <row r="946" spans="1:111" ht="11.25">
      <c r="A946" s="5"/>
      <c r="B946" s="6"/>
      <c r="C946" s="6"/>
      <c r="D946" s="5"/>
      <c r="E946" s="5"/>
      <c r="F946" s="5"/>
      <c r="G946" s="5"/>
      <c r="H946" s="6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T946" s="5"/>
      <c r="CW946" s="144"/>
      <c r="DG946" s="143"/>
    </row>
    <row r="947" spans="1:111" ht="11.25">
      <c r="A947" s="5"/>
      <c r="B947" s="6"/>
      <c r="C947" s="6"/>
      <c r="D947" s="5"/>
      <c r="E947" s="5"/>
      <c r="F947" s="5"/>
      <c r="G947" s="5"/>
      <c r="H947" s="6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T947" s="5"/>
      <c r="CW947" s="144"/>
      <c r="DG947" s="143"/>
    </row>
    <row r="948" spans="1:111" ht="11.25">
      <c r="A948" s="5"/>
      <c r="B948" s="6"/>
      <c r="C948" s="6"/>
      <c r="D948" s="5"/>
      <c r="E948" s="5"/>
      <c r="F948" s="5"/>
      <c r="G948" s="5"/>
      <c r="H948" s="6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T948" s="5"/>
      <c r="CW948" s="144"/>
      <c r="DG948" s="143"/>
    </row>
    <row r="949" spans="1:111" ht="11.25">
      <c r="A949" s="5"/>
      <c r="B949" s="6"/>
      <c r="C949" s="6"/>
      <c r="D949" s="5"/>
      <c r="E949" s="5"/>
      <c r="F949" s="5"/>
      <c r="G949" s="5"/>
      <c r="H949" s="6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T949" s="5"/>
      <c r="CW949" s="144"/>
      <c r="DG949" s="143"/>
    </row>
    <row r="950" spans="1:111" ht="11.25">
      <c r="A950" s="5"/>
      <c r="B950" s="6"/>
      <c r="C950" s="6"/>
      <c r="D950" s="5"/>
      <c r="E950" s="5"/>
      <c r="F950" s="5"/>
      <c r="G950" s="5"/>
      <c r="H950" s="6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T950" s="5"/>
      <c r="CW950" s="144"/>
      <c r="DG950" s="143"/>
    </row>
    <row r="951" spans="1:111" ht="11.25">
      <c r="A951" s="5"/>
      <c r="B951" s="6"/>
      <c r="C951" s="6"/>
      <c r="D951" s="5"/>
      <c r="E951" s="5"/>
      <c r="F951" s="5"/>
      <c r="G951" s="5"/>
      <c r="H951" s="6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T951" s="5"/>
      <c r="CW951" s="144"/>
      <c r="DG951" s="143"/>
    </row>
    <row r="952" spans="1:111" ht="11.25">
      <c r="A952" s="5"/>
      <c r="B952" s="6"/>
      <c r="C952" s="6"/>
      <c r="D952" s="5"/>
      <c r="E952" s="5"/>
      <c r="F952" s="5"/>
      <c r="G952" s="5"/>
      <c r="H952" s="6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T952" s="5"/>
      <c r="CW952" s="144"/>
      <c r="DG952" s="143"/>
    </row>
    <row r="953" spans="1:111" ht="11.25">
      <c r="A953" s="5"/>
      <c r="B953" s="6"/>
      <c r="C953" s="6"/>
      <c r="D953" s="5"/>
      <c r="E953" s="5"/>
      <c r="F953" s="5"/>
      <c r="G953" s="5"/>
      <c r="H953" s="6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T953" s="5"/>
      <c r="CW953" s="144"/>
      <c r="DG953" s="143"/>
    </row>
    <row r="954" spans="1:111" ht="11.25">
      <c r="A954" s="5"/>
      <c r="B954" s="6"/>
      <c r="C954" s="6"/>
      <c r="D954" s="5"/>
      <c r="E954" s="5"/>
      <c r="F954" s="5"/>
      <c r="G954" s="5"/>
      <c r="H954" s="6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T954" s="5"/>
      <c r="CW954" s="144"/>
      <c r="DG954" s="143"/>
    </row>
    <row r="955" spans="1:111" ht="11.25">
      <c r="A955" s="5"/>
      <c r="B955" s="6"/>
      <c r="C955" s="6"/>
      <c r="D955" s="5"/>
      <c r="E955" s="5"/>
      <c r="F955" s="5"/>
      <c r="G955" s="5"/>
      <c r="H955" s="6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T955" s="5"/>
      <c r="CW955" s="144"/>
      <c r="DG955" s="143"/>
    </row>
    <row r="956" spans="1:111" ht="11.25">
      <c r="A956" s="5"/>
      <c r="B956" s="6"/>
      <c r="C956" s="6"/>
      <c r="D956" s="5"/>
      <c r="E956" s="5"/>
      <c r="F956" s="5"/>
      <c r="G956" s="5"/>
      <c r="H956" s="6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T956" s="5"/>
      <c r="CW956" s="144"/>
      <c r="DG956" s="143"/>
    </row>
    <row r="957" spans="1:111" ht="11.25">
      <c r="A957" s="5"/>
      <c r="B957" s="6"/>
      <c r="C957" s="6"/>
      <c r="D957" s="5"/>
      <c r="E957" s="5"/>
      <c r="F957" s="5"/>
      <c r="G957" s="5"/>
      <c r="H957" s="6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T957" s="5"/>
      <c r="CW957" s="144"/>
      <c r="DG957" s="143"/>
    </row>
    <row r="958" spans="1:111" ht="11.25">
      <c r="A958" s="5"/>
      <c r="B958" s="6"/>
      <c r="C958" s="6"/>
      <c r="D958" s="5"/>
      <c r="E958" s="5"/>
      <c r="F958" s="5"/>
      <c r="G958" s="5"/>
      <c r="H958" s="6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T958" s="5"/>
      <c r="CW958" s="144"/>
      <c r="DG958" s="143"/>
    </row>
    <row r="959" spans="1:111" ht="11.25">
      <c r="A959" s="5"/>
      <c r="B959" s="6"/>
      <c r="C959" s="6"/>
      <c r="D959" s="5"/>
      <c r="E959" s="5"/>
      <c r="F959" s="5"/>
      <c r="G959" s="5"/>
      <c r="H959" s="6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T959" s="5"/>
      <c r="CW959" s="144"/>
      <c r="DG959" s="143"/>
    </row>
    <row r="960" spans="1:111" ht="11.25">
      <c r="A960" s="5"/>
      <c r="B960" s="6"/>
      <c r="C960" s="6"/>
      <c r="D960" s="5"/>
      <c r="E960" s="5"/>
      <c r="F960" s="5"/>
      <c r="G960" s="5"/>
      <c r="H960" s="6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T960" s="5"/>
      <c r="CW960" s="144"/>
      <c r="DG960" s="143"/>
    </row>
    <row r="961" spans="1:111" ht="11.25">
      <c r="A961" s="5"/>
      <c r="B961" s="6"/>
      <c r="C961" s="6"/>
      <c r="D961" s="5"/>
      <c r="E961" s="5"/>
      <c r="F961" s="5"/>
      <c r="G961" s="5"/>
      <c r="H961" s="6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T961" s="5"/>
      <c r="CW961" s="144"/>
      <c r="DG961" s="143"/>
    </row>
    <row r="962" spans="1:111" ht="11.25">
      <c r="A962" s="5"/>
      <c r="B962" s="6"/>
      <c r="C962" s="6"/>
      <c r="D962" s="5"/>
      <c r="E962" s="5"/>
      <c r="F962" s="5"/>
      <c r="G962" s="5"/>
      <c r="H962" s="6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T962" s="5"/>
      <c r="CW962" s="144"/>
      <c r="DG962" s="143"/>
    </row>
    <row r="963" spans="1:111" ht="11.25">
      <c r="A963" s="5"/>
      <c r="B963" s="6"/>
      <c r="C963" s="6"/>
      <c r="D963" s="5"/>
      <c r="E963" s="5"/>
      <c r="F963" s="5"/>
      <c r="G963" s="5"/>
      <c r="H963" s="6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T963" s="5"/>
      <c r="CW963" s="144"/>
      <c r="DG963" s="143"/>
    </row>
    <row r="964" spans="1:111" ht="11.25">
      <c r="A964" s="5"/>
      <c r="B964" s="6"/>
      <c r="C964" s="6"/>
      <c r="D964" s="5"/>
      <c r="E964" s="5"/>
      <c r="F964" s="5"/>
      <c r="G964" s="5"/>
      <c r="H964" s="6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T964" s="5"/>
      <c r="CW964" s="144"/>
      <c r="DG964" s="143"/>
    </row>
    <row r="965" spans="1:111" ht="11.25">
      <c r="A965" s="5"/>
      <c r="B965" s="6"/>
      <c r="C965" s="6"/>
      <c r="D965" s="5"/>
      <c r="E965" s="5"/>
      <c r="F965" s="5"/>
      <c r="G965" s="5"/>
      <c r="H965" s="6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T965" s="5"/>
      <c r="CW965" s="144"/>
      <c r="DG965" s="143"/>
    </row>
    <row r="966" spans="1:111" ht="11.25">
      <c r="A966" s="5"/>
      <c r="B966" s="6"/>
      <c r="C966" s="6"/>
      <c r="D966" s="5"/>
      <c r="E966" s="5"/>
      <c r="F966" s="5"/>
      <c r="G966" s="5"/>
      <c r="H966" s="6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T966" s="5"/>
      <c r="CW966" s="144"/>
      <c r="DG966" s="143"/>
    </row>
    <row r="967" spans="1:111" ht="11.25">
      <c r="A967" s="5"/>
      <c r="B967" s="6"/>
      <c r="C967" s="6"/>
      <c r="D967" s="5"/>
      <c r="E967" s="5"/>
      <c r="F967" s="5"/>
      <c r="G967" s="5"/>
      <c r="H967" s="6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T967" s="5"/>
      <c r="CW967" s="144"/>
      <c r="DG967" s="143"/>
    </row>
    <row r="968" spans="1:111" ht="11.25">
      <c r="A968" s="5"/>
      <c r="B968" s="6"/>
      <c r="C968" s="6"/>
      <c r="D968" s="5"/>
      <c r="E968" s="5"/>
      <c r="F968" s="5"/>
      <c r="G968" s="5"/>
      <c r="H968" s="6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T968" s="5"/>
      <c r="CW968" s="144"/>
      <c r="DG968" s="143"/>
    </row>
    <row r="969" spans="1:111" ht="11.25">
      <c r="A969" s="5"/>
      <c r="B969" s="6"/>
      <c r="C969" s="6"/>
      <c r="D969" s="5"/>
      <c r="E969" s="5"/>
      <c r="F969" s="5"/>
      <c r="G969" s="5"/>
      <c r="H969" s="6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T969" s="5"/>
      <c r="CW969" s="144"/>
      <c r="DG969" s="143"/>
    </row>
    <row r="970" spans="1:111" ht="11.25">
      <c r="A970" s="5"/>
      <c r="B970" s="6"/>
      <c r="C970" s="6"/>
      <c r="D970" s="5"/>
      <c r="E970" s="5"/>
      <c r="F970" s="5"/>
      <c r="G970" s="5"/>
      <c r="H970" s="6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T970" s="5"/>
      <c r="CW970" s="144"/>
      <c r="DG970" s="143"/>
    </row>
    <row r="971" spans="1:111" ht="11.25">
      <c r="A971" s="5"/>
      <c r="B971" s="6"/>
      <c r="C971" s="6"/>
      <c r="D971" s="5"/>
      <c r="E971" s="5"/>
      <c r="F971" s="5"/>
      <c r="G971" s="5"/>
      <c r="H971" s="6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T971" s="5"/>
      <c r="CW971" s="144"/>
      <c r="DG971" s="143"/>
    </row>
    <row r="972" spans="1:111" ht="11.25">
      <c r="A972" s="5"/>
      <c r="B972" s="6"/>
      <c r="C972" s="6"/>
      <c r="D972" s="5"/>
      <c r="E972" s="5"/>
      <c r="F972" s="5"/>
      <c r="G972" s="5"/>
      <c r="H972" s="6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T972" s="5"/>
      <c r="CW972" s="144"/>
      <c r="DG972" s="143"/>
    </row>
    <row r="973" spans="1:111" ht="11.25">
      <c r="A973" s="5"/>
      <c r="B973" s="6"/>
      <c r="C973" s="6"/>
      <c r="D973" s="5"/>
      <c r="E973" s="5"/>
      <c r="F973" s="5"/>
      <c r="G973" s="5"/>
      <c r="H973" s="6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T973" s="5"/>
      <c r="CW973" s="144"/>
      <c r="DG973" s="143"/>
    </row>
    <row r="974" spans="1:111" ht="11.25">
      <c r="A974" s="5"/>
      <c r="B974" s="6"/>
      <c r="C974" s="6"/>
      <c r="D974" s="5"/>
      <c r="E974" s="5"/>
      <c r="F974" s="5"/>
      <c r="G974" s="5"/>
      <c r="H974" s="6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T974" s="5"/>
      <c r="CW974" s="144"/>
      <c r="DG974" s="143"/>
    </row>
    <row r="975" spans="1:111" ht="11.25">
      <c r="A975" s="5"/>
      <c r="B975" s="6"/>
      <c r="C975" s="6"/>
      <c r="D975" s="5"/>
      <c r="E975" s="5"/>
      <c r="F975" s="5"/>
      <c r="G975" s="5"/>
      <c r="H975" s="6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T975" s="5"/>
      <c r="CW975" s="144"/>
      <c r="DG975" s="143"/>
    </row>
    <row r="976" spans="1:111" ht="11.25">
      <c r="A976" s="5"/>
      <c r="B976" s="6"/>
      <c r="C976" s="6"/>
      <c r="D976" s="5"/>
      <c r="E976" s="5"/>
      <c r="F976" s="5"/>
      <c r="G976" s="5"/>
      <c r="H976" s="6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T976" s="5"/>
      <c r="CW976" s="144"/>
      <c r="DG976" s="143"/>
    </row>
    <row r="977" spans="1:111" ht="11.25">
      <c r="A977" s="5"/>
      <c r="B977" s="6"/>
      <c r="C977" s="6"/>
      <c r="D977" s="5"/>
      <c r="E977" s="5"/>
      <c r="F977" s="5"/>
      <c r="G977" s="5"/>
      <c r="H977" s="6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T977" s="5"/>
      <c r="CW977" s="144"/>
      <c r="DG977" s="143"/>
    </row>
    <row r="978" spans="1:111" ht="11.25">
      <c r="A978" s="5"/>
      <c r="B978" s="6"/>
      <c r="C978" s="6"/>
      <c r="D978" s="5"/>
      <c r="E978" s="5"/>
      <c r="F978" s="5"/>
      <c r="G978" s="5"/>
      <c r="H978" s="6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T978" s="5"/>
      <c r="CW978" s="144"/>
      <c r="DG978" s="143"/>
    </row>
    <row r="979" spans="1:111" ht="11.25">
      <c r="A979" s="5"/>
      <c r="B979" s="6"/>
      <c r="C979" s="6"/>
      <c r="D979" s="5"/>
      <c r="E979" s="5"/>
      <c r="F979" s="5"/>
      <c r="G979" s="5"/>
      <c r="H979" s="6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T979" s="5"/>
      <c r="CW979" s="144"/>
      <c r="DG979" s="143"/>
    </row>
    <row r="980" spans="1:111" ht="11.25">
      <c r="A980" s="5"/>
      <c r="B980" s="6"/>
      <c r="C980" s="6"/>
      <c r="D980" s="5"/>
      <c r="E980" s="5"/>
      <c r="F980" s="5"/>
      <c r="G980" s="5"/>
      <c r="H980" s="6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T980" s="5"/>
      <c r="CW980" s="144"/>
      <c r="DG980" s="143"/>
    </row>
    <row r="981" spans="1:111" ht="11.25">
      <c r="A981" s="5"/>
      <c r="B981" s="6"/>
      <c r="C981" s="6"/>
      <c r="D981" s="5"/>
      <c r="E981" s="5"/>
      <c r="F981" s="5"/>
      <c r="G981" s="5"/>
      <c r="H981" s="6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T981" s="5"/>
      <c r="CW981" s="144"/>
      <c r="DG981" s="143"/>
    </row>
    <row r="982" spans="1:111" ht="11.25">
      <c r="A982" s="5"/>
      <c r="B982" s="6"/>
      <c r="C982" s="6"/>
      <c r="D982" s="5"/>
      <c r="E982" s="5"/>
      <c r="F982" s="5"/>
      <c r="G982" s="5"/>
      <c r="H982" s="6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T982" s="5"/>
      <c r="CW982" s="144"/>
      <c r="DG982" s="143"/>
    </row>
    <row r="983" spans="1:111" ht="11.25">
      <c r="A983" s="5"/>
      <c r="B983" s="6"/>
      <c r="C983" s="6"/>
      <c r="D983" s="5"/>
      <c r="E983" s="5"/>
      <c r="F983" s="5"/>
      <c r="G983" s="5"/>
      <c r="H983" s="6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T983" s="5"/>
      <c r="CW983" s="144"/>
      <c r="DG983" s="143"/>
    </row>
    <row r="984" spans="1:111" ht="11.25">
      <c r="A984" s="5"/>
      <c r="B984" s="6"/>
      <c r="C984" s="6"/>
      <c r="D984" s="5"/>
      <c r="E984" s="5"/>
      <c r="F984" s="5"/>
      <c r="G984" s="5"/>
      <c r="H984" s="6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T984" s="5"/>
      <c r="CW984" s="144"/>
      <c r="DG984" s="143"/>
    </row>
    <row r="985" spans="1:111" ht="11.25">
      <c r="A985" s="5"/>
      <c r="B985" s="6"/>
      <c r="C985" s="6"/>
      <c r="D985" s="5"/>
      <c r="E985" s="5"/>
      <c r="F985" s="5"/>
      <c r="G985" s="5"/>
      <c r="H985" s="6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T985" s="5"/>
      <c r="CW985" s="144"/>
      <c r="DG985" s="143"/>
    </row>
    <row r="986" spans="1:111" ht="11.25">
      <c r="A986" s="5"/>
      <c r="B986" s="6"/>
      <c r="C986" s="6"/>
      <c r="D986" s="5"/>
      <c r="E986" s="5"/>
      <c r="F986" s="5"/>
      <c r="G986" s="5"/>
      <c r="H986" s="6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T986" s="5"/>
      <c r="CW986" s="144"/>
      <c r="DG986" s="143"/>
    </row>
    <row r="987" spans="1:111" ht="11.25">
      <c r="A987" s="5"/>
      <c r="B987" s="6"/>
      <c r="C987" s="6"/>
      <c r="D987" s="5"/>
      <c r="E987" s="5"/>
      <c r="F987" s="5"/>
      <c r="G987" s="5"/>
      <c r="H987" s="6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T987" s="5"/>
      <c r="CW987" s="144"/>
      <c r="DG987" s="143"/>
    </row>
    <row r="988" spans="1:111" ht="11.25">
      <c r="A988" s="5"/>
      <c r="B988" s="6"/>
      <c r="C988" s="6"/>
      <c r="D988" s="5"/>
      <c r="E988" s="5"/>
      <c r="F988" s="5"/>
      <c r="G988" s="5"/>
      <c r="H988" s="6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T988" s="5"/>
      <c r="CW988" s="144"/>
      <c r="DG988" s="143"/>
    </row>
    <row r="989" spans="1:111" ht="11.25">
      <c r="A989" s="5"/>
      <c r="B989" s="6"/>
      <c r="C989" s="6"/>
      <c r="D989" s="5"/>
      <c r="E989" s="5"/>
      <c r="F989" s="5"/>
      <c r="G989" s="5"/>
      <c r="H989" s="6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T989" s="5"/>
      <c r="CW989" s="144"/>
      <c r="DG989" s="143"/>
    </row>
    <row r="990" spans="1:111" ht="11.25">
      <c r="A990" s="5"/>
      <c r="B990" s="6"/>
      <c r="C990" s="6"/>
      <c r="D990" s="5"/>
      <c r="E990" s="5"/>
      <c r="F990" s="5"/>
      <c r="G990" s="5"/>
      <c r="H990" s="6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T990" s="5"/>
      <c r="CW990" s="144"/>
      <c r="DG990" s="143"/>
    </row>
    <row r="991" spans="1:111" ht="11.25">
      <c r="A991" s="5"/>
      <c r="B991" s="6"/>
      <c r="C991" s="6"/>
      <c r="D991" s="5"/>
      <c r="E991" s="5"/>
      <c r="F991" s="5"/>
      <c r="G991" s="5"/>
      <c r="H991" s="6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T991" s="5"/>
      <c r="CW991" s="144"/>
      <c r="DG991" s="143"/>
    </row>
    <row r="992" spans="1:111" ht="11.25">
      <c r="A992" s="5"/>
      <c r="B992" s="6"/>
      <c r="C992" s="6"/>
      <c r="D992" s="5"/>
      <c r="E992" s="5"/>
      <c r="F992" s="5"/>
      <c r="G992" s="5"/>
      <c r="H992" s="6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T992" s="5"/>
      <c r="CW992" s="144"/>
      <c r="DG992" s="143"/>
    </row>
    <row r="993" spans="1:111" ht="11.25">
      <c r="A993" s="5"/>
      <c r="B993" s="6"/>
      <c r="C993" s="6"/>
      <c r="D993" s="5"/>
      <c r="E993" s="5"/>
      <c r="F993" s="5"/>
      <c r="G993" s="5"/>
      <c r="H993" s="6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T993" s="5"/>
      <c r="CW993" s="144"/>
      <c r="DG993" s="143"/>
    </row>
    <row r="994" spans="1:111" ht="11.25">
      <c r="A994" s="5"/>
      <c r="B994" s="6"/>
      <c r="C994" s="6"/>
      <c r="D994" s="5"/>
      <c r="E994" s="5"/>
      <c r="F994" s="5"/>
      <c r="G994" s="5"/>
      <c r="H994" s="6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T994" s="5"/>
      <c r="CW994" s="144"/>
      <c r="DG994" s="143"/>
    </row>
    <row r="995" spans="1:111" ht="11.25">
      <c r="A995" s="5"/>
      <c r="B995" s="6"/>
      <c r="C995" s="6"/>
      <c r="D995" s="5"/>
      <c r="E995" s="5"/>
      <c r="F995" s="5"/>
      <c r="G995" s="5"/>
      <c r="H995" s="6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T995" s="5"/>
      <c r="CW995" s="144"/>
      <c r="DG995" s="143"/>
    </row>
    <row r="996" spans="1:111" ht="11.25">
      <c r="A996" s="5"/>
      <c r="B996" s="6"/>
      <c r="C996" s="6"/>
      <c r="D996" s="5"/>
      <c r="E996" s="5"/>
      <c r="F996" s="5"/>
      <c r="G996" s="5"/>
      <c r="H996" s="6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T996" s="5"/>
      <c r="CW996" s="144"/>
      <c r="DG996" s="143"/>
    </row>
    <row r="997" spans="1:111" ht="11.25">
      <c r="A997" s="5"/>
      <c r="B997" s="6"/>
      <c r="C997" s="6"/>
      <c r="D997" s="5"/>
      <c r="E997" s="5"/>
      <c r="F997" s="5"/>
      <c r="G997" s="5"/>
      <c r="H997" s="6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T997" s="5"/>
      <c r="CW997" s="144"/>
      <c r="DG997" s="143"/>
    </row>
    <row r="998" spans="1:111" ht="11.25">
      <c r="A998" s="5"/>
      <c r="B998" s="6"/>
      <c r="C998" s="6"/>
      <c r="D998" s="5"/>
      <c r="E998" s="5"/>
      <c r="F998" s="5"/>
      <c r="G998" s="5"/>
      <c r="H998" s="6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T998" s="5"/>
      <c r="CW998" s="144"/>
      <c r="DG998" s="143"/>
    </row>
    <row r="999" spans="1:111" ht="11.25">
      <c r="A999" s="5"/>
      <c r="B999" s="6"/>
      <c r="C999" s="6"/>
      <c r="D999" s="5"/>
      <c r="E999" s="5"/>
      <c r="F999" s="5"/>
      <c r="G999" s="5"/>
      <c r="H999" s="6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T999" s="5"/>
      <c r="CW999" s="144"/>
      <c r="DG999" s="143"/>
    </row>
    <row r="1000" spans="1:111" ht="11.25">
      <c r="A1000" s="5"/>
      <c r="B1000" s="6"/>
      <c r="C1000" s="6"/>
      <c r="D1000" s="5"/>
      <c r="E1000" s="5"/>
      <c r="F1000" s="5"/>
      <c r="G1000" s="5"/>
      <c r="H1000" s="6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  <c r="CI1000" s="5"/>
      <c r="CJ1000" s="5"/>
      <c r="CK1000" s="5"/>
      <c r="CL1000" s="5"/>
      <c r="CT1000" s="5"/>
      <c r="CW1000" s="144"/>
      <c r="DG1000" s="143"/>
    </row>
    <row r="1001" spans="1:111" ht="11.25">
      <c r="A1001" s="5"/>
      <c r="B1001" s="6"/>
      <c r="C1001" s="6"/>
      <c r="D1001" s="5"/>
      <c r="E1001" s="5"/>
      <c r="F1001" s="5"/>
      <c r="G1001" s="5"/>
      <c r="H1001" s="6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T1001" s="5"/>
      <c r="CW1001" s="144"/>
      <c r="DG1001" s="143"/>
    </row>
    <row r="1002" spans="1:111" ht="11.25">
      <c r="A1002" s="5"/>
      <c r="B1002" s="6"/>
      <c r="C1002" s="6"/>
      <c r="D1002" s="5"/>
      <c r="E1002" s="5"/>
      <c r="F1002" s="5"/>
      <c r="G1002" s="5"/>
      <c r="H1002" s="6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  <c r="CI1002" s="5"/>
      <c r="CJ1002" s="5"/>
      <c r="CK1002" s="5"/>
      <c r="CL1002" s="5"/>
      <c r="CT1002" s="5"/>
      <c r="CW1002" s="144"/>
      <c r="DG1002" s="143"/>
    </row>
    <row r="1003" spans="1:111" ht="11.25">
      <c r="A1003" s="5"/>
      <c r="B1003" s="6"/>
      <c r="C1003" s="6"/>
      <c r="D1003" s="5"/>
      <c r="E1003" s="5"/>
      <c r="F1003" s="5"/>
      <c r="G1003" s="5"/>
      <c r="H1003" s="6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  <c r="CI1003" s="5"/>
      <c r="CJ1003" s="5"/>
      <c r="CK1003" s="5"/>
      <c r="CL1003" s="5"/>
      <c r="CT1003" s="5"/>
      <c r="CW1003" s="144"/>
      <c r="DG1003" s="143"/>
    </row>
    <row r="1004" spans="1:111" ht="11.25">
      <c r="A1004" s="5"/>
      <c r="B1004" s="6"/>
      <c r="C1004" s="6"/>
      <c r="D1004" s="5"/>
      <c r="E1004" s="5"/>
      <c r="F1004" s="5"/>
      <c r="G1004" s="5"/>
      <c r="H1004" s="6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  <c r="CI1004" s="5"/>
      <c r="CJ1004" s="5"/>
      <c r="CK1004" s="5"/>
      <c r="CL1004" s="5"/>
      <c r="CT1004" s="5"/>
      <c r="CW1004" s="144"/>
      <c r="DG1004" s="143"/>
    </row>
    <row r="1005" spans="1:111" ht="11.25">
      <c r="A1005" s="5"/>
      <c r="B1005" s="6"/>
      <c r="C1005" s="6"/>
      <c r="D1005" s="5"/>
      <c r="E1005" s="5"/>
      <c r="F1005" s="5"/>
      <c r="G1005" s="5"/>
      <c r="H1005" s="6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  <c r="CI1005" s="5"/>
      <c r="CJ1005" s="5"/>
      <c r="CK1005" s="5"/>
      <c r="CL1005" s="5"/>
      <c r="CT1005" s="5"/>
      <c r="CW1005" s="144"/>
      <c r="DG1005" s="143"/>
    </row>
    <row r="1006" spans="1:111" ht="11.25">
      <c r="A1006" s="5"/>
      <c r="B1006" s="6"/>
      <c r="C1006" s="6"/>
      <c r="D1006" s="5"/>
      <c r="E1006" s="5"/>
      <c r="F1006" s="5"/>
      <c r="G1006" s="5"/>
      <c r="H1006" s="6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  <c r="CI1006" s="5"/>
      <c r="CJ1006" s="5"/>
      <c r="CK1006" s="5"/>
      <c r="CL1006" s="5"/>
      <c r="CT1006" s="5"/>
      <c r="CW1006" s="144"/>
      <c r="DG1006" s="143"/>
    </row>
    <row r="1007" spans="1:111" ht="11.25">
      <c r="A1007" s="5"/>
      <c r="B1007" s="6"/>
      <c r="C1007" s="6"/>
      <c r="D1007" s="5"/>
      <c r="E1007" s="5"/>
      <c r="F1007" s="5"/>
      <c r="G1007" s="5"/>
      <c r="H1007" s="6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  <c r="CI1007" s="5"/>
      <c r="CJ1007" s="5"/>
      <c r="CK1007" s="5"/>
      <c r="CL1007" s="5"/>
      <c r="CT1007" s="5"/>
      <c r="CW1007" s="144"/>
      <c r="DG1007" s="143"/>
    </row>
    <row r="1008" spans="1:111" ht="11.25">
      <c r="A1008" s="5"/>
      <c r="B1008" s="6"/>
      <c r="C1008" s="6"/>
      <c r="D1008" s="5"/>
      <c r="E1008" s="5"/>
      <c r="F1008" s="5"/>
      <c r="G1008" s="5"/>
      <c r="H1008" s="6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  <c r="CI1008" s="5"/>
      <c r="CJ1008" s="5"/>
      <c r="CK1008" s="5"/>
      <c r="CL1008" s="5"/>
      <c r="CT1008" s="5"/>
      <c r="CW1008" s="144"/>
      <c r="DG1008" s="143"/>
    </row>
    <row r="1009" spans="1:111" ht="11.25">
      <c r="A1009" s="5"/>
      <c r="B1009" s="6"/>
      <c r="C1009" s="6"/>
      <c r="D1009" s="5"/>
      <c r="E1009" s="5"/>
      <c r="F1009" s="5"/>
      <c r="G1009" s="5"/>
      <c r="H1009" s="6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  <c r="CI1009" s="5"/>
      <c r="CJ1009" s="5"/>
      <c r="CK1009" s="5"/>
      <c r="CL1009" s="5"/>
      <c r="CT1009" s="5"/>
      <c r="CW1009" s="144"/>
      <c r="DG1009" s="143"/>
    </row>
    <row r="1010" spans="1:111" ht="11.25">
      <c r="A1010" s="5"/>
      <c r="B1010" s="6"/>
      <c r="C1010" s="6"/>
      <c r="D1010" s="5"/>
      <c r="E1010" s="5"/>
      <c r="F1010" s="5"/>
      <c r="G1010" s="5"/>
      <c r="H1010" s="6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  <c r="CI1010" s="5"/>
      <c r="CJ1010" s="5"/>
      <c r="CK1010" s="5"/>
      <c r="CL1010" s="5"/>
      <c r="CT1010" s="5"/>
      <c r="CW1010" s="144"/>
      <c r="DG1010" s="143"/>
    </row>
    <row r="1011" spans="1:111" ht="11.25">
      <c r="A1011" s="5"/>
      <c r="B1011" s="6"/>
      <c r="C1011" s="6"/>
      <c r="D1011" s="5"/>
      <c r="E1011" s="5"/>
      <c r="F1011" s="5"/>
      <c r="G1011" s="5"/>
      <c r="H1011" s="6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  <c r="CI1011" s="5"/>
      <c r="CJ1011" s="5"/>
      <c r="CK1011" s="5"/>
      <c r="CL1011" s="5"/>
      <c r="CT1011" s="5"/>
      <c r="CW1011" s="144"/>
      <c r="DG1011" s="143"/>
    </row>
    <row r="1012" spans="1:111" ht="11.25">
      <c r="A1012" s="5"/>
      <c r="B1012" s="6"/>
      <c r="C1012" s="6"/>
      <c r="D1012" s="5"/>
      <c r="E1012" s="5"/>
      <c r="F1012" s="5"/>
      <c r="G1012" s="5"/>
      <c r="H1012" s="6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  <c r="CI1012" s="5"/>
      <c r="CJ1012" s="5"/>
      <c r="CK1012" s="5"/>
      <c r="CL1012" s="5"/>
      <c r="CT1012" s="5"/>
      <c r="CW1012" s="144"/>
      <c r="DG1012" s="143"/>
    </row>
    <row r="1013" spans="1:111" ht="11.25">
      <c r="A1013" s="5"/>
      <c r="B1013" s="6"/>
      <c r="C1013" s="6"/>
      <c r="D1013" s="5"/>
      <c r="E1013" s="5"/>
      <c r="F1013" s="5"/>
      <c r="G1013" s="5"/>
      <c r="H1013" s="6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  <c r="CI1013" s="5"/>
      <c r="CJ1013" s="5"/>
      <c r="CK1013" s="5"/>
      <c r="CL1013" s="5"/>
      <c r="CT1013" s="5"/>
      <c r="CW1013" s="144"/>
      <c r="DG1013" s="143"/>
    </row>
    <row r="1014" spans="1:111" ht="11.25">
      <c r="A1014" s="5"/>
      <c r="B1014" s="6"/>
      <c r="C1014" s="6"/>
      <c r="D1014" s="5"/>
      <c r="E1014" s="5"/>
      <c r="F1014" s="5"/>
      <c r="G1014" s="5"/>
      <c r="H1014" s="6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  <c r="CI1014" s="5"/>
      <c r="CJ1014" s="5"/>
      <c r="CK1014" s="5"/>
      <c r="CL1014" s="5"/>
      <c r="CT1014" s="5"/>
      <c r="CW1014" s="144"/>
      <c r="DG1014" s="143"/>
    </row>
    <row r="1015" spans="1:111" ht="11.25">
      <c r="A1015" s="5"/>
      <c r="B1015" s="6"/>
      <c r="C1015" s="6"/>
      <c r="D1015" s="5"/>
      <c r="E1015" s="5"/>
      <c r="F1015" s="5"/>
      <c r="G1015" s="5"/>
      <c r="H1015" s="6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  <c r="CI1015" s="5"/>
      <c r="CJ1015" s="5"/>
      <c r="CK1015" s="5"/>
      <c r="CL1015" s="5"/>
      <c r="CT1015" s="5"/>
      <c r="CW1015" s="144"/>
      <c r="DG1015" s="143"/>
    </row>
    <row r="1016" spans="1:111" ht="11.25">
      <c r="A1016" s="5"/>
      <c r="B1016" s="6"/>
      <c r="C1016" s="6"/>
      <c r="D1016" s="5"/>
      <c r="E1016" s="5"/>
      <c r="F1016" s="5"/>
      <c r="G1016" s="5"/>
      <c r="H1016" s="6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  <c r="CI1016" s="5"/>
      <c r="CJ1016" s="5"/>
      <c r="CK1016" s="5"/>
      <c r="CL1016" s="5"/>
      <c r="CT1016" s="5"/>
      <c r="CW1016" s="144"/>
      <c r="DG1016" s="143"/>
    </row>
    <row r="1017" spans="1:111" ht="11.25">
      <c r="A1017" s="5"/>
      <c r="B1017" s="6"/>
      <c r="C1017" s="6"/>
      <c r="D1017" s="5"/>
      <c r="E1017" s="5"/>
      <c r="F1017" s="5"/>
      <c r="G1017" s="5"/>
      <c r="H1017" s="6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  <c r="CI1017" s="5"/>
      <c r="CJ1017" s="5"/>
      <c r="CK1017" s="5"/>
      <c r="CL1017" s="5"/>
      <c r="CT1017" s="5"/>
      <c r="CW1017" s="144"/>
      <c r="DG1017" s="143"/>
    </row>
    <row r="1018" spans="1:111" ht="11.25">
      <c r="A1018" s="5"/>
      <c r="B1018" s="6"/>
      <c r="C1018" s="6"/>
      <c r="D1018" s="5"/>
      <c r="E1018" s="5"/>
      <c r="F1018" s="5"/>
      <c r="G1018" s="5"/>
      <c r="H1018" s="6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  <c r="CI1018" s="5"/>
      <c r="CJ1018" s="5"/>
      <c r="CK1018" s="5"/>
      <c r="CL1018" s="5"/>
      <c r="CT1018" s="5"/>
      <c r="CW1018" s="144"/>
      <c r="DG1018" s="143"/>
    </row>
    <row r="1019" spans="1:111" ht="11.25">
      <c r="A1019" s="5"/>
      <c r="B1019" s="6"/>
      <c r="C1019" s="6"/>
      <c r="D1019" s="5"/>
      <c r="E1019" s="5"/>
      <c r="F1019" s="5"/>
      <c r="G1019" s="5"/>
      <c r="H1019" s="6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  <c r="CI1019" s="5"/>
      <c r="CJ1019" s="5"/>
      <c r="CK1019" s="5"/>
      <c r="CL1019" s="5"/>
      <c r="CT1019" s="5"/>
      <c r="CW1019" s="144"/>
      <c r="DG1019" s="143"/>
    </row>
    <row r="1020" spans="1:111" ht="11.25">
      <c r="A1020" s="5"/>
      <c r="B1020" s="6"/>
      <c r="C1020" s="6"/>
      <c r="D1020" s="5"/>
      <c r="E1020" s="5"/>
      <c r="F1020" s="5"/>
      <c r="G1020" s="5"/>
      <c r="H1020" s="6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  <c r="CI1020" s="5"/>
      <c r="CJ1020" s="5"/>
      <c r="CK1020" s="5"/>
      <c r="CL1020" s="5"/>
      <c r="CT1020" s="5"/>
      <c r="CW1020" s="144"/>
      <c r="DG1020" s="143"/>
    </row>
    <row r="1021" spans="1:111" ht="11.25">
      <c r="A1021" s="5"/>
      <c r="B1021" s="6"/>
      <c r="C1021" s="6"/>
      <c r="D1021" s="5"/>
      <c r="E1021" s="5"/>
      <c r="F1021" s="5"/>
      <c r="G1021" s="5"/>
      <c r="H1021" s="6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  <c r="CI1021" s="5"/>
      <c r="CJ1021" s="5"/>
      <c r="CK1021" s="5"/>
      <c r="CL1021" s="5"/>
      <c r="CT1021" s="5"/>
      <c r="CW1021" s="144"/>
      <c r="DG1021" s="143"/>
    </row>
    <row r="1022" spans="1:111" ht="11.25">
      <c r="A1022" s="5"/>
      <c r="B1022" s="6"/>
      <c r="C1022" s="6"/>
      <c r="D1022" s="5"/>
      <c r="E1022" s="5"/>
      <c r="F1022" s="5"/>
      <c r="G1022" s="5"/>
      <c r="H1022" s="6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  <c r="CI1022" s="5"/>
      <c r="CJ1022" s="5"/>
      <c r="CK1022" s="5"/>
      <c r="CL1022" s="5"/>
      <c r="CT1022" s="5"/>
      <c r="CW1022" s="144"/>
      <c r="DG1022" s="143"/>
    </row>
    <row r="1023" spans="1:111" ht="11.25">
      <c r="A1023" s="5"/>
      <c r="B1023" s="6"/>
      <c r="C1023" s="6"/>
      <c r="D1023" s="5"/>
      <c r="E1023" s="5"/>
      <c r="F1023" s="5"/>
      <c r="G1023" s="5"/>
      <c r="H1023" s="6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  <c r="CI1023" s="5"/>
      <c r="CJ1023" s="5"/>
      <c r="CK1023" s="5"/>
      <c r="CL1023" s="5"/>
      <c r="CT1023" s="5"/>
      <c r="CW1023" s="144"/>
      <c r="DG1023" s="143"/>
    </row>
    <row r="1024" spans="1:111" ht="11.25">
      <c r="A1024" s="5"/>
      <c r="B1024" s="6"/>
      <c r="C1024" s="6"/>
      <c r="D1024" s="5"/>
      <c r="E1024" s="5"/>
      <c r="F1024" s="5"/>
      <c r="G1024" s="5"/>
      <c r="H1024" s="6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  <c r="CI1024" s="5"/>
      <c r="CJ1024" s="5"/>
      <c r="CK1024" s="5"/>
      <c r="CL1024" s="5"/>
      <c r="CT1024" s="5"/>
      <c r="CW1024" s="144"/>
      <c r="DG1024" s="143"/>
    </row>
    <row r="1025" spans="1:111" ht="11.25">
      <c r="A1025" s="5"/>
      <c r="B1025" s="6"/>
      <c r="C1025" s="6"/>
      <c r="D1025" s="5"/>
      <c r="E1025" s="5"/>
      <c r="F1025" s="5"/>
      <c r="G1025" s="5"/>
      <c r="H1025" s="6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  <c r="CI1025" s="5"/>
      <c r="CJ1025" s="5"/>
      <c r="CK1025" s="5"/>
      <c r="CL1025" s="5"/>
      <c r="CT1025" s="5"/>
      <c r="CW1025" s="144"/>
      <c r="DG1025" s="143"/>
    </row>
    <row r="1026" spans="1:111" ht="11.25">
      <c r="A1026" s="5"/>
      <c r="B1026" s="6"/>
      <c r="C1026" s="6"/>
      <c r="D1026" s="5"/>
      <c r="E1026" s="5"/>
      <c r="F1026" s="5"/>
      <c r="G1026" s="5"/>
      <c r="H1026" s="6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  <c r="CI1026" s="5"/>
      <c r="CJ1026" s="5"/>
      <c r="CK1026" s="5"/>
      <c r="CL1026" s="5"/>
      <c r="CT1026" s="5"/>
      <c r="CW1026" s="144"/>
      <c r="DG1026" s="143"/>
    </row>
    <row r="1027" spans="1:111" ht="11.25">
      <c r="A1027" s="5"/>
      <c r="B1027" s="6"/>
      <c r="C1027" s="6"/>
      <c r="D1027" s="5"/>
      <c r="E1027" s="5"/>
      <c r="F1027" s="5"/>
      <c r="G1027" s="5"/>
      <c r="H1027" s="6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  <c r="CI1027" s="5"/>
      <c r="CJ1027" s="5"/>
      <c r="CK1027" s="5"/>
      <c r="CL1027" s="5"/>
      <c r="CT1027" s="5"/>
      <c r="CW1027" s="144"/>
      <c r="DG1027" s="143"/>
    </row>
    <row r="1028" spans="1:111" ht="11.25">
      <c r="A1028" s="5"/>
      <c r="B1028" s="6"/>
      <c r="C1028" s="6"/>
      <c r="D1028" s="5"/>
      <c r="E1028" s="5"/>
      <c r="F1028" s="5"/>
      <c r="G1028" s="5"/>
      <c r="H1028" s="6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  <c r="CI1028" s="5"/>
      <c r="CJ1028" s="5"/>
      <c r="CK1028" s="5"/>
      <c r="CL1028" s="5"/>
      <c r="CT1028" s="5"/>
      <c r="CW1028" s="144"/>
      <c r="DG1028" s="143"/>
    </row>
    <row r="1029" spans="1:111" ht="11.25">
      <c r="A1029" s="5"/>
      <c r="B1029" s="6"/>
      <c r="C1029" s="6"/>
      <c r="D1029" s="5"/>
      <c r="E1029" s="5"/>
      <c r="F1029" s="5"/>
      <c r="G1029" s="5"/>
      <c r="H1029" s="6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  <c r="CI1029" s="5"/>
      <c r="CJ1029" s="5"/>
      <c r="CK1029" s="5"/>
      <c r="CL1029" s="5"/>
      <c r="CT1029" s="5"/>
      <c r="CW1029" s="144"/>
      <c r="DG1029" s="143"/>
    </row>
    <row r="1030" spans="1:111" ht="11.25">
      <c r="A1030" s="5"/>
      <c r="B1030" s="6"/>
      <c r="C1030" s="6"/>
      <c r="D1030" s="5"/>
      <c r="E1030" s="5"/>
      <c r="F1030" s="5"/>
      <c r="G1030" s="5"/>
      <c r="H1030" s="6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  <c r="CI1030" s="5"/>
      <c r="CJ1030" s="5"/>
      <c r="CK1030" s="5"/>
      <c r="CL1030" s="5"/>
      <c r="CT1030" s="5"/>
      <c r="CW1030" s="144"/>
      <c r="DG1030" s="143"/>
    </row>
    <row r="1031" spans="1:111" ht="11.25">
      <c r="A1031" s="5"/>
      <c r="B1031" s="6"/>
      <c r="C1031" s="6"/>
      <c r="D1031" s="5"/>
      <c r="E1031" s="5"/>
      <c r="F1031" s="5"/>
      <c r="G1031" s="5"/>
      <c r="H1031" s="6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  <c r="CI1031" s="5"/>
      <c r="CJ1031" s="5"/>
      <c r="CK1031" s="5"/>
      <c r="CL1031" s="5"/>
      <c r="CT1031" s="5"/>
      <c r="CW1031" s="144"/>
      <c r="DG1031" s="143"/>
    </row>
    <row r="1032" spans="1:111" ht="11.25">
      <c r="A1032" s="5"/>
      <c r="B1032" s="6"/>
      <c r="C1032" s="6"/>
      <c r="D1032" s="5"/>
      <c r="E1032" s="5"/>
      <c r="F1032" s="5"/>
      <c r="G1032" s="5"/>
      <c r="H1032" s="6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  <c r="CI1032" s="5"/>
      <c r="CJ1032" s="5"/>
      <c r="CK1032" s="5"/>
      <c r="CL1032" s="5"/>
      <c r="CT1032" s="5"/>
      <c r="CW1032" s="144"/>
      <c r="DG1032" s="143"/>
    </row>
    <row r="1033" spans="1:111" ht="11.25">
      <c r="A1033" s="5"/>
      <c r="B1033" s="6"/>
      <c r="C1033" s="6"/>
      <c r="D1033" s="5"/>
      <c r="E1033" s="5"/>
      <c r="F1033" s="5"/>
      <c r="G1033" s="5"/>
      <c r="H1033" s="6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  <c r="CI1033" s="5"/>
      <c r="CJ1033" s="5"/>
      <c r="CK1033" s="5"/>
      <c r="CL1033" s="5"/>
      <c r="CT1033" s="5"/>
      <c r="CW1033" s="144"/>
      <c r="DG1033" s="143"/>
    </row>
    <row r="1034" spans="1:111" ht="11.25">
      <c r="A1034" s="5"/>
      <c r="B1034" s="6"/>
      <c r="C1034" s="6"/>
      <c r="D1034" s="5"/>
      <c r="E1034" s="5"/>
      <c r="F1034" s="5"/>
      <c r="G1034" s="5"/>
      <c r="H1034" s="6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  <c r="CI1034" s="5"/>
      <c r="CJ1034" s="5"/>
      <c r="CK1034" s="5"/>
      <c r="CL1034" s="5"/>
      <c r="CT1034" s="5"/>
      <c r="CW1034" s="144"/>
      <c r="DG1034" s="143"/>
    </row>
    <row r="1035" spans="1:111" ht="11.25">
      <c r="A1035" s="5"/>
      <c r="B1035" s="6"/>
      <c r="C1035" s="6"/>
      <c r="D1035" s="5"/>
      <c r="E1035" s="5"/>
      <c r="F1035" s="5"/>
      <c r="G1035" s="5"/>
      <c r="H1035" s="6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  <c r="CI1035" s="5"/>
      <c r="CJ1035" s="5"/>
      <c r="CK1035" s="5"/>
      <c r="CL1035" s="5"/>
      <c r="CT1035" s="5"/>
      <c r="CW1035" s="144"/>
      <c r="DG1035" s="143"/>
    </row>
    <row r="1036" spans="1:111" ht="11.25">
      <c r="A1036" s="5"/>
      <c r="B1036" s="6"/>
      <c r="C1036" s="6"/>
      <c r="D1036" s="5"/>
      <c r="E1036" s="5"/>
      <c r="F1036" s="5"/>
      <c r="G1036" s="5"/>
      <c r="H1036" s="6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  <c r="CI1036" s="5"/>
      <c r="CJ1036" s="5"/>
      <c r="CK1036" s="5"/>
      <c r="CL1036" s="5"/>
      <c r="CT1036" s="5"/>
      <c r="CW1036" s="144"/>
      <c r="DG1036" s="143"/>
    </row>
    <row r="1037" spans="1:111" ht="11.25">
      <c r="A1037" s="5"/>
      <c r="B1037" s="6"/>
      <c r="C1037" s="6"/>
      <c r="D1037" s="5"/>
      <c r="E1037" s="5"/>
      <c r="F1037" s="5"/>
      <c r="G1037" s="5"/>
      <c r="H1037" s="6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  <c r="CI1037" s="5"/>
      <c r="CJ1037" s="5"/>
      <c r="CK1037" s="5"/>
      <c r="CL1037" s="5"/>
      <c r="CT1037" s="5"/>
      <c r="CW1037" s="144"/>
      <c r="DG1037" s="143"/>
    </row>
    <row r="1038" spans="1:111" ht="11.25">
      <c r="A1038" s="5"/>
      <c r="B1038" s="6"/>
      <c r="C1038" s="6"/>
      <c r="D1038" s="5"/>
      <c r="E1038" s="5"/>
      <c r="F1038" s="5"/>
      <c r="G1038" s="5"/>
      <c r="H1038" s="6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  <c r="CI1038" s="5"/>
      <c r="CJ1038" s="5"/>
      <c r="CK1038" s="5"/>
      <c r="CL1038" s="5"/>
      <c r="CT1038" s="5"/>
      <c r="CW1038" s="144"/>
      <c r="DG1038" s="143"/>
    </row>
    <row r="1039" spans="1:111" ht="11.25">
      <c r="A1039" s="5"/>
      <c r="B1039" s="6"/>
      <c r="C1039" s="6"/>
      <c r="D1039" s="5"/>
      <c r="E1039" s="5"/>
      <c r="F1039" s="5"/>
      <c r="G1039" s="5"/>
      <c r="H1039" s="6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  <c r="CI1039" s="5"/>
      <c r="CJ1039" s="5"/>
      <c r="CK1039" s="5"/>
      <c r="CL1039" s="5"/>
      <c r="CT1039" s="5"/>
      <c r="CW1039" s="144"/>
      <c r="DG1039" s="143"/>
    </row>
    <row r="1040" spans="1:111" ht="11.25">
      <c r="A1040" s="5"/>
      <c r="B1040" s="6"/>
      <c r="C1040" s="6"/>
      <c r="D1040" s="5"/>
      <c r="E1040" s="5"/>
      <c r="F1040" s="5"/>
      <c r="G1040" s="5"/>
      <c r="H1040" s="6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  <c r="CI1040" s="5"/>
      <c r="CJ1040" s="5"/>
      <c r="CK1040" s="5"/>
      <c r="CL1040" s="5"/>
      <c r="CT1040" s="5"/>
      <c r="CW1040" s="144"/>
      <c r="DG1040" s="143"/>
    </row>
    <row r="1041" spans="1:111" ht="11.25">
      <c r="A1041" s="5"/>
      <c r="B1041" s="6"/>
      <c r="C1041" s="6"/>
      <c r="D1041" s="5"/>
      <c r="E1041" s="5"/>
      <c r="F1041" s="5"/>
      <c r="G1041" s="5"/>
      <c r="H1041" s="6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  <c r="CI1041" s="5"/>
      <c r="CJ1041" s="5"/>
      <c r="CK1041" s="5"/>
      <c r="CL1041" s="5"/>
      <c r="CT1041" s="5"/>
      <c r="CW1041" s="144"/>
      <c r="DG1041" s="143"/>
    </row>
    <row r="1042" spans="1:111" ht="11.25">
      <c r="A1042" s="5"/>
      <c r="B1042" s="6"/>
      <c r="C1042" s="6"/>
      <c r="D1042" s="5"/>
      <c r="E1042" s="5"/>
      <c r="F1042" s="5"/>
      <c r="G1042" s="5"/>
      <c r="H1042" s="6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  <c r="CI1042" s="5"/>
      <c r="CJ1042" s="5"/>
      <c r="CK1042" s="5"/>
      <c r="CL1042" s="5"/>
      <c r="CT1042" s="5"/>
      <c r="CW1042" s="144"/>
      <c r="DG1042" s="143"/>
    </row>
    <row r="1043" spans="1:111" ht="11.25">
      <c r="A1043" s="5"/>
      <c r="B1043" s="6"/>
      <c r="C1043" s="6"/>
      <c r="D1043" s="5"/>
      <c r="E1043" s="5"/>
      <c r="F1043" s="5"/>
      <c r="G1043" s="5"/>
      <c r="H1043" s="6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  <c r="CI1043" s="5"/>
      <c r="CJ1043" s="5"/>
      <c r="CK1043" s="5"/>
      <c r="CL1043" s="5"/>
      <c r="CT1043" s="5"/>
      <c r="CW1043" s="144"/>
      <c r="DG1043" s="143"/>
    </row>
    <row r="1044" spans="1:111" ht="11.25">
      <c r="A1044" s="5"/>
      <c r="B1044" s="6"/>
      <c r="C1044" s="6"/>
      <c r="D1044" s="5"/>
      <c r="E1044" s="5"/>
      <c r="F1044" s="5"/>
      <c r="G1044" s="5"/>
      <c r="H1044" s="6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  <c r="CI1044" s="5"/>
      <c r="CJ1044" s="5"/>
      <c r="CK1044" s="5"/>
      <c r="CL1044" s="5"/>
      <c r="CT1044" s="5"/>
      <c r="CW1044" s="144"/>
      <c r="DG1044" s="143"/>
    </row>
    <row r="1045" spans="1:111" ht="11.25">
      <c r="A1045" s="5"/>
      <c r="B1045" s="6"/>
      <c r="C1045" s="6"/>
      <c r="D1045" s="5"/>
      <c r="E1045" s="5"/>
      <c r="F1045" s="5"/>
      <c r="G1045" s="5"/>
      <c r="H1045" s="6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  <c r="CI1045" s="5"/>
      <c r="CJ1045" s="5"/>
      <c r="CK1045" s="5"/>
      <c r="CL1045" s="5"/>
      <c r="CT1045" s="5"/>
      <c r="CW1045" s="144"/>
      <c r="DG1045" s="143"/>
    </row>
    <row r="1046" spans="1:111" ht="11.25">
      <c r="A1046" s="5"/>
      <c r="B1046" s="6"/>
      <c r="C1046" s="6"/>
      <c r="D1046" s="5"/>
      <c r="E1046" s="5"/>
      <c r="F1046" s="5"/>
      <c r="G1046" s="5"/>
      <c r="H1046" s="6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  <c r="CI1046" s="5"/>
      <c r="CJ1046" s="5"/>
      <c r="CK1046" s="5"/>
      <c r="CL1046" s="5"/>
      <c r="CT1046" s="5"/>
      <c r="CW1046" s="144"/>
      <c r="DG1046" s="143"/>
    </row>
    <row r="1047" spans="1:111" ht="11.25">
      <c r="A1047" s="5"/>
      <c r="B1047" s="6"/>
      <c r="C1047" s="6"/>
      <c r="D1047" s="5"/>
      <c r="E1047" s="5"/>
      <c r="F1047" s="5"/>
      <c r="G1047" s="5"/>
      <c r="H1047" s="6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  <c r="CI1047" s="5"/>
      <c r="CJ1047" s="5"/>
      <c r="CK1047" s="5"/>
      <c r="CL1047" s="5"/>
      <c r="CT1047" s="5"/>
      <c r="CW1047" s="144"/>
      <c r="DG1047" s="143"/>
    </row>
    <row r="1048" spans="1:111" ht="11.25">
      <c r="A1048" s="5"/>
      <c r="B1048" s="6"/>
      <c r="C1048" s="6"/>
      <c r="D1048" s="5"/>
      <c r="E1048" s="5"/>
      <c r="F1048" s="5"/>
      <c r="G1048" s="5"/>
      <c r="H1048" s="6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  <c r="CI1048" s="5"/>
      <c r="CJ1048" s="5"/>
      <c r="CK1048" s="5"/>
      <c r="CL1048" s="5"/>
      <c r="CT1048" s="5"/>
      <c r="CW1048" s="144"/>
      <c r="DG1048" s="143"/>
    </row>
    <row r="1049" spans="1:111" ht="11.25">
      <c r="A1049" s="5"/>
      <c r="B1049" s="6"/>
      <c r="C1049" s="6"/>
      <c r="D1049" s="5"/>
      <c r="E1049" s="5"/>
      <c r="F1049" s="5"/>
      <c r="G1049" s="5"/>
      <c r="H1049" s="6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  <c r="CI1049" s="5"/>
      <c r="CJ1049" s="5"/>
      <c r="CK1049" s="5"/>
      <c r="CL1049" s="5"/>
      <c r="CT1049" s="5"/>
      <c r="CW1049" s="144"/>
      <c r="DG1049" s="143"/>
    </row>
    <row r="1050" spans="1:111" ht="11.25">
      <c r="A1050" s="5"/>
      <c r="B1050" s="6"/>
      <c r="C1050" s="6"/>
      <c r="D1050" s="5"/>
      <c r="E1050" s="5"/>
      <c r="F1050" s="5"/>
      <c r="G1050" s="5"/>
      <c r="H1050" s="6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  <c r="CI1050" s="5"/>
      <c r="CJ1050" s="5"/>
      <c r="CK1050" s="5"/>
      <c r="CL1050" s="5"/>
      <c r="CT1050" s="5"/>
      <c r="CW1050" s="144"/>
      <c r="DG1050" s="143"/>
    </row>
    <row r="1051" spans="1:111" ht="11.25">
      <c r="A1051" s="5"/>
      <c r="B1051" s="6"/>
      <c r="C1051" s="6"/>
      <c r="D1051" s="5"/>
      <c r="E1051" s="5"/>
      <c r="F1051" s="5"/>
      <c r="G1051" s="5"/>
      <c r="H1051" s="6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  <c r="CI1051" s="5"/>
      <c r="CJ1051" s="5"/>
      <c r="CK1051" s="5"/>
      <c r="CL1051" s="5"/>
      <c r="CT1051" s="5"/>
      <c r="CW1051" s="144"/>
      <c r="DG1051" s="143"/>
    </row>
    <row r="1052" spans="1:111" ht="11.25">
      <c r="A1052" s="5"/>
      <c r="B1052" s="6"/>
      <c r="C1052" s="6"/>
      <c r="D1052" s="5"/>
      <c r="E1052" s="5"/>
      <c r="F1052" s="5"/>
      <c r="G1052" s="5"/>
      <c r="H1052" s="6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  <c r="CI1052" s="5"/>
      <c r="CJ1052" s="5"/>
      <c r="CK1052" s="5"/>
      <c r="CL1052" s="5"/>
      <c r="CT1052" s="5"/>
      <c r="CW1052" s="144"/>
      <c r="DG1052" s="143"/>
    </row>
    <row r="1053" spans="1:111" ht="11.25">
      <c r="A1053" s="5"/>
      <c r="B1053" s="6"/>
      <c r="C1053" s="6"/>
      <c r="D1053" s="5"/>
      <c r="E1053" s="5"/>
      <c r="F1053" s="5"/>
      <c r="G1053" s="5"/>
      <c r="H1053" s="6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  <c r="CI1053" s="5"/>
      <c r="CJ1053" s="5"/>
      <c r="CK1053" s="5"/>
      <c r="CL1053" s="5"/>
      <c r="CT1053" s="5"/>
      <c r="CW1053" s="144"/>
      <c r="DG1053" s="143"/>
    </row>
    <row r="1054" spans="1:111" ht="11.25">
      <c r="A1054" s="5"/>
      <c r="B1054" s="6"/>
      <c r="C1054" s="6"/>
      <c r="D1054" s="5"/>
      <c r="E1054" s="5"/>
      <c r="F1054" s="5"/>
      <c r="G1054" s="5"/>
      <c r="H1054" s="6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  <c r="CI1054" s="5"/>
      <c r="CJ1054" s="5"/>
      <c r="CK1054" s="5"/>
      <c r="CL1054" s="5"/>
      <c r="CT1054" s="5"/>
      <c r="CW1054" s="144"/>
      <c r="DG1054" s="143"/>
    </row>
    <row r="1055" spans="1:111" ht="11.25">
      <c r="A1055" s="5"/>
      <c r="B1055" s="6"/>
      <c r="C1055" s="6"/>
      <c r="D1055" s="5"/>
      <c r="E1055" s="5"/>
      <c r="F1055" s="5"/>
      <c r="G1055" s="5"/>
      <c r="H1055" s="6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  <c r="CI1055" s="5"/>
      <c r="CJ1055" s="5"/>
      <c r="CK1055" s="5"/>
      <c r="CL1055" s="5"/>
      <c r="CT1055" s="5"/>
      <c r="CW1055" s="144"/>
      <c r="DG1055" s="143"/>
    </row>
    <row r="1056" spans="1:111" ht="11.25">
      <c r="A1056" s="5"/>
      <c r="B1056" s="6"/>
      <c r="C1056" s="6"/>
      <c r="D1056" s="5"/>
      <c r="E1056" s="5"/>
      <c r="F1056" s="5"/>
      <c r="G1056" s="5"/>
      <c r="H1056" s="6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  <c r="CI1056" s="5"/>
      <c r="CJ1056" s="5"/>
      <c r="CK1056" s="5"/>
      <c r="CL1056" s="5"/>
      <c r="CT1056" s="5"/>
      <c r="CW1056" s="144"/>
      <c r="DG1056" s="143"/>
    </row>
    <row r="1057" spans="1:111" ht="11.25">
      <c r="A1057" s="5"/>
      <c r="B1057" s="6"/>
      <c r="C1057" s="6"/>
      <c r="D1057" s="5"/>
      <c r="E1057" s="5"/>
      <c r="F1057" s="5"/>
      <c r="G1057" s="5"/>
      <c r="H1057" s="6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  <c r="CI1057" s="5"/>
      <c r="CJ1057" s="5"/>
      <c r="CK1057" s="5"/>
      <c r="CL1057" s="5"/>
      <c r="CT1057" s="5"/>
      <c r="CW1057" s="144"/>
      <c r="DG1057" s="143"/>
    </row>
    <row r="1058" spans="1:111" ht="11.25">
      <c r="A1058" s="5"/>
      <c r="B1058" s="6"/>
      <c r="C1058" s="6"/>
      <c r="D1058" s="5"/>
      <c r="E1058" s="5"/>
      <c r="F1058" s="5"/>
      <c r="G1058" s="5"/>
      <c r="H1058" s="6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  <c r="CI1058" s="5"/>
      <c r="CJ1058" s="5"/>
      <c r="CK1058" s="5"/>
      <c r="CL1058" s="5"/>
      <c r="CT1058" s="5"/>
      <c r="CW1058" s="144"/>
      <c r="DG1058" s="143"/>
    </row>
    <row r="1059" spans="1:111" ht="11.25">
      <c r="A1059" s="5"/>
      <c r="B1059" s="6"/>
      <c r="C1059" s="6"/>
      <c r="D1059" s="5"/>
      <c r="E1059" s="5"/>
      <c r="F1059" s="5"/>
      <c r="G1059" s="5"/>
      <c r="H1059" s="6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  <c r="CI1059" s="5"/>
      <c r="CJ1059" s="5"/>
      <c r="CK1059" s="5"/>
      <c r="CL1059" s="5"/>
      <c r="CT1059" s="5"/>
      <c r="CW1059" s="144"/>
      <c r="DG1059" s="143"/>
    </row>
    <row r="1060" spans="1:111" ht="11.25">
      <c r="A1060" s="5"/>
      <c r="B1060" s="6"/>
      <c r="C1060" s="6"/>
      <c r="D1060" s="5"/>
      <c r="E1060" s="5"/>
      <c r="F1060" s="5"/>
      <c r="G1060" s="5"/>
      <c r="H1060" s="6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  <c r="CI1060" s="5"/>
      <c r="CJ1060" s="5"/>
      <c r="CK1060" s="5"/>
      <c r="CL1060" s="5"/>
      <c r="CT1060" s="5"/>
      <c r="CW1060" s="144"/>
      <c r="DG1060" s="143"/>
    </row>
    <row r="1061" spans="1:111" ht="11.25" customHeight="1">
      <c r="CK1061" s="1"/>
      <c r="CW1061" s="144"/>
      <c r="DG1061" s="143"/>
    </row>
    <row r="1062" spans="1:111" ht="11.25" customHeight="1">
      <c r="CK1062" s="1"/>
      <c r="CW1062" s="144"/>
      <c r="DG1062" s="143"/>
    </row>
    <row r="1063" spans="1:111" ht="11.25" customHeight="1">
      <c r="CK1063" s="1"/>
      <c r="CW1063" s="144"/>
      <c r="DG1063" s="143"/>
    </row>
    <row r="1064" spans="1:111" ht="11.25" customHeight="1">
      <c r="CK1064" s="1"/>
      <c r="CW1064" s="144"/>
      <c r="DG1064" s="143"/>
    </row>
    <row r="1065" spans="1:111" ht="11.25" customHeight="1">
      <c r="CK1065" s="1"/>
      <c r="CW1065" s="144"/>
      <c r="DG1065" s="143"/>
    </row>
    <row r="1066" spans="1:111" ht="11.25" customHeight="1">
      <c r="CK1066" s="1"/>
      <c r="CW1066" s="144"/>
      <c r="DG1066" s="143"/>
    </row>
    <row r="1067" spans="1:111" ht="11.25" customHeight="1">
      <c r="CK1067" s="1"/>
      <c r="CW1067" s="144"/>
      <c r="DG1067" s="143"/>
    </row>
    <row r="1068" spans="1:111" ht="11.25" customHeight="1">
      <c r="CK1068" s="1"/>
      <c r="CW1068" s="144"/>
      <c r="DG1068" s="143"/>
    </row>
    <row r="1069" spans="1:111" ht="11.25" customHeight="1">
      <c r="CK1069" s="1"/>
      <c r="CW1069" s="144"/>
      <c r="DG1069" s="143"/>
    </row>
    <row r="1070" spans="1:111" ht="11.25" customHeight="1">
      <c r="CK1070" s="1"/>
      <c r="CW1070" s="144"/>
      <c r="DG1070" s="143"/>
    </row>
    <row r="1071" spans="1:111" ht="11.25" customHeight="1">
      <c r="CK1071" s="1"/>
      <c r="CW1071" s="144"/>
      <c r="DG1071" s="143"/>
    </row>
    <row r="1072" spans="1:111" ht="11.25" customHeight="1">
      <c r="CK1072" s="1"/>
      <c r="CW1072" s="144"/>
      <c r="DG1072" s="143"/>
    </row>
    <row r="1073" spans="89:111" ht="11.25" customHeight="1">
      <c r="CK1073" s="1"/>
      <c r="CW1073" s="144"/>
      <c r="DG1073" s="143"/>
    </row>
    <row r="1074" spans="89:111" ht="11.25" customHeight="1">
      <c r="CK1074" s="1"/>
      <c r="CW1074" s="144"/>
      <c r="DG1074" s="143"/>
    </row>
    <row r="1075" spans="89:111" ht="11.25" customHeight="1">
      <c r="CK1075" s="1"/>
      <c r="CW1075" s="144"/>
      <c r="DG1075" s="143"/>
    </row>
    <row r="1076" spans="89:111" ht="11.25" customHeight="1">
      <c r="CK1076" s="1"/>
      <c r="CW1076" s="144"/>
      <c r="DG1076" s="143"/>
    </row>
    <row r="1077" spans="89:111" ht="11.25" customHeight="1">
      <c r="CK1077" s="1"/>
      <c r="CW1077" s="144"/>
      <c r="DG1077" s="143"/>
    </row>
    <row r="1078" spans="89:111" ht="11.25" customHeight="1">
      <c r="CK1078" s="1"/>
      <c r="CW1078" s="144"/>
      <c r="DG1078" s="143"/>
    </row>
    <row r="1079" spans="89:111" ht="11.25" customHeight="1">
      <c r="CK1079" s="1"/>
      <c r="CW1079" s="144"/>
      <c r="DG1079" s="143"/>
    </row>
    <row r="1080" spans="89:111" ht="11.25" customHeight="1">
      <c r="CK1080" s="1"/>
      <c r="CW1080" s="144"/>
      <c r="DG1080" s="143"/>
    </row>
    <row r="1081" spans="89:111" ht="11.25" customHeight="1">
      <c r="CK1081" s="1"/>
      <c r="CW1081" s="144"/>
      <c r="DG1081" s="143"/>
    </row>
    <row r="1082" spans="89:111" ht="11.25" customHeight="1">
      <c r="CK1082" s="1"/>
      <c r="CW1082" s="144"/>
      <c r="DG1082" s="143"/>
    </row>
    <row r="1083" spans="89:111" ht="11.25" customHeight="1">
      <c r="CK1083" s="1"/>
      <c r="CW1083" s="144"/>
      <c r="DG1083" s="143"/>
    </row>
    <row r="1084" spans="89:111" ht="11.25" customHeight="1">
      <c r="CK1084" s="1"/>
      <c r="CW1084" s="144"/>
      <c r="DG1084" s="143"/>
    </row>
    <row r="1085" spans="89:111" ht="11.25" customHeight="1">
      <c r="CK1085" s="1"/>
      <c r="CW1085" s="144"/>
      <c r="DG1085" s="143"/>
    </row>
    <row r="1086" spans="89:111" ht="11.25" customHeight="1">
      <c r="CK1086" s="1"/>
      <c r="CW1086" s="144"/>
      <c r="DG1086" s="143"/>
    </row>
    <row r="1087" spans="89:111" ht="11.25" customHeight="1">
      <c r="CK1087" s="1"/>
      <c r="CW1087" s="144"/>
      <c r="DG1087" s="143"/>
    </row>
    <row r="1088" spans="89:111" ht="11.25" customHeight="1">
      <c r="CK1088" s="1"/>
      <c r="CW1088" s="144"/>
      <c r="DG1088" s="143"/>
    </row>
    <row r="1089" spans="89:111" ht="11.25" customHeight="1">
      <c r="CK1089" s="1"/>
      <c r="CW1089" s="144"/>
      <c r="DG1089" s="143"/>
    </row>
    <row r="1090" spans="89:111" ht="11.25" customHeight="1">
      <c r="CK1090" s="1"/>
      <c r="CW1090" s="144"/>
      <c r="DG1090" s="143"/>
    </row>
    <row r="1091" spans="89:111" ht="11.25" customHeight="1">
      <c r="CK1091" s="1"/>
      <c r="CW1091" s="144"/>
      <c r="DG1091" s="143"/>
    </row>
    <row r="1092" spans="89:111" ht="11.25" customHeight="1">
      <c r="CK1092" s="1"/>
      <c r="CW1092" s="144"/>
      <c r="DG1092" s="143"/>
    </row>
    <row r="1093" spans="89:111" ht="11.25" customHeight="1">
      <c r="CK1093" s="1"/>
      <c r="CW1093" s="144"/>
      <c r="DG1093" s="143"/>
    </row>
    <row r="1094" spans="89:111" ht="11.25" customHeight="1">
      <c r="CK1094" s="1"/>
      <c r="CW1094" s="144"/>
      <c r="DG1094" s="143"/>
    </row>
    <row r="1095" spans="89:111" ht="11.25" customHeight="1">
      <c r="CK1095" s="1"/>
      <c r="CW1095" s="144"/>
      <c r="DG1095" s="143"/>
    </row>
    <row r="1096" spans="89:111" ht="11.25" customHeight="1">
      <c r="CK1096" s="1"/>
      <c r="CW1096" s="144"/>
      <c r="DG1096" s="143"/>
    </row>
    <row r="1097" spans="89:111" ht="11.25" customHeight="1">
      <c r="CK1097" s="1"/>
      <c r="CW1097" s="144"/>
      <c r="DG1097" s="143"/>
    </row>
    <row r="1098" spans="89:111" ht="11.25" customHeight="1">
      <c r="CK1098" s="1"/>
      <c r="CW1098" s="144"/>
      <c r="DG1098" s="143"/>
    </row>
    <row r="1099" spans="89:111" ht="11.25" customHeight="1">
      <c r="CK1099" s="1"/>
      <c r="CW1099" s="144"/>
      <c r="DG1099" s="143"/>
    </row>
    <row r="1100" spans="89:111" ht="11.25" customHeight="1">
      <c r="CK1100" s="1"/>
      <c r="CW1100" s="144"/>
      <c r="DG1100" s="143"/>
    </row>
    <row r="1101" spans="89:111" ht="11.25" customHeight="1">
      <c r="CK1101" s="1"/>
      <c r="CW1101" s="144"/>
      <c r="DG1101" s="143"/>
    </row>
    <row r="1102" spans="89:111" ht="11.25" customHeight="1">
      <c r="CK1102" s="1"/>
      <c r="CW1102" s="144"/>
      <c r="DG1102" s="143"/>
    </row>
    <row r="1103" spans="89:111" ht="11.25" customHeight="1">
      <c r="CK1103" s="1"/>
      <c r="CW1103" s="144"/>
      <c r="DG1103" s="143"/>
    </row>
    <row r="1104" spans="89:111" ht="11.25" customHeight="1">
      <c r="CK1104" s="1"/>
      <c r="CW1104" s="144"/>
      <c r="DG1104" s="143"/>
    </row>
    <row r="1105" spans="89:111" ht="11.25" customHeight="1">
      <c r="CK1105" s="1"/>
      <c r="CW1105" s="144"/>
      <c r="DG1105" s="143"/>
    </row>
    <row r="1106" spans="89:111" ht="11.25" customHeight="1">
      <c r="CK1106" s="1"/>
      <c r="CW1106" s="144"/>
      <c r="DG1106" s="143"/>
    </row>
    <row r="1107" spans="89:111" ht="11.25" customHeight="1">
      <c r="CK1107" s="1"/>
      <c r="CW1107" s="144"/>
      <c r="DG1107" s="143"/>
    </row>
    <row r="1108" spans="89:111" ht="11.25" customHeight="1">
      <c r="CK1108" s="1"/>
      <c r="CW1108" s="144"/>
      <c r="DG1108" s="143"/>
    </row>
    <row r="1109" spans="89:111" ht="11.25" customHeight="1">
      <c r="CK1109" s="1"/>
      <c r="CW1109" s="144"/>
      <c r="DG1109" s="143"/>
    </row>
    <row r="1110" spans="89:111" ht="11.25" customHeight="1">
      <c r="CK1110" s="1"/>
      <c r="CW1110" s="144"/>
      <c r="DG1110" s="143"/>
    </row>
    <row r="1111" spans="89:111" ht="11.25" customHeight="1">
      <c r="CK1111" s="1"/>
      <c r="CW1111" s="144"/>
      <c r="DG1111" s="143"/>
    </row>
    <row r="1112" spans="89:111" ht="11.25" customHeight="1">
      <c r="CK1112" s="1"/>
      <c r="CW1112" s="144"/>
      <c r="DG1112" s="143"/>
    </row>
    <row r="1113" spans="89:111" ht="11.25" customHeight="1">
      <c r="CK1113" s="1"/>
      <c r="CW1113" s="144"/>
      <c r="DG1113" s="143"/>
    </row>
    <row r="1114" spans="89:111" ht="11.25" customHeight="1">
      <c r="CK1114" s="1"/>
      <c r="CW1114" s="144"/>
      <c r="DG1114" s="143"/>
    </row>
    <row r="1115" spans="89:111" ht="11.25" customHeight="1">
      <c r="CK1115" s="1"/>
      <c r="CW1115" s="144"/>
      <c r="DG1115" s="143"/>
    </row>
    <row r="1116" spans="89:111" ht="11.25" customHeight="1">
      <c r="CK1116" s="1"/>
      <c r="CW1116" s="144"/>
      <c r="DG1116" s="143"/>
    </row>
    <row r="1117" spans="89:111" ht="11.25" customHeight="1">
      <c r="CK1117" s="1"/>
      <c r="CW1117" s="144"/>
      <c r="DG1117" s="143"/>
    </row>
    <row r="1118" spans="89:111" ht="11.25" customHeight="1">
      <c r="CK1118" s="1"/>
      <c r="CW1118" s="144"/>
      <c r="DG1118" s="143"/>
    </row>
    <row r="1119" spans="89:111" ht="11.25" customHeight="1">
      <c r="CK1119" s="1"/>
      <c r="CW1119" s="144"/>
      <c r="DG1119" s="143"/>
    </row>
    <row r="1120" spans="89:111" ht="11.25" customHeight="1">
      <c r="CK1120" s="1"/>
      <c r="CW1120" s="144"/>
      <c r="DG1120" s="143"/>
    </row>
    <row r="1121" spans="89:111" ht="11.25" customHeight="1">
      <c r="CK1121" s="1"/>
      <c r="CW1121" s="144"/>
      <c r="DG1121" s="143"/>
    </row>
    <row r="1122" spans="89:111" ht="11.25" customHeight="1">
      <c r="CK1122" s="1"/>
      <c r="CW1122" s="144"/>
      <c r="DG1122" s="143"/>
    </row>
    <row r="1123" spans="89:111" ht="11.25" customHeight="1">
      <c r="CK1123" s="1"/>
      <c r="CW1123" s="144"/>
      <c r="DG1123" s="143"/>
    </row>
    <row r="1124" spans="89:111" ht="11.25" customHeight="1">
      <c r="CK1124" s="1"/>
      <c r="CW1124" s="144"/>
      <c r="DG1124" s="143"/>
    </row>
    <row r="1125" spans="89:111" ht="11.25" customHeight="1">
      <c r="CK1125" s="1"/>
      <c r="CW1125" s="144"/>
      <c r="DG1125" s="143"/>
    </row>
    <row r="1126" spans="89:111" ht="11.25" customHeight="1">
      <c r="CK1126" s="1"/>
      <c r="CW1126" s="144"/>
      <c r="DG1126" s="143"/>
    </row>
    <row r="1127" spans="89:111" ht="11.25" customHeight="1">
      <c r="CK1127" s="1"/>
      <c r="CW1127" s="144"/>
      <c r="DG1127" s="143"/>
    </row>
    <row r="1128" spans="89:111" ht="11.25" customHeight="1">
      <c r="CK1128" s="1"/>
      <c r="CW1128" s="144"/>
      <c r="DG1128" s="143"/>
    </row>
    <row r="1129" spans="89:111" ht="11.25" customHeight="1">
      <c r="CK1129" s="1"/>
      <c r="CW1129" s="144"/>
      <c r="DG1129" s="143"/>
    </row>
    <row r="1130" spans="89:111" ht="11.25" customHeight="1">
      <c r="CK1130" s="1"/>
      <c r="CW1130" s="144"/>
      <c r="DG1130" s="143"/>
    </row>
    <row r="1131" spans="89:111" ht="11.25" customHeight="1">
      <c r="CK1131" s="1"/>
      <c r="CW1131" s="144"/>
      <c r="DG1131" s="143"/>
    </row>
    <row r="1132" spans="89:111" ht="11.25" customHeight="1">
      <c r="CK1132" s="1"/>
      <c r="CW1132" s="144"/>
      <c r="DG1132" s="143"/>
    </row>
    <row r="1133" spans="89:111" ht="11.25" customHeight="1">
      <c r="CK1133" s="1"/>
      <c r="CW1133" s="144"/>
      <c r="DG1133" s="143"/>
    </row>
    <row r="1134" spans="89:111" ht="11.25" customHeight="1">
      <c r="CK1134" s="1"/>
      <c r="CW1134" s="144"/>
      <c r="DG1134" s="143"/>
    </row>
    <row r="1135" spans="89:111" ht="11.25" customHeight="1">
      <c r="CK1135" s="1"/>
      <c r="CW1135" s="144"/>
      <c r="DG1135" s="143"/>
    </row>
    <row r="1136" spans="89:111" ht="11.25" customHeight="1">
      <c r="CK1136" s="1"/>
      <c r="CW1136" s="144"/>
      <c r="DG1136" s="143"/>
    </row>
    <row r="1137" spans="89:111" ht="11.25" customHeight="1">
      <c r="CK1137" s="1"/>
      <c r="CW1137" s="144"/>
      <c r="DG1137" s="143"/>
    </row>
    <row r="1138" spans="89:111" ht="11.25" customHeight="1">
      <c r="CK1138" s="1"/>
      <c r="CW1138" s="144"/>
      <c r="DG1138" s="143"/>
    </row>
    <row r="1139" spans="89:111" ht="11.25" customHeight="1">
      <c r="CK1139" s="1"/>
      <c r="CW1139" s="144"/>
      <c r="DG1139" s="143"/>
    </row>
    <row r="1140" spans="89:111" ht="11.25" customHeight="1">
      <c r="CK1140" s="1"/>
      <c r="CW1140" s="144"/>
      <c r="DG1140" s="143"/>
    </row>
    <row r="1141" spans="89:111" ht="11.25" customHeight="1">
      <c r="CK1141" s="1"/>
      <c r="CW1141" s="144"/>
      <c r="DG1141" s="143"/>
    </row>
    <row r="1142" spans="89:111" ht="11.25" customHeight="1">
      <c r="CK1142" s="1"/>
      <c r="CW1142" s="144"/>
      <c r="DG1142" s="143"/>
    </row>
    <row r="1143" spans="89:111" ht="11.25" customHeight="1">
      <c r="CK1143" s="1"/>
      <c r="CW1143" s="144"/>
      <c r="DG1143" s="143"/>
    </row>
    <row r="1144" spans="89:111" ht="11.25" customHeight="1">
      <c r="CK1144" s="1"/>
      <c r="CW1144" s="144"/>
      <c r="DG1144" s="143"/>
    </row>
    <row r="1145" spans="89:111" ht="11.25" customHeight="1">
      <c r="CK1145" s="1"/>
      <c r="CW1145" s="144"/>
      <c r="DG1145" s="143"/>
    </row>
    <row r="1146" spans="89:111" ht="11.25" customHeight="1">
      <c r="CK1146" s="1"/>
      <c r="CW1146" s="144"/>
      <c r="DG1146" s="143"/>
    </row>
    <row r="1147" spans="89:111" ht="11.25" customHeight="1">
      <c r="CK1147" s="1"/>
      <c r="CW1147" s="144"/>
      <c r="DG1147" s="143"/>
    </row>
    <row r="1148" spans="89:111" ht="11.25" customHeight="1">
      <c r="CK1148" s="1"/>
      <c r="CW1148" s="144"/>
      <c r="DG1148" s="143"/>
    </row>
    <row r="1149" spans="89:111" ht="11.25" customHeight="1">
      <c r="CK1149" s="1"/>
      <c r="CW1149" s="144"/>
      <c r="DG1149" s="143"/>
    </row>
    <row r="1150" spans="89:111" ht="11.25" customHeight="1">
      <c r="CK1150" s="1"/>
      <c r="CW1150" s="144"/>
      <c r="DG1150" s="143"/>
    </row>
    <row r="1151" spans="89:111" ht="11.25" customHeight="1">
      <c r="CK1151" s="1"/>
      <c r="CW1151" s="144"/>
      <c r="DG1151" s="143"/>
    </row>
    <row r="1152" spans="89:111" ht="11.25" customHeight="1">
      <c r="CK1152" s="1"/>
      <c r="CW1152" s="144"/>
      <c r="DG1152" s="143"/>
    </row>
    <row r="1153" spans="89:111" ht="11.25" customHeight="1">
      <c r="CK1153" s="1"/>
      <c r="CW1153" s="144"/>
      <c r="DG1153" s="143"/>
    </row>
    <row r="1154" spans="89:111" ht="11.25" customHeight="1">
      <c r="CK1154" s="1"/>
      <c r="CW1154" s="144"/>
      <c r="DG1154" s="143"/>
    </row>
    <row r="1155" spans="89:111" ht="11.25" customHeight="1">
      <c r="CK1155" s="1"/>
      <c r="CW1155" s="144"/>
      <c r="DG1155" s="143"/>
    </row>
    <row r="1156" spans="89:111" ht="11.25" customHeight="1">
      <c r="CK1156" s="1"/>
      <c r="CW1156" s="144"/>
      <c r="DG1156" s="143"/>
    </row>
    <row r="1157" spans="89:111" ht="11.25" customHeight="1">
      <c r="CK1157" s="1"/>
      <c r="CW1157" s="144"/>
      <c r="DG1157" s="143"/>
    </row>
    <row r="1158" spans="89:111" ht="11.25" customHeight="1">
      <c r="CK1158" s="1"/>
      <c r="CW1158" s="144"/>
      <c r="DG1158" s="143"/>
    </row>
    <row r="1159" spans="89:111" ht="11.25" customHeight="1">
      <c r="CK1159" s="1"/>
      <c r="CW1159" s="144"/>
      <c r="DG1159" s="143"/>
    </row>
    <row r="1160" spans="89:111" ht="11.25" customHeight="1">
      <c r="CK1160" s="1"/>
      <c r="CW1160" s="144"/>
      <c r="DG1160" s="143"/>
    </row>
    <row r="1161" spans="89:111" ht="11.25" customHeight="1">
      <c r="CK1161" s="1"/>
      <c r="CW1161" s="144"/>
      <c r="DG1161" s="143"/>
    </row>
    <row r="1162" spans="89:111" ht="11.25" customHeight="1">
      <c r="CK1162" s="1"/>
      <c r="CW1162" s="144"/>
      <c r="DG1162" s="143"/>
    </row>
    <row r="1163" spans="89:111" ht="11.25" customHeight="1">
      <c r="CK1163" s="1"/>
      <c r="CW1163" s="144"/>
      <c r="DG1163" s="143"/>
    </row>
    <row r="1164" spans="89:111" ht="11.25" customHeight="1">
      <c r="CK1164" s="1"/>
      <c r="CW1164" s="144"/>
      <c r="DG1164" s="143"/>
    </row>
    <row r="1165" spans="89:111" ht="11.25" customHeight="1">
      <c r="CK1165" s="1"/>
      <c r="CW1165" s="144"/>
      <c r="DG1165" s="143"/>
    </row>
    <row r="1166" spans="89:111" ht="11.25" customHeight="1">
      <c r="CK1166" s="1"/>
      <c r="CW1166" s="144"/>
      <c r="DG1166" s="143"/>
    </row>
    <row r="1167" spans="89:111" ht="11.25" customHeight="1">
      <c r="CK1167" s="1"/>
      <c r="CW1167" s="144"/>
      <c r="DG1167" s="143"/>
    </row>
    <row r="1168" spans="89:111" ht="11.25" customHeight="1">
      <c r="CK1168" s="1"/>
      <c r="CW1168" s="144"/>
      <c r="DG1168" s="143"/>
    </row>
    <row r="1169" spans="89:111" ht="11.25" customHeight="1">
      <c r="CK1169" s="1"/>
      <c r="CW1169" s="144"/>
      <c r="DG1169" s="143"/>
    </row>
    <row r="1170" spans="89:111" ht="11.25" customHeight="1">
      <c r="CK1170" s="1"/>
      <c r="CW1170" s="144"/>
      <c r="DG1170" s="143"/>
    </row>
    <row r="1171" spans="89:111" ht="11.25" customHeight="1">
      <c r="CK1171" s="1"/>
      <c r="CW1171" s="144"/>
      <c r="DG1171" s="143"/>
    </row>
    <row r="1172" spans="89:111" ht="11.25" customHeight="1">
      <c r="CK1172" s="1"/>
      <c r="CW1172" s="144"/>
      <c r="DG1172" s="143"/>
    </row>
    <row r="1173" spans="89:111" ht="11.25" customHeight="1">
      <c r="CK1173" s="1"/>
      <c r="CW1173" s="144"/>
      <c r="DG1173" s="143"/>
    </row>
    <row r="1174" spans="89:111" ht="11.25" customHeight="1">
      <c r="CK1174" s="1"/>
      <c r="CW1174" s="144"/>
      <c r="DG1174" s="143"/>
    </row>
    <row r="1175" spans="89:111" ht="11.25" customHeight="1">
      <c r="CK1175" s="1"/>
      <c r="CW1175" s="144"/>
      <c r="DG1175" s="143"/>
    </row>
    <row r="1176" spans="89:111" ht="11.25" customHeight="1">
      <c r="CK1176" s="1"/>
      <c r="CW1176" s="144"/>
      <c r="DG1176" s="143"/>
    </row>
    <row r="1177" spans="89:111" ht="11.25" customHeight="1">
      <c r="CK1177" s="1"/>
      <c r="CW1177" s="144"/>
      <c r="DG1177" s="143"/>
    </row>
    <row r="1178" spans="89:111" ht="11.25" customHeight="1">
      <c r="CK1178" s="1"/>
      <c r="CW1178" s="144"/>
      <c r="DG1178" s="143"/>
    </row>
    <row r="1179" spans="89:111" ht="11.25" customHeight="1">
      <c r="CK1179" s="1"/>
      <c r="CW1179" s="144"/>
      <c r="DG1179" s="143"/>
    </row>
    <row r="1180" spans="89:111" ht="11.25" customHeight="1">
      <c r="CK1180" s="1"/>
      <c r="CW1180" s="144"/>
      <c r="DG1180" s="143"/>
    </row>
    <row r="1181" spans="89:111" ht="11.25" customHeight="1">
      <c r="CK1181" s="1"/>
      <c r="CW1181" s="144"/>
      <c r="DG1181" s="143"/>
    </row>
    <row r="1182" spans="89:111" ht="11.25" customHeight="1">
      <c r="CK1182" s="1"/>
      <c r="CW1182" s="144"/>
      <c r="DG1182" s="143"/>
    </row>
    <row r="1183" spans="89:111" ht="11.25" customHeight="1">
      <c r="CK1183" s="1"/>
      <c r="CW1183" s="144"/>
      <c r="DG1183" s="143"/>
    </row>
    <row r="1184" spans="89:111" ht="11.25" customHeight="1">
      <c r="CK1184" s="1"/>
      <c r="CW1184" s="144"/>
      <c r="DG1184" s="143"/>
    </row>
    <row r="1185" spans="89:111" ht="11.25" customHeight="1">
      <c r="CK1185" s="1"/>
      <c r="CW1185" s="144"/>
      <c r="DG1185" s="143"/>
    </row>
    <row r="1186" spans="89:111" ht="11.25" customHeight="1">
      <c r="CK1186" s="1"/>
      <c r="CW1186" s="144"/>
      <c r="DG1186" s="143"/>
    </row>
    <row r="1187" spans="89:111" ht="11.25" customHeight="1">
      <c r="CK1187" s="1"/>
      <c r="CW1187" s="144"/>
      <c r="DG1187" s="143"/>
    </row>
    <row r="1188" spans="89:111" ht="11.25" customHeight="1">
      <c r="CK1188" s="1"/>
      <c r="CW1188" s="144"/>
      <c r="DG1188" s="143"/>
    </row>
    <row r="1189" spans="89:111" ht="11.25" customHeight="1">
      <c r="CK1189" s="1"/>
      <c r="CW1189" s="144"/>
      <c r="DG1189" s="143"/>
    </row>
    <row r="1190" spans="89:111" ht="11.25" customHeight="1">
      <c r="CK1190" s="1"/>
      <c r="CW1190" s="144"/>
      <c r="DG1190" s="143"/>
    </row>
    <row r="1191" spans="89:111" ht="11.25" customHeight="1">
      <c r="CK1191" s="1"/>
      <c r="CW1191" s="144"/>
      <c r="DG1191" s="143"/>
    </row>
    <row r="1192" spans="89:111" ht="11.25" customHeight="1">
      <c r="CK1192" s="1"/>
      <c r="CW1192" s="144"/>
      <c r="DG1192" s="143"/>
    </row>
    <row r="1193" spans="89:111" ht="11.25" customHeight="1">
      <c r="CK1193" s="1"/>
      <c r="CW1193" s="144"/>
      <c r="DG1193" s="143"/>
    </row>
    <row r="1194" spans="89:111" ht="11.25" customHeight="1">
      <c r="CK1194" s="1"/>
      <c r="CW1194" s="144"/>
      <c r="DG1194" s="143"/>
    </row>
    <row r="1195" spans="89:111" ht="11.25" customHeight="1">
      <c r="CK1195" s="1"/>
      <c r="CW1195" s="144"/>
      <c r="DG1195" s="143"/>
    </row>
    <row r="1196" spans="89:111" ht="11.25" customHeight="1">
      <c r="CK1196" s="1"/>
      <c r="CW1196" s="144"/>
      <c r="DG1196" s="143"/>
    </row>
    <row r="1197" spans="89:111" ht="11.25" customHeight="1">
      <c r="CK1197" s="1"/>
      <c r="CW1197" s="144"/>
      <c r="DG1197" s="143"/>
    </row>
    <row r="1198" spans="89:111" ht="11.25" customHeight="1">
      <c r="CK1198" s="1"/>
      <c r="CW1198" s="144"/>
      <c r="DG1198" s="143"/>
    </row>
    <row r="1199" spans="89:111" ht="11.25" customHeight="1">
      <c r="CK1199" s="1"/>
      <c r="CW1199" s="144"/>
      <c r="DG1199" s="143"/>
    </row>
    <row r="1200" spans="89:111" ht="11.25" customHeight="1">
      <c r="CK1200" s="1"/>
      <c r="CW1200" s="144"/>
      <c r="DG1200" s="143"/>
    </row>
    <row r="1201" spans="89:111" ht="11.25" customHeight="1">
      <c r="CK1201" s="1"/>
      <c r="CW1201" s="144"/>
      <c r="DG1201" s="143"/>
    </row>
    <row r="1202" spans="89:111" ht="11.25" customHeight="1">
      <c r="CK1202" s="1"/>
      <c r="CW1202" s="144"/>
      <c r="DG1202" s="143"/>
    </row>
    <row r="1203" spans="89:111" ht="11.25" customHeight="1">
      <c r="CK1203" s="1"/>
      <c r="CW1203" s="144"/>
      <c r="DG1203" s="143"/>
    </row>
    <row r="1204" spans="89:111" ht="11.25" customHeight="1">
      <c r="CK1204" s="1"/>
      <c r="CW1204" s="144"/>
      <c r="DG1204" s="143"/>
    </row>
    <row r="1205" spans="89:111" ht="11.25" customHeight="1">
      <c r="CK1205" s="1"/>
      <c r="CW1205" s="144"/>
      <c r="DG1205" s="143"/>
    </row>
    <row r="1206" spans="89:111" ht="11.25" customHeight="1">
      <c r="CK1206" s="1"/>
      <c r="CW1206" s="144"/>
      <c r="DG1206" s="143"/>
    </row>
    <row r="1207" spans="89:111" ht="11.25" customHeight="1">
      <c r="CK1207" s="1"/>
      <c r="CW1207" s="144"/>
      <c r="DG1207" s="143"/>
    </row>
    <row r="1208" spans="89:111" ht="11.25" customHeight="1">
      <c r="CK1208" s="1"/>
      <c r="CW1208" s="144"/>
      <c r="DG1208" s="143"/>
    </row>
    <row r="1209" spans="89:111" ht="11.25" customHeight="1">
      <c r="CK1209" s="1"/>
      <c r="CW1209" s="144"/>
      <c r="DG1209" s="143"/>
    </row>
    <row r="1210" spans="89:111" ht="11.25" customHeight="1">
      <c r="CK1210" s="1"/>
      <c r="CW1210" s="144"/>
      <c r="DG1210" s="143"/>
    </row>
    <row r="1211" spans="89:111" ht="11.25" customHeight="1">
      <c r="CK1211" s="1"/>
      <c r="CW1211" s="144"/>
      <c r="DG1211" s="143"/>
    </row>
    <row r="1212" spans="89:111" ht="11.25" customHeight="1">
      <c r="CK1212" s="1"/>
      <c r="CW1212" s="144"/>
      <c r="DG1212" s="143"/>
    </row>
    <row r="1213" spans="89:111" ht="11.25" customHeight="1">
      <c r="CK1213" s="1"/>
      <c r="CW1213" s="144"/>
      <c r="DG1213" s="143"/>
    </row>
    <row r="1214" spans="89:111" ht="11.25" customHeight="1">
      <c r="CK1214" s="1"/>
      <c r="CW1214" s="144"/>
      <c r="DG1214" s="143"/>
    </row>
    <row r="1215" spans="89:111" ht="11.25" customHeight="1">
      <c r="CK1215" s="1"/>
      <c r="CW1215" s="144"/>
      <c r="DG1215" s="143"/>
    </row>
    <row r="1216" spans="89:111" ht="11.25" customHeight="1">
      <c r="CK1216" s="1"/>
      <c r="CW1216" s="144"/>
      <c r="DG1216" s="143"/>
    </row>
    <row r="1217" spans="89:111" ht="11.25" customHeight="1">
      <c r="CK1217" s="1"/>
      <c r="CW1217" s="144"/>
      <c r="DG1217" s="143"/>
    </row>
    <row r="1218" spans="89:111" ht="11.25" customHeight="1">
      <c r="CK1218" s="1"/>
      <c r="CW1218" s="144"/>
      <c r="DG1218" s="143"/>
    </row>
    <row r="1219" spans="89:111" ht="11.25" customHeight="1">
      <c r="CK1219" s="1"/>
      <c r="CW1219" s="144"/>
      <c r="DG1219" s="143"/>
    </row>
    <row r="1220" spans="89:111" ht="11.25" customHeight="1">
      <c r="CK1220" s="1"/>
      <c r="CW1220" s="144"/>
      <c r="DG1220" s="143"/>
    </row>
    <row r="1221" spans="89:111" ht="11.25" customHeight="1">
      <c r="CK1221" s="1"/>
      <c r="CW1221" s="144"/>
      <c r="DG1221" s="143"/>
    </row>
    <row r="1222" spans="89:111" ht="11.25" customHeight="1">
      <c r="CK1222" s="1"/>
      <c r="CW1222" s="144"/>
      <c r="DG1222" s="143"/>
    </row>
    <row r="1223" spans="89:111" ht="11.25" customHeight="1">
      <c r="CK1223" s="1"/>
      <c r="CW1223" s="144"/>
      <c r="DG1223" s="143"/>
    </row>
    <row r="1224" spans="89:111" ht="11.25" customHeight="1">
      <c r="CK1224" s="1"/>
      <c r="CW1224" s="144"/>
      <c r="DG1224" s="143"/>
    </row>
    <row r="1225" spans="89:111" ht="11.25" customHeight="1">
      <c r="CK1225" s="1"/>
      <c r="CW1225" s="144"/>
      <c r="DG1225" s="143"/>
    </row>
    <row r="1226" spans="89:111" ht="11.25" customHeight="1">
      <c r="CK1226" s="1"/>
      <c r="CW1226" s="144"/>
      <c r="DG1226" s="143"/>
    </row>
    <row r="1227" spans="89:111" ht="11.25" customHeight="1">
      <c r="CK1227" s="1"/>
      <c r="CW1227" s="144"/>
      <c r="DG1227" s="143"/>
    </row>
    <row r="1228" spans="89:111" ht="11.25" customHeight="1">
      <c r="CK1228" s="1"/>
      <c r="CW1228" s="144"/>
      <c r="DG1228" s="143"/>
    </row>
    <row r="1229" spans="89:111" ht="11.25" customHeight="1">
      <c r="CK1229" s="1"/>
      <c r="CW1229" s="144"/>
      <c r="DG1229" s="143"/>
    </row>
    <row r="1230" spans="89:111" ht="11.25" customHeight="1">
      <c r="CK1230" s="1"/>
      <c r="CW1230" s="144"/>
      <c r="DG1230" s="143"/>
    </row>
    <row r="1231" spans="89:111" ht="11.25" customHeight="1">
      <c r="CK1231" s="1"/>
      <c r="CW1231" s="144"/>
      <c r="DG1231" s="143"/>
    </row>
    <row r="1232" spans="89:111" ht="11.25" customHeight="1">
      <c r="CK1232" s="1"/>
      <c r="CW1232" s="144"/>
      <c r="DG1232" s="143"/>
    </row>
    <row r="1233" spans="89:111" ht="11.25" customHeight="1">
      <c r="CK1233" s="1"/>
      <c r="CW1233" s="144"/>
      <c r="DG1233" s="143"/>
    </row>
    <row r="1234" spans="89:111" ht="11.25" customHeight="1">
      <c r="CK1234" s="1"/>
      <c r="CW1234" s="144"/>
      <c r="DG1234" s="143"/>
    </row>
    <row r="1235" spans="89:111" ht="11.25" customHeight="1">
      <c r="CK1235" s="1"/>
      <c r="CW1235" s="144"/>
      <c r="DG1235" s="143"/>
    </row>
    <row r="1236" spans="89:111" ht="11.25" customHeight="1">
      <c r="CK1236" s="1"/>
      <c r="CW1236" s="144"/>
      <c r="DG1236" s="143"/>
    </row>
    <row r="1237" spans="89:111" ht="11.25" customHeight="1">
      <c r="CK1237" s="1"/>
      <c r="CW1237" s="144"/>
      <c r="DG1237" s="143"/>
    </row>
    <row r="1238" spans="89:111" ht="11.25" customHeight="1">
      <c r="CK1238" s="1"/>
      <c r="CW1238" s="144"/>
      <c r="DG1238" s="143"/>
    </row>
    <row r="1239" spans="89:111" ht="11.25" customHeight="1">
      <c r="CK1239" s="1"/>
      <c r="CW1239" s="144"/>
      <c r="DG1239" s="143"/>
    </row>
    <row r="1240" spans="89:111" ht="11.25" customHeight="1">
      <c r="CK1240" s="1"/>
      <c r="CW1240" s="144"/>
      <c r="DG1240" s="143"/>
    </row>
    <row r="1241" spans="89:111" ht="11.25" customHeight="1">
      <c r="CK1241" s="1"/>
      <c r="CW1241" s="144"/>
      <c r="DG1241" s="143"/>
    </row>
    <row r="1242" spans="89:111" ht="11.25" customHeight="1">
      <c r="CK1242" s="1"/>
      <c r="CW1242" s="144"/>
      <c r="DG1242" s="143"/>
    </row>
    <row r="1243" spans="89:111" ht="11.25" customHeight="1">
      <c r="CK1243" s="1"/>
      <c r="CW1243" s="144"/>
      <c r="DG1243" s="143"/>
    </row>
    <row r="1244" spans="89:111" ht="11.25" customHeight="1">
      <c r="CK1244" s="1"/>
      <c r="CW1244" s="144"/>
      <c r="DG1244" s="143"/>
    </row>
    <row r="1245" spans="89:111" ht="11.25" customHeight="1">
      <c r="CK1245" s="1"/>
      <c r="CW1245" s="144"/>
      <c r="DG1245" s="143"/>
    </row>
    <row r="1246" spans="89:111" ht="11.25" customHeight="1">
      <c r="CK1246" s="1"/>
      <c r="CW1246" s="144"/>
      <c r="DG1246" s="143"/>
    </row>
    <row r="1247" spans="89:111" ht="11.25" customHeight="1">
      <c r="CK1247" s="1"/>
      <c r="CW1247" s="144"/>
      <c r="DG1247" s="143"/>
    </row>
    <row r="1248" spans="89:111" ht="11.25" customHeight="1">
      <c r="CK1248" s="1"/>
      <c r="CW1248" s="144"/>
      <c r="DG1248" s="143"/>
    </row>
    <row r="1249" spans="89:111" ht="11.25" customHeight="1">
      <c r="CK1249" s="1"/>
      <c r="CW1249" s="144"/>
      <c r="DG1249" s="143"/>
    </row>
    <row r="1250" spans="89:111" ht="11.25" customHeight="1">
      <c r="CK1250" s="1"/>
      <c r="CW1250" s="144"/>
      <c r="DG1250" s="143"/>
    </row>
    <row r="1251" spans="89:111" ht="11.25" customHeight="1">
      <c r="CK1251" s="1"/>
      <c r="CW1251" s="144"/>
      <c r="DG1251" s="143"/>
    </row>
    <row r="1252" spans="89:111" ht="11.25" customHeight="1">
      <c r="CK1252" s="1"/>
      <c r="CW1252" s="144"/>
      <c r="DG1252" s="143"/>
    </row>
    <row r="1253" spans="89:111" ht="11.25" customHeight="1">
      <c r="CK1253" s="1"/>
      <c r="CW1253" s="144"/>
      <c r="DG1253" s="143"/>
    </row>
    <row r="1254" spans="89:111" ht="11.25" customHeight="1">
      <c r="CK1254" s="1"/>
      <c r="CW1254" s="144"/>
      <c r="DG1254" s="143"/>
    </row>
    <row r="1255" spans="89:111" ht="11.25" customHeight="1">
      <c r="CK1255" s="1"/>
      <c r="CW1255" s="144"/>
      <c r="DG1255" s="143"/>
    </row>
    <row r="1256" spans="89:111" ht="11.25" customHeight="1">
      <c r="CK1256" s="1"/>
      <c r="CW1256" s="144"/>
      <c r="DG1256" s="143"/>
    </row>
    <row r="1257" spans="89:111" ht="11.25" customHeight="1">
      <c r="CK1257" s="1"/>
      <c r="CW1257" s="144"/>
      <c r="DG1257" s="143"/>
    </row>
    <row r="1258" spans="89:111" ht="11.25" customHeight="1">
      <c r="CK1258" s="1"/>
      <c r="CW1258" s="144"/>
      <c r="DG1258" s="143"/>
    </row>
    <row r="1259" spans="89:111" ht="11.25" customHeight="1">
      <c r="CK1259" s="1"/>
      <c r="CW1259" s="144"/>
      <c r="DG1259" s="143"/>
    </row>
    <row r="1260" spans="89:111" ht="11.25" customHeight="1">
      <c r="CK1260" s="1"/>
      <c r="CW1260" s="144"/>
      <c r="DG1260" s="143"/>
    </row>
    <row r="1261" spans="89:111" ht="11.25" customHeight="1">
      <c r="CK1261" s="1"/>
      <c r="CW1261" s="144"/>
      <c r="DG1261" s="143"/>
    </row>
    <row r="1262" spans="89:111" ht="11.25" customHeight="1">
      <c r="CK1262" s="1"/>
      <c r="CW1262" s="144"/>
      <c r="DG1262" s="143"/>
    </row>
    <row r="1263" spans="89:111" ht="11.25" customHeight="1">
      <c r="CK1263" s="1"/>
      <c r="CW1263" s="144"/>
      <c r="DG1263" s="143"/>
    </row>
    <row r="1264" spans="89:111" ht="11.25" customHeight="1">
      <c r="CK1264" s="1"/>
      <c r="CW1264" s="144"/>
      <c r="DG1264" s="143"/>
    </row>
    <row r="1265" spans="89:111" ht="11.25" customHeight="1">
      <c r="CK1265" s="1"/>
      <c r="CW1265" s="144"/>
      <c r="DG1265" s="143"/>
    </row>
    <row r="1266" spans="89:111" ht="11.25" customHeight="1">
      <c r="CK1266" s="1"/>
      <c r="CW1266" s="144"/>
      <c r="DG1266" s="143"/>
    </row>
    <row r="1267" spans="89:111" ht="11.25" customHeight="1">
      <c r="CK1267" s="1"/>
      <c r="CW1267" s="144"/>
      <c r="DG1267" s="143"/>
    </row>
    <row r="1268" spans="89:111" ht="11.25" customHeight="1">
      <c r="CK1268" s="1"/>
      <c r="CW1268" s="144"/>
      <c r="DG1268" s="143"/>
    </row>
    <row r="1269" spans="89:111" ht="11.25" customHeight="1">
      <c r="CK1269" s="1"/>
      <c r="CW1269" s="144"/>
      <c r="DG1269" s="143"/>
    </row>
    <row r="1270" spans="89:111" ht="11.25" customHeight="1">
      <c r="CK1270" s="1"/>
      <c r="CW1270" s="144"/>
      <c r="DG1270" s="143"/>
    </row>
    <row r="1271" spans="89:111" ht="11.25" customHeight="1">
      <c r="CK1271" s="1"/>
      <c r="CW1271" s="144"/>
      <c r="DG1271" s="143"/>
    </row>
    <row r="1272" spans="89:111" ht="11.25" customHeight="1">
      <c r="CK1272" s="1"/>
      <c r="CW1272" s="144"/>
      <c r="DG1272" s="143"/>
    </row>
    <row r="1273" spans="89:111" ht="11.25" customHeight="1">
      <c r="CK1273" s="1"/>
      <c r="CW1273" s="144"/>
      <c r="DG1273" s="143"/>
    </row>
    <row r="1274" spans="89:111" ht="11.25" customHeight="1">
      <c r="CK1274" s="1"/>
      <c r="CW1274" s="144"/>
      <c r="DG1274" s="143"/>
    </row>
    <row r="1275" spans="89:111" ht="11.25" customHeight="1">
      <c r="CK1275" s="1"/>
      <c r="CW1275" s="144"/>
      <c r="DG1275" s="143"/>
    </row>
    <row r="1276" spans="89:111" ht="11.25" customHeight="1">
      <c r="CK1276" s="1"/>
      <c r="CW1276" s="144"/>
      <c r="DG1276" s="143"/>
    </row>
    <row r="1277" spans="89:111" ht="11.25" customHeight="1">
      <c r="CK1277" s="1"/>
      <c r="CW1277" s="144"/>
      <c r="DG1277" s="143"/>
    </row>
    <row r="1278" spans="89:111" ht="11.25" customHeight="1">
      <c r="CK1278" s="1"/>
      <c r="CW1278" s="144"/>
      <c r="DG1278" s="143"/>
    </row>
    <row r="1279" spans="89:111" ht="11.25" customHeight="1">
      <c r="CK1279" s="1"/>
      <c r="CW1279" s="144"/>
      <c r="DG1279" s="143"/>
    </row>
    <row r="1280" spans="89:111" ht="11.25" customHeight="1">
      <c r="CK1280" s="1"/>
      <c r="CW1280" s="144"/>
      <c r="DG1280" s="143"/>
    </row>
    <row r="1281" spans="89:111" ht="11.25" customHeight="1">
      <c r="CK1281" s="1"/>
      <c r="CW1281" s="144"/>
      <c r="DG1281" s="143"/>
    </row>
    <row r="1282" spans="89:111" ht="11.25" customHeight="1">
      <c r="CK1282" s="1"/>
      <c r="CW1282" s="144"/>
      <c r="DG1282" s="143"/>
    </row>
    <row r="1283" spans="89:111" ht="11.25" customHeight="1">
      <c r="CK1283" s="1"/>
      <c r="CW1283" s="144"/>
      <c r="DG1283" s="143"/>
    </row>
    <row r="1284" spans="89:111" ht="11.25" customHeight="1">
      <c r="CK1284" s="1"/>
      <c r="CW1284" s="144"/>
      <c r="DG1284" s="143"/>
    </row>
    <row r="1285" spans="89:111" ht="11.25" customHeight="1">
      <c r="CK1285" s="1"/>
      <c r="CW1285" s="144"/>
      <c r="DG1285" s="143"/>
    </row>
    <row r="1286" spans="89:111" ht="11.25" customHeight="1">
      <c r="CK1286" s="1"/>
      <c r="CW1286" s="144"/>
      <c r="DG1286" s="143"/>
    </row>
    <row r="1287" spans="89:111" ht="11.25" customHeight="1">
      <c r="CK1287" s="1"/>
      <c r="CW1287" s="144"/>
      <c r="DG1287" s="143"/>
    </row>
    <row r="1288" spans="89:111" ht="11.25" customHeight="1">
      <c r="CK1288" s="1"/>
      <c r="CW1288" s="144"/>
      <c r="DG1288" s="143"/>
    </row>
    <row r="1289" spans="89:111" ht="11.25" customHeight="1">
      <c r="CK1289" s="1"/>
      <c r="CW1289" s="144"/>
      <c r="DG1289" s="143"/>
    </row>
    <row r="1290" spans="89:111" ht="11.25" customHeight="1">
      <c r="CK1290" s="1"/>
      <c r="CW1290" s="144"/>
      <c r="DG1290" s="143"/>
    </row>
    <row r="1291" spans="89:111" ht="11.25" customHeight="1">
      <c r="CK1291" s="1"/>
      <c r="CW1291" s="144"/>
      <c r="DG1291" s="143"/>
    </row>
    <row r="1292" spans="89:111" ht="11.25" customHeight="1">
      <c r="CK1292" s="1"/>
      <c r="CW1292" s="144"/>
      <c r="DG1292" s="143"/>
    </row>
    <row r="1293" spans="89:111" ht="11.25" customHeight="1">
      <c r="CK1293" s="1"/>
      <c r="CW1293" s="144"/>
      <c r="DG1293" s="143"/>
    </row>
    <row r="1294" spans="89:111" ht="11.25" customHeight="1">
      <c r="CK1294" s="1"/>
      <c r="CW1294" s="144"/>
      <c r="DG1294" s="143"/>
    </row>
    <row r="1295" spans="89:111" ht="11.25" customHeight="1">
      <c r="CK1295" s="1"/>
      <c r="CW1295" s="144"/>
      <c r="DG1295" s="143"/>
    </row>
    <row r="1296" spans="89:111" ht="11.25" customHeight="1">
      <c r="CK1296" s="1"/>
      <c r="CW1296" s="144"/>
      <c r="DG1296" s="143"/>
    </row>
    <row r="1297" spans="89:111" ht="11.25" customHeight="1">
      <c r="CK1297" s="1"/>
      <c r="CW1297" s="144"/>
      <c r="DG1297" s="143"/>
    </row>
    <row r="1298" spans="89:111" ht="11.25" customHeight="1">
      <c r="CK1298" s="1"/>
      <c r="CW1298" s="144"/>
      <c r="DG1298" s="143"/>
    </row>
    <row r="1299" spans="89:111" ht="11.25" customHeight="1">
      <c r="CK1299" s="1"/>
      <c r="CW1299" s="144"/>
      <c r="DG1299" s="143"/>
    </row>
    <row r="1300" spans="89:111" ht="11.25" customHeight="1">
      <c r="CK1300" s="1"/>
      <c r="CW1300" s="144"/>
      <c r="DG1300" s="143"/>
    </row>
    <row r="1301" spans="89:111" ht="11.25" customHeight="1">
      <c r="CK1301" s="1"/>
      <c r="CW1301" s="144"/>
      <c r="DG1301" s="143"/>
    </row>
    <row r="1302" spans="89:111" ht="11.25" customHeight="1">
      <c r="CK1302" s="1"/>
      <c r="CW1302" s="144"/>
      <c r="DG1302" s="143"/>
    </row>
    <row r="1303" spans="89:111" ht="11.25" customHeight="1">
      <c r="CK1303" s="1"/>
      <c r="CW1303" s="144"/>
      <c r="DG1303" s="143"/>
    </row>
    <row r="1304" spans="89:111" ht="11.25" customHeight="1">
      <c r="CK1304" s="1"/>
      <c r="CW1304" s="144"/>
      <c r="DG1304" s="143"/>
    </row>
    <row r="1305" spans="89:111" ht="11.25" customHeight="1">
      <c r="CK1305" s="1"/>
      <c r="CW1305" s="144"/>
      <c r="DG1305" s="143"/>
    </row>
    <row r="1306" spans="89:111" ht="11.25" customHeight="1">
      <c r="CK1306" s="1"/>
      <c r="CW1306" s="144"/>
      <c r="DG1306" s="143"/>
    </row>
    <row r="1307" spans="89:111" ht="11.25" customHeight="1">
      <c r="CK1307" s="1"/>
      <c r="CW1307" s="144"/>
      <c r="DG1307" s="143"/>
    </row>
    <row r="1308" spans="89:111" ht="11.25" customHeight="1">
      <c r="CK1308" s="1"/>
      <c r="CW1308" s="144"/>
      <c r="DG1308" s="143"/>
    </row>
    <row r="1309" spans="89:111" ht="11.25" customHeight="1">
      <c r="CK1309" s="1"/>
      <c r="CW1309" s="144"/>
      <c r="DG1309" s="143"/>
    </row>
    <row r="1310" spans="89:111" ht="11.25" customHeight="1">
      <c r="CK1310" s="1"/>
      <c r="CW1310" s="144"/>
      <c r="DG1310" s="143"/>
    </row>
    <row r="1311" spans="89:111" ht="11.25" customHeight="1">
      <c r="CK1311" s="1"/>
      <c r="CW1311" s="144"/>
      <c r="DG1311" s="143"/>
    </row>
    <row r="1312" spans="89:111" ht="11.25" customHeight="1">
      <c r="CK1312" s="1"/>
      <c r="CW1312" s="144"/>
      <c r="DG1312" s="143"/>
    </row>
    <row r="1313" spans="89:111" ht="11.25" customHeight="1">
      <c r="CK1313" s="1"/>
      <c r="CW1313" s="144"/>
      <c r="DG1313" s="143"/>
    </row>
    <row r="1314" spans="89:111" ht="11.25" customHeight="1">
      <c r="CK1314" s="1"/>
      <c r="CW1314" s="144"/>
      <c r="DG1314" s="143"/>
    </row>
    <row r="1315" spans="89:111" ht="11.25" customHeight="1">
      <c r="CK1315" s="1"/>
      <c r="CW1315" s="144"/>
      <c r="DG1315" s="143"/>
    </row>
    <row r="1316" spans="89:111" ht="11.25" customHeight="1">
      <c r="CK1316" s="1"/>
      <c r="CW1316" s="144"/>
      <c r="DG1316" s="143"/>
    </row>
    <row r="1317" spans="89:111" ht="11.25" customHeight="1">
      <c r="CK1317" s="1"/>
      <c r="CW1317" s="144"/>
      <c r="DG1317" s="143"/>
    </row>
    <row r="1318" spans="89:111" ht="11.25" customHeight="1">
      <c r="CK1318" s="1"/>
      <c r="CW1318" s="144"/>
      <c r="DG1318" s="143"/>
    </row>
    <row r="1319" spans="89:111" ht="11.25" customHeight="1">
      <c r="CK1319" s="1"/>
      <c r="CW1319" s="144"/>
      <c r="DG1319" s="143"/>
    </row>
    <row r="1320" spans="89:111" ht="11.25" customHeight="1">
      <c r="CK1320" s="1"/>
      <c r="CW1320" s="144"/>
      <c r="DG1320" s="143"/>
    </row>
    <row r="1321" spans="89:111" ht="11.25" customHeight="1">
      <c r="CK1321" s="1"/>
      <c r="CW1321" s="144"/>
      <c r="DG1321" s="143"/>
    </row>
    <row r="1322" spans="89:111" ht="11.25" customHeight="1">
      <c r="CK1322" s="1"/>
      <c r="CW1322" s="144"/>
      <c r="DG1322" s="143"/>
    </row>
    <row r="1323" spans="89:111" ht="11.25" customHeight="1">
      <c r="CK1323" s="1"/>
      <c r="CW1323" s="144"/>
      <c r="DG1323" s="143"/>
    </row>
    <row r="1324" spans="89:111" ht="11.25" customHeight="1">
      <c r="CK1324" s="1"/>
      <c r="CW1324" s="144"/>
      <c r="DG1324" s="143"/>
    </row>
    <row r="1325" spans="89:111" ht="11.25" customHeight="1">
      <c r="CK1325" s="1"/>
      <c r="CW1325" s="144"/>
      <c r="DG1325" s="143"/>
    </row>
    <row r="1326" spans="89:111" ht="11.25" customHeight="1">
      <c r="CK1326" s="1"/>
      <c r="CW1326" s="144"/>
      <c r="DG1326" s="143"/>
    </row>
    <row r="1327" spans="89:111" ht="11.25" customHeight="1">
      <c r="CK1327" s="1"/>
      <c r="CW1327" s="144"/>
      <c r="DG1327" s="143"/>
    </row>
    <row r="1328" spans="89:111" ht="11.25" customHeight="1">
      <c r="CK1328" s="1"/>
      <c r="CW1328" s="144"/>
      <c r="DG1328" s="143"/>
    </row>
    <row r="1329" spans="89:111" ht="11.25" customHeight="1">
      <c r="CK1329" s="1"/>
      <c r="CW1329" s="144"/>
      <c r="DG1329" s="143"/>
    </row>
    <row r="1330" spans="89:111" ht="11.25" customHeight="1">
      <c r="CK1330" s="1"/>
      <c r="CW1330" s="144"/>
      <c r="DG1330" s="143"/>
    </row>
    <row r="1331" spans="89:111" ht="11.25" customHeight="1">
      <c r="CK1331" s="1"/>
      <c r="CW1331" s="144"/>
      <c r="DG1331" s="143"/>
    </row>
    <row r="1332" spans="89:111" ht="11.25" customHeight="1">
      <c r="CK1332" s="1"/>
      <c r="CW1332" s="144"/>
      <c r="DG1332" s="143"/>
    </row>
    <row r="1333" spans="89:111" ht="11.25" customHeight="1">
      <c r="CK1333" s="1"/>
      <c r="CW1333" s="144"/>
      <c r="DG1333" s="143"/>
    </row>
    <row r="1334" spans="89:111" ht="11.25" customHeight="1">
      <c r="CK1334" s="1"/>
      <c r="CW1334" s="144"/>
      <c r="DG1334" s="143"/>
    </row>
    <row r="1335" spans="89:111" ht="11.25" customHeight="1">
      <c r="CK1335" s="1"/>
      <c r="CW1335" s="144"/>
      <c r="DG1335" s="143"/>
    </row>
    <row r="1336" spans="89:111" ht="11.25" customHeight="1">
      <c r="CK1336" s="1"/>
      <c r="CW1336" s="144"/>
      <c r="DG1336" s="143"/>
    </row>
    <row r="1337" spans="89:111" ht="11.25" customHeight="1">
      <c r="CK1337" s="1"/>
      <c r="CW1337" s="144"/>
      <c r="DG1337" s="143"/>
    </row>
    <row r="1338" spans="89:111" ht="11.25" customHeight="1">
      <c r="CK1338" s="1"/>
      <c r="CW1338" s="144"/>
      <c r="DG1338" s="143"/>
    </row>
    <row r="1339" spans="89:111" ht="11.25" customHeight="1">
      <c r="CK1339" s="1"/>
      <c r="CW1339" s="144"/>
      <c r="DG1339" s="143"/>
    </row>
    <row r="1340" spans="89:111" ht="11.25" customHeight="1">
      <c r="CK1340" s="1"/>
      <c r="CW1340" s="144"/>
      <c r="DG1340" s="143"/>
    </row>
    <row r="1341" spans="89:111" ht="11.25" customHeight="1">
      <c r="CK1341" s="1"/>
      <c r="CW1341" s="144"/>
      <c r="DG1341" s="143"/>
    </row>
    <row r="1342" spans="89:111" ht="11.25" customHeight="1">
      <c r="CK1342" s="1"/>
      <c r="CW1342" s="144"/>
      <c r="DG1342" s="143"/>
    </row>
    <row r="1343" spans="89:111" ht="11.25" customHeight="1">
      <c r="CK1343" s="1"/>
      <c r="CW1343" s="144"/>
      <c r="DG1343" s="143"/>
    </row>
    <row r="1344" spans="89:111" ht="11.25" customHeight="1">
      <c r="CK1344" s="1"/>
      <c r="CW1344" s="144"/>
      <c r="DG1344" s="143"/>
    </row>
    <row r="1345" spans="89:111" ht="11.25" customHeight="1">
      <c r="CK1345" s="1"/>
      <c r="CW1345" s="144"/>
      <c r="DG1345" s="143"/>
    </row>
    <row r="1346" spans="89:111" ht="11.25" customHeight="1">
      <c r="CK1346" s="1"/>
      <c r="CW1346" s="144"/>
      <c r="DG1346" s="143"/>
    </row>
    <row r="1347" spans="89:111" ht="11.25" customHeight="1">
      <c r="CK1347" s="1"/>
      <c r="CW1347" s="144"/>
      <c r="DG1347" s="143"/>
    </row>
    <row r="1348" spans="89:111" ht="11.25" customHeight="1">
      <c r="CK1348" s="1"/>
      <c r="CW1348" s="144"/>
      <c r="DG1348" s="143"/>
    </row>
    <row r="1349" spans="89:111" ht="11.25" customHeight="1">
      <c r="CK1349" s="1"/>
      <c r="CW1349" s="144"/>
      <c r="DG1349" s="143"/>
    </row>
    <row r="1350" spans="89:111" ht="11.25" customHeight="1">
      <c r="CK1350" s="1"/>
      <c r="CW1350" s="144"/>
      <c r="DG1350" s="143"/>
    </row>
    <row r="1351" spans="89:111" ht="11.25" customHeight="1">
      <c r="CK1351" s="1"/>
      <c r="CW1351" s="144"/>
      <c r="DG1351" s="143"/>
    </row>
    <row r="1352" spans="89:111" ht="11.25" customHeight="1">
      <c r="CK1352" s="1"/>
      <c r="CW1352" s="144"/>
      <c r="DG1352" s="143"/>
    </row>
    <row r="1353" spans="89:111" ht="11.25" customHeight="1">
      <c r="CK1353" s="1"/>
      <c r="CW1353" s="144"/>
      <c r="DG1353" s="143"/>
    </row>
    <row r="1354" spans="89:111" ht="11.25" customHeight="1">
      <c r="CK1354" s="1"/>
      <c r="CW1354" s="144"/>
      <c r="DG1354" s="143"/>
    </row>
    <row r="1355" spans="89:111" ht="11.25" customHeight="1">
      <c r="CK1355" s="1"/>
      <c r="CW1355" s="144"/>
      <c r="DG1355" s="143"/>
    </row>
    <row r="1356" spans="89:111" ht="11.25" customHeight="1">
      <c r="CK1356" s="1"/>
      <c r="CW1356" s="144"/>
      <c r="DG1356" s="143"/>
    </row>
    <row r="1357" spans="89:111" ht="11.25" customHeight="1">
      <c r="CK1357" s="1"/>
      <c r="CW1357" s="144"/>
      <c r="DG1357" s="143"/>
    </row>
    <row r="1358" spans="89:111" ht="11.25" customHeight="1">
      <c r="CK1358" s="1"/>
      <c r="CW1358" s="144"/>
      <c r="DG1358" s="143"/>
    </row>
    <row r="1359" spans="89:111" ht="11.25" customHeight="1">
      <c r="CK1359" s="1"/>
      <c r="CW1359" s="144"/>
      <c r="DG1359" s="143"/>
    </row>
    <row r="1360" spans="89:111" ht="11.25" customHeight="1">
      <c r="CK1360" s="1"/>
      <c r="CW1360" s="144"/>
      <c r="DG1360" s="143"/>
    </row>
    <row r="1361" spans="89:111" ht="11.25" customHeight="1">
      <c r="CK1361" s="1"/>
      <c r="CW1361" s="144"/>
      <c r="DG1361" s="143"/>
    </row>
    <row r="1362" spans="89:111" ht="11.25" customHeight="1">
      <c r="CK1362" s="1"/>
      <c r="CW1362" s="144"/>
      <c r="DG1362" s="143"/>
    </row>
    <row r="1363" spans="89:111" ht="11.25" customHeight="1">
      <c r="CK1363" s="1"/>
      <c r="CW1363" s="144"/>
      <c r="DG1363" s="143"/>
    </row>
    <row r="1364" spans="89:111" ht="11.25" customHeight="1">
      <c r="CK1364" s="1"/>
      <c r="CW1364" s="144"/>
      <c r="DG1364" s="143"/>
    </row>
    <row r="1365" spans="89:111" ht="11.25" customHeight="1">
      <c r="CK1365" s="1"/>
      <c r="CW1365" s="144"/>
      <c r="DG1365" s="143"/>
    </row>
    <row r="1366" spans="89:111" ht="11.25" customHeight="1">
      <c r="CK1366" s="1"/>
      <c r="CW1366" s="144"/>
      <c r="DG1366" s="143"/>
    </row>
    <row r="1367" spans="89:111" ht="11.25" customHeight="1">
      <c r="CK1367" s="1"/>
      <c r="CW1367" s="144"/>
      <c r="DG1367" s="143"/>
    </row>
    <row r="1368" spans="89:111" ht="11.25" customHeight="1">
      <c r="CK1368" s="1"/>
      <c r="CW1368" s="144"/>
      <c r="DG1368" s="143"/>
    </row>
    <row r="1369" spans="89:111" ht="11.25" customHeight="1">
      <c r="CK1369" s="1"/>
      <c r="CW1369" s="144"/>
      <c r="DG1369" s="143"/>
    </row>
    <row r="1370" spans="89:111" ht="11.25" customHeight="1">
      <c r="CK1370" s="1"/>
      <c r="CW1370" s="144"/>
      <c r="DG1370" s="143"/>
    </row>
    <row r="1371" spans="89:111" ht="11.25" customHeight="1">
      <c r="CK1371" s="1"/>
      <c r="CW1371" s="144"/>
      <c r="DG1371" s="143"/>
    </row>
    <row r="1372" spans="89:111" ht="11.25" customHeight="1">
      <c r="CK1372" s="1"/>
      <c r="CW1372" s="144"/>
      <c r="DG1372" s="143"/>
    </row>
    <row r="1373" spans="89:111" ht="11.25" customHeight="1">
      <c r="CK1373" s="1"/>
      <c r="CW1373" s="144"/>
      <c r="DG1373" s="143"/>
    </row>
    <row r="1374" spans="89:111" ht="11.25" customHeight="1">
      <c r="CK1374" s="1"/>
      <c r="CW1374" s="144"/>
      <c r="DG1374" s="143"/>
    </row>
    <row r="1375" spans="89:111" ht="11.25" customHeight="1">
      <c r="CK1375" s="1"/>
      <c r="CW1375" s="144"/>
      <c r="DG1375" s="143"/>
    </row>
    <row r="1376" spans="89:111" ht="11.25" customHeight="1">
      <c r="CK1376" s="1"/>
      <c r="CW1376" s="144"/>
      <c r="DG1376" s="143"/>
    </row>
    <row r="1377" spans="89:111" ht="11.25" customHeight="1">
      <c r="CK1377" s="1"/>
      <c r="CW1377" s="144"/>
      <c r="DG1377" s="143"/>
    </row>
    <row r="1378" spans="89:111" ht="11.25" customHeight="1">
      <c r="CK1378" s="1"/>
      <c r="CW1378" s="144"/>
      <c r="DG1378" s="143"/>
    </row>
    <row r="1379" spans="89:111" ht="11.25" customHeight="1">
      <c r="CK1379" s="1"/>
      <c r="CW1379" s="144"/>
      <c r="DG1379" s="143"/>
    </row>
    <row r="1380" spans="89:111" ht="11.25" customHeight="1">
      <c r="CK1380" s="1"/>
      <c r="CW1380" s="144"/>
      <c r="DG1380" s="143"/>
    </row>
    <row r="1381" spans="89:111" ht="11.25" customHeight="1">
      <c r="CK1381" s="1"/>
      <c r="CW1381" s="144"/>
      <c r="DG1381" s="143"/>
    </row>
    <row r="1382" spans="89:111" ht="11.25" customHeight="1">
      <c r="CK1382" s="1"/>
      <c r="CW1382" s="144"/>
      <c r="DG1382" s="143"/>
    </row>
    <row r="1383" spans="89:111" ht="11.25" customHeight="1">
      <c r="CK1383" s="1"/>
      <c r="CW1383" s="144"/>
      <c r="DG1383" s="143"/>
    </row>
    <row r="1384" spans="89:111" ht="11.25" customHeight="1">
      <c r="CK1384" s="1"/>
      <c r="CW1384" s="144"/>
      <c r="DG1384" s="143"/>
    </row>
    <row r="1385" spans="89:111" ht="11.25" customHeight="1">
      <c r="CK1385" s="1"/>
      <c r="CW1385" s="144"/>
      <c r="DG1385" s="143"/>
    </row>
    <row r="1386" spans="89:111" ht="11.25" customHeight="1">
      <c r="CK1386" s="1"/>
      <c r="CW1386" s="144"/>
      <c r="DG1386" s="143"/>
    </row>
    <row r="1387" spans="89:111" ht="11.25" customHeight="1">
      <c r="CK1387" s="1"/>
      <c r="CW1387" s="144"/>
      <c r="DG1387" s="143"/>
    </row>
    <row r="1388" spans="89:111" ht="11.25" customHeight="1">
      <c r="CK1388" s="1"/>
      <c r="CW1388" s="144"/>
      <c r="DG1388" s="143"/>
    </row>
    <row r="1389" spans="89:111" ht="11.25" customHeight="1">
      <c r="CK1389" s="1"/>
      <c r="CW1389" s="144"/>
      <c r="DG1389" s="143"/>
    </row>
    <row r="1390" spans="89:111" ht="11.25" customHeight="1">
      <c r="CK1390" s="1"/>
      <c r="CW1390" s="144"/>
      <c r="DG1390" s="143"/>
    </row>
    <row r="1391" spans="89:111" ht="11.25" customHeight="1">
      <c r="CK1391" s="1"/>
      <c r="CW1391" s="144"/>
      <c r="DG1391" s="143"/>
    </row>
    <row r="1392" spans="89:111" ht="11.25" customHeight="1">
      <c r="CK1392" s="1"/>
      <c r="CW1392" s="144"/>
      <c r="DG1392" s="143"/>
    </row>
    <row r="1393" spans="89:111" ht="11.25" customHeight="1">
      <c r="CK1393" s="1"/>
      <c r="CW1393" s="144"/>
      <c r="DG1393" s="143"/>
    </row>
    <row r="1394" spans="89:111" ht="11.25" customHeight="1">
      <c r="CK1394" s="1"/>
      <c r="CW1394" s="144"/>
      <c r="DG1394" s="143"/>
    </row>
    <row r="1395" spans="89:111" ht="11.25" customHeight="1">
      <c r="CK1395" s="1"/>
      <c r="CW1395" s="144"/>
      <c r="DG1395" s="143"/>
    </row>
    <row r="1396" spans="89:111" ht="11.25" customHeight="1">
      <c r="CK1396" s="1"/>
      <c r="CW1396" s="144"/>
      <c r="DG1396" s="143"/>
    </row>
    <row r="1397" spans="89:111" ht="11.25" customHeight="1">
      <c r="CK1397" s="1"/>
      <c r="CW1397" s="144"/>
      <c r="DG1397" s="143"/>
    </row>
    <row r="1398" spans="89:111" ht="11.25" customHeight="1">
      <c r="CK1398" s="1"/>
      <c r="CW1398" s="144"/>
      <c r="DG1398" s="143"/>
    </row>
    <row r="1399" spans="89:111" ht="11.25" customHeight="1">
      <c r="CK1399" s="1"/>
      <c r="CW1399" s="144"/>
      <c r="DG1399" s="143"/>
    </row>
    <row r="1400" spans="89:111" ht="11.25" customHeight="1">
      <c r="CK1400" s="1"/>
      <c r="CW1400" s="144"/>
      <c r="DG1400" s="143"/>
    </row>
    <row r="1401" spans="89:111" ht="11.25" customHeight="1">
      <c r="CK1401" s="1"/>
      <c r="CW1401" s="144"/>
      <c r="DG1401" s="143"/>
    </row>
    <row r="1402" spans="89:111" ht="11.25" customHeight="1">
      <c r="CK1402" s="1"/>
      <c r="CW1402" s="144"/>
      <c r="DG1402" s="143"/>
    </row>
    <row r="1403" spans="89:111" ht="11.25" customHeight="1">
      <c r="CK1403" s="1"/>
      <c r="CW1403" s="144"/>
      <c r="DG1403" s="143"/>
    </row>
    <row r="1404" spans="89:111" ht="11.25" customHeight="1">
      <c r="CK1404" s="1"/>
      <c r="CW1404" s="144"/>
      <c r="DG1404" s="143"/>
    </row>
    <row r="1405" spans="89:111" ht="11.25" customHeight="1">
      <c r="CK1405" s="1"/>
      <c r="CW1405" s="144"/>
      <c r="DG1405" s="143"/>
    </row>
    <row r="1406" spans="89:111" ht="11.25" customHeight="1">
      <c r="CK1406" s="1"/>
      <c r="CW1406" s="144"/>
      <c r="DG1406" s="143"/>
    </row>
    <row r="1407" spans="89:111" ht="11.25" customHeight="1">
      <c r="CK1407" s="1"/>
      <c r="CW1407" s="144"/>
      <c r="DG1407" s="143"/>
    </row>
    <row r="1408" spans="89:111" ht="11.25" customHeight="1">
      <c r="CK1408" s="1"/>
      <c r="CW1408" s="144"/>
      <c r="DG1408" s="143"/>
    </row>
    <row r="1409" spans="89:111" ht="11.25" customHeight="1">
      <c r="CK1409" s="1"/>
      <c r="CW1409" s="144"/>
      <c r="DG1409" s="143"/>
    </row>
    <row r="1410" spans="89:111" ht="11.25" customHeight="1">
      <c r="CK1410" s="1"/>
      <c r="CW1410" s="144"/>
      <c r="DG1410" s="143"/>
    </row>
    <row r="1411" spans="89:111" ht="11.25" customHeight="1">
      <c r="CK1411" s="1"/>
      <c r="CW1411" s="144"/>
      <c r="DG1411" s="143"/>
    </row>
    <row r="1412" spans="89:111" ht="11.25" customHeight="1">
      <c r="CK1412" s="1"/>
      <c r="CW1412" s="144"/>
      <c r="DG1412" s="143"/>
    </row>
    <row r="1413" spans="89:111" ht="11.25" customHeight="1">
      <c r="CK1413" s="1"/>
      <c r="CW1413" s="144"/>
      <c r="DG1413" s="143"/>
    </row>
    <row r="1414" spans="89:111" ht="11.25" customHeight="1">
      <c r="CK1414" s="1"/>
      <c r="CW1414" s="144"/>
      <c r="DG1414" s="143"/>
    </row>
    <row r="1415" spans="89:111" ht="11.25" customHeight="1">
      <c r="CK1415" s="1"/>
      <c r="CW1415" s="144"/>
      <c r="DG1415" s="143"/>
    </row>
    <row r="1416" spans="89:111" ht="11.25" customHeight="1">
      <c r="CK1416" s="1"/>
      <c r="CW1416" s="144"/>
      <c r="DG1416" s="143"/>
    </row>
    <row r="1417" spans="89:111" ht="11.25" customHeight="1">
      <c r="CK1417" s="1"/>
      <c r="CW1417" s="144"/>
      <c r="DG1417" s="143"/>
    </row>
    <row r="1418" spans="89:111" ht="11.25" customHeight="1">
      <c r="CK1418" s="1"/>
      <c r="CW1418" s="144"/>
      <c r="DG1418" s="143"/>
    </row>
    <row r="1419" spans="89:111" ht="11.25" customHeight="1">
      <c r="CK1419" s="1"/>
      <c r="CW1419" s="144"/>
      <c r="DG1419" s="143"/>
    </row>
    <row r="1420" spans="89:111" ht="11.25" customHeight="1">
      <c r="CK1420" s="1"/>
      <c r="CW1420" s="144"/>
      <c r="DG1420" s="143"/>
    </row>
    <row r="1421" spans="89:111" ht="11.25" customHeight="1">
      <c r="CK1421" s="1"/>
      <c r="CW1421" s="144"/>
      <c r="DG1421" s="143"/>
    </row>
    <row r="1422" spans="89:111" ht="11.25" customHeight="1">
      <c r="CK1422" s="1"/>
      <c r="CW1422" s="144"/>
      <c r="DG1422" s="143"/>
    </row>
    <row r="1423" spans="89:111" ht="11.25" customHeight="1">
      <c r="CK1423" s="1"/>
      <c r="CW1423" s="144"/>
      <c r="DG1423" s="143"/>
    </row>
    <row r="1424" spans="89:111" ht="11.25" customHeight="1">
      <c r="CK1424" s="1"/>
      <c r="CW1424" s="144"/>
      <c r="DG1424" s="143"/>
    </row>
    <row r="1425" spans="89:111" ht="11.25" customHeight="1">
      <c r="CK1425" s="1"/>
      <c r="CW1425" s="144"/>
      <c r="DG1425" s="143"/>
    </row>
    <row r="1426" spans="89:111" ht="11.25" customHeight="1">
      <c r="CK1426" s="1"/>
      <c r="CW1426" s="144"/>
      <c r="DG1426" s="143"/>
    </row>
    <row r="1427" spans="89:111" ht="11.25" customHeight="1">
      <c r="CK1427" s="1"/>
      <c r="CW1427" s="144"/>
      <c r="DG1427" s="143"/>
    </row>
    <row r="1428" spans="89:111" ht="11.25" customHeight="1">
      <c r="CK1428" s="1"/>
      <c r="CW1428" s="144"/>
      <c r="DG1428" s="143"/>
    </row>
    <row r="1429" spans="89:111" ht="11.25" customHeight="1">
      <c r="CK1429" s="1"/>
      <c r="CW1429" s="144"/>
      <c r="DG1429" s="143"/>
    </row>
    <row r="1430" spans="89:111" ht="11.25" customHeight="1">
      <c r="CK1430" s="1"/>
      <c r="CW1430" s="144"/>
      <c r="DG1430" s="143"/>
    </row>
    <row r="1431" spans="89:111" ht="11.25" customHeight="1">
      <c r="CK1431" s="1"/>
      <c r="CW1431" s="144"/>
      <c r="DG1431" s="143"/>
    </row>
    <row r="1432" spans="89:111" ht="11.25" customHeight="1">
      <c r="CK1432" s="1"/>
      <c r="CW1432" s="144"/>
      <c r="DG1432" s="143"/>
    </row>
    <row r="1433" spans="89:111" ht="11.25" customHeight="1">
      <c r="CK1433" s="1"/>
      <c r="CW1433" s="144"/>
      <c r="DG1433" s="143"/>
    </row>
    <row r="1434" spans="89:111" ht="11.25" customHeight="1">
      <c r="CK1434" s="1"/>
      <c r="CW1434" s="144"/>
      <c r="DG1434" s="143"/>
    </row>
    <row r="1435" spans="89:111" ht="11.25" customHeight="1">
      <c r="CK1435" s="1"/>
      <c r="CW1435" s="144"/>
      <c r="DG1435" s="143"/>
    </row>
    <row r="1436" spans="89:111" ht="11.25" customHeight="1">
      <c r="CK1436" s="1"/>
      <c r="CW1436" s="144"/>
      <c r="DG1436" s="143"/>
    </row>
    <row r="1437" spans="89:111" ht="11.25" customHeight="1">
      <c r="CK1437" s="1"/>
      <c r="CW1437" s="144"/>
      <c r="DG1437" s="143"/>
    </row>
    <row r="1438" spans="89:111" ht="11.25" customHeight="1">
      <c r="CK1438" s="1"/>
      <c r="CW1438" s="144"/>
      <c r="DG1438" s="143"/>
    </row>
    <row r="1439" spans="89:111" ht="11.25" customHeight="1">
      <c r="CK1439" s="1"/>
      <c r="CW1439" s="144"/>
      <c r="DG1439" s="143"/>
    </row>
    <row r="1440" spans="89:111" ht="11.25" customHeight="1">
      <c r="CK1440" s="1"/>
      <c r="CW1440" s="144"/>
      <c r="DG1440" s="143"/>
    </row>
    <row r="1441" spans="89:111" ht="11.25" customHeight="1">
      <c r="CK1441" s="1"/>
      <c r="CW1441" s="144"/>
      <c r="DG1441" s="143"/>
    </row>
    <row r="1442" spans="89:111" ht="11.25" customHeight="1">
      <c r="CK1442" s="1"/>
      <c r="CW1442" s="144"/>
      <c r="DG1442" s="143"/>
    </row>
    <row r="1443" spans="89:111" ht="11.25" customHeight="1">
      <c r="CK1443" s="1"/>
      <c r="CW1443" s="144"/>
      <c r="DG1443" s="143"/>
    </row>
    <row r="1444" spans="89:111" ht="11.25" customHeight="1">
      <c r="CK1444" s="1"/>
      <c r="CW1444" s="144"/>
      <c r="DG1444" s="143"/>
    </row>
    <row r="1445" spans="89:111" ht="11.25" customHeight="1">
      <c r="CK1445" s="1"/>
      <c r="CW1445" s="144"/>
      <c r="DG1445" s="143"/>
    </row>
    <row r="1446" spans="89:111" ht="11.25" customHeight="1">
      <c r="CK1446" s="1"/>
      <c r="CW1446" s="144"/>
      <c r="DG1446" s="143"/>
    </row>
    <row r="1447" spans="89:111" ht="11.25" customHeight="1">
      <c r="CK1447" s="1"/>
      <c r="CW1447" s="144"/>
      <c r="DG1447" s="143"/>
    </row>
    <row r="1448" spans="89:111" ht="11.25" customHeight="1">
      <c r="CK1448" s="1"/>
      <c r="CW1448" s="144"/>
      <c r="DG1448" s="143"/>
    </row>
    <row r="1449" spans="89:111" ht="11.25" customHeight="1">
      <c r="CK1449" s="1"/>
      <c r="CW1449" s="144"/>
      <c r="DG1449" s="143"/>
    </row>
    <row r="1450" spans="89:111" ht="11.25" customHeight="1">
      <c r="CK1450" s="1"/>
      <c r="CW1450" s="144"/>
      <c r="DG1450" s="143"/>
    </row>
    <row r="1451" spans="89:111" ht="11.25" customHeight="1">
      <c r="CK1451" s="1"/>
      <c r="CW1451" s="144"/>
      <c r="DG1451" s="143"/>
    </row>
    <row r="1452" spans="89:111" ht="11.25" customHeight="1">
      <c r="CK1452" s="1"/>
      <c r="CW1452" s="144"/>
      <c r="DG1452" s="143"/>
    </row>
    <row r="1453" spans="89:111" ht="11.25" customHeight="1">
      <c r="CK1453" s="1"/>
      <c r="CW1453" s="144"/>
      <c r="DG1453" s="143"/>
    </row>
    <row r="1454" spans="89:111" ht="11.25" customHeight="1">
      <c r="CK1454" s="1"/>
      <c r="CW1454" s="144"/>
      <c r="DG1454" s="143"/>
    </row>
    <row r="1455" spans="89:111" ht="11.25" customHeight="1">
      <c r="CK1455" s="1"/>
      <c r="CW1455" s="144"/>
      <c r="DG1455" s="143"/>
    </row>
    <row r="1456" spans="89:111" ht="11.25" customHeight="1">
      <c r="CK1456" s="1"/>
      <c r="CW1456" s="144"/>
      <c r="DG1456" s="143"/>
    </row>
    <row r="1457" spans="89:111" ht="11.25" customHeight="1">
      <c r="CK1457" s="1"/>
      <c r="CW1457" s="144"/>
      <c r="DG1457" s="143"/>
    </row>
    <row r="1458" spans="89:111" ht="11.25" customHeight="1">
      <c r="CK1458" s="1"/>
      <c r="CW1458" s="144"/>
      <c r="DG1458" s="143"/>
    </row>
    <row r="1459" spans="89:111" ht="11.25" customHeight="1">
      <c r="CK1459" s="1"/>
      <c r="CW1459" s="144"/>
      <c r="DG1459" s="143"/>
    </row>
    <row r="1460" spans="89:111" ht="11.25" customHeight="1">
      <c r="CK1460" s="1"/>
      <c r="CW1460" s="144"/>
      <c r="DG1460" s="143"/>
    </row>
    <row r="1461" spans="89:111" ht="11.25" customHeight="1">
      <c r="CK1461" s="1"/>
      <c r="CW1461" s="144"/>
      <c r="DG1461" s="143"/>
    </row>
    <row r="1462" spans="89:111" ht="11.25" customHeight="1">
      <c r="CK1462" s="1"/>
      <c r="CW1462" s="144"/>
      <c r="DG1462" s="143"/>
    </row>
    <row r="1463" spans="89:111" ht="11.25" customHeight="1">
      <c r="CK1463" s="1"/>
      <c r="CW1463" s="144"/>
      <c r="DG1463" s="143"/>
    </row>
    <row r="1464" spans="89:111" ht="11.25" customHeight="1">
      <c r="CK1464" s="1"/>
      <c r="CW1464" s="144"/>
      <c r="DG1464" s="143"/>
    </row>
    <row r="1465" spans="89:111" ht="11.25" customHeight="1">
      <c r="CK1465" s="1"/>
      <c r="CW1465" s="144"/>
      <c r="DG1465" s="143"/>
    </row>
    <row r="1466" spans="89:111" ht="11.25" customHeight="1">
      <c r="CK1466" s="1"/>
      <c r="CW1466" s="144"/>
      <c r="DG1466" s="143"/>
    </row>
    <row r="1467" spans="89:111" ht="11.25" customHeight="1">
      <c r="CK1467" s="1"/>
      <c r="CW1467" s="144"/>
      <c r="DG1467" s="143"/>
    </row>
    <row r="1468" spans="89:111" ht="11.25" customHeight="1">
      <c r="CK1468" s="1"/>
      <c r="CW1468" s="144"/>
      <c r="DG1468" s="143"/>
    </row>
    <row r="1469" spans="89:111" ht="11.25" customHeight="1">
      <c r="CK1469" s="1"/>
      <c r="CW1469" s="144"/>
      <c r="DG1469" s="143"/>
    </row>
    <row r="1470" spans="89:111" ht="11.25" customHeight="1">
      <c r="CK1470" s="1"/>
      <c r="CW1470" s="144"/>
      <c r="DG1470" s="143"/>
    </row>
    <row r="1471" spans="89:111" ht="11.25" customHeight="1">
      <c r="CK1471" s="1"/>
      <c r="CW1471" s="144"/>
      <c r="DG1471" s="143"/>
    </row>
    <row r="1472" spans="89:111" ht="11.25" customHeight="1">
      <c r="CK1472" s="1"/>
      <c r="CW1472" s="144"/>
      <c r="DG1472" s="143"/>
    </row>
    <row r="1473" spans="89:111" ht="11.25" customHeight="1">
      <c r="CK1473" s="1"/>
      <c r="CW1473" s="144"/>
      <c r="DG1473" s="143"/>
    </row>
    <row r="1474" spans="89:111" ht="11.25" customHeight="1">
      <c r="CK1474" s="1"/>
      <c r="CW1474" s="144"/>
      <c r="DG1474" s="143"/>
    </row>
    <row r="1475" spans="89:111" ht="11.25" customHeight="1">
      <c r="CK1475" s="1"/>
      <c r="CW1475" s="144"/>
      <c r="DG1475" s="143"/>
    </row>
    <row r="1476" spans="89:111" ht="11.25" customHeight="1">
      <c r="CK1476" s="1"/>
      <c r="CW1476" s="144"/>
      <c r="DG1476" s="143"/>
    </row>
    <row r="1477" spans="89:111" ht="11.25" customHeight="1">
      <c r="CK1477" s="1"/>
      <c r="CW1477" s="144"/>
      <c r="DG1477" s="143"/>
    </row>
    <row r="1478" spans="89:111" ht="11.25" customHeight="1">
      <c r="CK1478" s="1"/>
      <c r="CW1478" s="144"/>
      <c r="DG1478" s="143"/>
    </row>
    <row r="1479" spans="89:111" ht="11.25" customHeight="1">
      <c r="CK1479" s="1"/>
      <c r="CW1479" s="144"/>
      <c r="DG1479" s="143"/>
    </row>
    <row r="1480" spans="89:111" ht="11.25" customHeight="1">
      <c r="CK1480" s="1"/>
      <c r="CW1480" s="144"/>
      <c r="DG1480" s="143"/>
    </row>
    <row r="1481" spans="89:111" ht="11.25" customHeight="1">
      <c r="CK1481" s="1"/>
      <c r="CW1481" s="144"/>
      <c r="DG1481" s="143"/>
    </row>
    <row r="1482" spans="89:111" ht="11.25" customHeight="1">
      <c r="CK1482" s="1"/>
      <c r="CW1482" s="144"/>
      <c r="DG1482" s="143"/>
    </row>
    <row r="1483" spans="89:111" ht="11.25" customHeight="1">
      <c r="CK1483" s="1"/>
      <c r="CW1483" s="144"/>
      <c r="DG1483" s="143"/>
    </row>
    <row r="1484" spans="89:111" ht="11.25" customHeight="1">
      <c r="CK1484" s="1"/>
      <c r="CW1484" s="144"/>
      <c r="DG1484" s="143"/>
    </row>
    <row r="1485" spans="89:111" ht="11.25" customHeight="1">
      <c r="CK1485" s="1"/>
      <c r="CW1485" s="144"/>
      <c r="DG1485" s="143"/>
    </row>
    <row r="1486" spans="89:111" ht="11.25" customHeight="1">
      <c r="CK1486" s="1"/>
      <c r="CW1486" s="144"/>
      <c r="DG1486" s="143"/>
    </row>
    <row r="1487" spans="89:111" ht="11.25" customHeight="1">
      <c r="CK1487" s="1"/>
      <c r="CW1487" s="144"/>
      <c r="DG1487" s="143"/>
    </row>
    <row r="1488" spans="89:111" ht="11.25" customHeight="1">
      <c r="CK1488" s="1"/>
      <c r="CW1488" s="144"/>
      <c r="DG1488" s="143"/>
    </row>
    <row r="1489" spans="89:111" ht="11.25" customHeight="1">
      <c r="CK1489" s="1"/>
      <c r="CW1489" s="144"/>
      <c r="DG1489" s="143"/>
    </row>
    <row r="1490" spans="89:111" ht="11.25" customHeight="1">
      <c r="CK1490" s="1"/>
      <c r="CW1490" s="144"/>
      <c r="DG1490" s="143"/>
    </row>
    <row r="1491" spans="89:111" ht="11.25" customHeight="1">
      <c r="CK1491" s="1"/>
      <c r="CW1491" s="144"/>
      <c r="DG1491" s="143"/>
    </row>
    <row r="1492" spans="89:111" ht="11.25" customHeight="1">
      <c r="CK1492" s="1"/>
      <c r="CW1492" s="144"/>
      <c r="DG1492" s="143"/>
    </row>
    <row r="1493" spans="89:111" ht="11.25" customHeight="1">
      <c r="CK1493" s="1"/>
      <c r="CW1493" s="144"/>
      <c r="DG1493" s="143"/>
    </row>
    <row r="1494" spans="89:111" ht="11.25" customHeight="1">
      <c r="CK1494" s="1"/>
      <c r="CW1494" s="144"/>
      <c r="DG1494" s="143"/>
    </row>
    <row r="1495" spans="89:111" ht="11.25" customHeight="1">
      <c r="CK1495" s="1"/>
      <c r="CW1495" s="144"/>
      <c r="DG1495" s="143"/>
    </row>
    <row r="1496" spans="89:111" ht="11.25" customHeight="1">
      <c r="CK1496" s="1"/>
      <c r="CW1496" s="144"/>
      <c r="DG1496" s="143"/>
    </row>
    <row r="1497" spans="89:111" ht="11.25" customHeight="1">
      <c r="CK1497" s="1"/>
      <c r="CW1497" s="144"/>
      <c r="DG1497" s="143"/>
    </row>
    <row r="1498" spans="89:111" ht="11.25" customHeight="1">
      <c r="CK1498" s="1"/>
      <c r="CW1498" s="144"/>
      <c r="DG1498" s="143"/>
    </row>
    <row r="1499" spans="89:111" ht="11.25" customHeight="1">
      <c r="CK1499" s="1"/>
      <c r="CW1499" s="144"/>
      <c r="DG1499" s="143"/>
    </row>
    <row r="1500" spans="89:111" ht="11.25" customHeight="1">
      <c r="CK1500" s="1"/>
      <c r="CW1500" s="144"/>
      <c r="DG1500" s="143"/>
    </row>
    <row r="1501" spans="89:111" ht="11.25" customHeight="1">
      <c r="CK1501" s="1"/>
      <c r="CW1501" s="144"/>
      <c r="DG1501" s="143"/>
    </row>
    <row r="1502" spans="89:111" ht="11.25" customHeight="1">
      <c r="CK1502" s="1"/>
      <c r="CW1502" s="144"/>
      <c r="DG1502" s="143"/>
    </row>
    <row r="1503" spans="89:111" ht="11.25" customHeight="1">
      <c r="CK1503" s="1"/>
      <c r="CW1503" s="144"/>
      <c r="DG1503" s="143"/>
    </row>
    <row r="1504" spans="89:111" ht="11.25" customHeight="1">
      <c r="CK1504" s="1"/>
      <c r="CW1504" s="144"/>
      <c r="DG1504" s="143"/>
    </row>
    <row r="1505" spans="89:111" ht="11.25" customHeight="1">
      <c r="CK1505" s="1"/>
      <c r="CW1505" s="144"/>
      <c r="DG1505" s="143"/>
    </row>
    <row r="1506" spans="89:111" ht="11.25" customHeight="1">
      <c r="CK1506" s="1"/>
      <c r="CW1506" s="144"/>
      <c r="DG1506" s="143"/>
    </row>
    <row r="1507" spans="89:111" ht="11.25" customHeight="1">
      <c r="CK1507" s="1"/>
      <c r="CW1507" s="144"/>
      <c r="DG1507" s="143"/>
    </row>
    <row r="1508" spans="89:111" ht="11.25" customHeight="1">
      <c r="CK1508" s="1"/>
      <c r="CW1508" s="144"/>
      <c r="DG1508" s="143"/>
    </row>
    <row r="1509" spans="89:111" ht="11.25" customHeight="1">
      <c r="CK1509" s="1"/>
      <c r="CW1509" s="144"/>
      <c r="DG1509" s="143"/>
    </row>
    <row r="1510" spans="89:111" ht="11.25" customHeight="1">
      <c r="CK1510" s="1"/>
      <c r="CW1510" s="144"/>
      <c r="DG1510" s="143"/>
    </row>
    <row r="1511" spans="89:111" ht="11.25" customHeight="1">
      <c r="CK1511" s="1"/>
      <c r="CW1511" s="144"/>
      <c r="DG1511" s="143"/>
    </row>
    <row r="1512" spans="89:111" ht="11.25" customHeight="1">
      <c r="CK1512" s="1"/>
      <c r="CW1512" s="144"/>
      <c r="DG1512" s="143"/>
    </row>
    <row r="1513" spans="89:111" ht="11.25" customHeight="1">
      <c r="CK1513" s="1"/>
      <c r="CW1513" s="144"/>
      <c r="DG1513" s="143"/>
    </row>
    <row r="1514" spans="89:111" ht="11.25" customHeight="1">
      <c r="CK1514" s="1"/>
      <c r="CW1514" s="144"/>
      <c r="DG1514" s="143"/>
    </row>
    <row r="1515" spans="89:111" ht="11.25" customHeight="1">
      <c r="CK1515" s="1"/>
      <c r="CW1515" s="144"/>
      <c r="DG1515" s="143"/>
    </row>
    <row r="1516" spans="89:111" ht="11.25" customHeight="1">
      <c r="CK1516" s="1"/>
      <c r="CW1516" s="144"/>
      <c r="DG1516" s="143"/>
    </row>
    <row r="1517" spans="89:111" ht="11.25" customHeight="1">
      <c r="CK1517" s="1"/>
      <c r="CW1517" s="144"/>
      <c r="DG1517" s="143"/>
    </row>
    <row r="1518" spans="89:111" ht="11.25" customHeight="1">
      <c r="CK1518" s="1"/>
      <c r="CW1518" s="144"/>
      <c r="DG1518" s="143"/>
    </row>
    <row r="1519" spans="89:111" ht="11.25" customHeight="1">
      <c r="CK1519" s="1"/>
      <c r="CW1519" s="144"/>
      <c r="DG1519" s="143"/>
    </row>
    <row r="1520" spans="89:111" ht="11.25" customHeight="1">
      <c r="CK1520" s="1"/>
      <c r="CW1520" s="144"/>
      <c r="DG1520" s="143"/>
    </row>
    <row r="1521" spans="89:111" ht="11.25" customHeight="1">
      <c r="CK1521" s="1"/>
      <c r="CW1521" s="144"/>
      <c r="DG1521" s="143"/>
    </row>
    <row r="1522" spans="89:111" ht="11.25" customHeight="1">
      <c r="CK1522" s="1"/>
      <c r="CW1522" s="144"/>
      <c r="DG1522" s="143"/>
    </row>
    <row r="1523" spans="89:111" ht="11.25" customHeight="1">
      <c r="CK1523" s="1"/>
      <c r="CW1523" s="144"/>
      <c r="DG1523" s="143"/>
    </row>
    <row r="1524" spans="89:111" ht="11.25" customHeight="1">
      <c r="CK1524" s="1"/>
      <c r="CW1524" s="144"/>
      <c r="DG1524" s="143"/>
    </row>
    <row r="1525" spans="89:111" ht="11.25" customHeight="1">
      <c r="CK1525" s="1"/>
      <c r="CW1525" s="144"/>
      <c r="DG1525" s="143"/>
    </row>
    <row r="1526" spans="89:111" ht="11.25" customHeight="1">
      <c r="CK1526" s="1"/>
      <c r="CW1526" s="144"/>
      <c r="DG1526" s="143"/>
    </row>
    <row r="1527" spans="89:111" ht="11.25" customHeight="1">
      <c r="CK1527" s="1"/>
      <c r="CW1527" s="144"/>
      <c r="DG1527" s="143"/>
    </row>
    <row r="1528" spans="89:111" ht="11.25" customHeight="1">
      <c r="CK1528" s="1"/>
      <c r="CW1528" s="144"/>
      <c r="DG1528" s="143"/>
    </row>
    <row r="1529" spans="89:111" ht="11.25" customHeight="1">
      <c r="CK1529" s="1"/>
      <c r="CW1529" s="144"/>
      <c r="DG1529" s="143"/>
    </row>
    <row r="1530" spans="89:111" ht="11.25" customHeight="1">
      <c r="CK1530" s="1"/>
      <c r="CW1530" s="144"/>
      <c r="DG1530" s="143"/>
    </row>
    <row r="1531" spans="89:111" ht="11.25" customHeight="1">
      <c r="CK1531" s="1"/>
      <c r="CW1531" s="144"/>
      <c r="DG1531" s="143"/>
    </row>
    <row r="1532" spans="89:111" ht="11.25" customHeight="1">
      <c r="CK1532" s="1"/>
      <c r="CW1532" s="144"/>
      <c r="DG1532" s="143"/>
    </row>
    <row r="1533" spans="89:111" ht="11.25" customHeight="1">
      <c r="CK1533" s="1"/>
      <c r="CW1533" s="144"/>
      <c r="DG1533" s="143"/>
    </row>
    <row r="1534" spans="89:111" ht="11.25" customHeight="1">
      <c r="CK1534" s="1"/>
      <c r="CW1534" s="144"/>
      <c r="DG1534" s="143"/>
    </row>
    <row r="1535" spans="89:111" ht="11.25" customHeight="1">
      <c r="CK1535" s="1"/>
      <c r="CW1535" s="144"/>
      <c r="DG1535" s="143"/>
    </row>
    <row r="1536" spans="89:111" ht="11.25" customHeight="1">
      <c r="CK1536" s="1"/>
      <c r="CW1536" s="144"/>
      <c r="DG1536" s="143"/>
    </row>
    <row r="1537" spans="89:111" ht="11.25" customHeight="1">
      <c r="CK1537" s="1"/>
      <c r="CW1537" s="144"/>
      <c r="DG1537" s="143"/>
    </row>
    <row r="1538" spans="89:111" ht="11.25" customHeight="1">
      <c r="CK1538" s="1"/>
      <c r="CW1538" s="144"/>
      <c r="DG1538" s="143"/>
    </row>
    <row r="1539" spans="89:111" ht="11.25" customHeight="1">
      <c r="CK1539" s="1"/>
      <c r="CW1539" s="144"/>
      <c r="DG1539" s="143"/>
    </row>
    <row r="1540" spans="89:111" ht="11.25" customHeight="1">
      <c r="CK1540" s="1"/>
      <c r="CW1540" s="144"/>
      <c r="DG1540" s="143"/>
    </row>
    <row r="1541" spans="89:111" ht="11.25" customHeight="1">
      <c r="CK1541" s="1"/>
      <c r="CW1541" s="144"/>
      <c r="DG1541" s="143"/>
    </row>
    <row r="1542" spans="89:111" ht="11.25" customHeight="1">
      <c r="CK1542" s="1"/>
      <c r="CW1542" s="144"/>
      <c r="DG1542" s="143"/>
    </row>
    <row r="1543" spans="89:111" ht="11.25" customHeight="1">
      <c r="CK1543" s="1"/>
      <c r="CW1543" s="144"/>
      <c r="DG1543" s="143"/>
    </row>
    <row r="1544" spans="89:111" ht="11.25" customHeight="1">
      <c r="CK1544" s="1"/>
      <c r="CW1544" s="144"/>
      <c r="DG1544" s="143"/>
    </row>
    <row r="1545" spans="89:111" ht="11.25" customHeight="1">
      <c r="CK1545" s="1"/>
      <c r="CW1545" s="144"/>
      <c r="DG1545" s="143"/>
    </row>
    <row r="1546" spans="89:111" ht="11.25" customHeight="1">
      <c r="CK1546" s="1"/>
      <c r="CW1546" s="144"/>
      <c r="DG1546" s="143"/>
    </row>
    <row r="1547" spans="89:111" ht="11.25" customHeight="1">
      <c r="CK1547" s="1"/>
      <c r="CW1547" s="144"/>
      <c r="DG1547" s="143"/>
    </row>
    <row r="1548" spans="89:111" ht="11.25" customHeight="1">
      <c r="CK1548" s="1"/>
      <c r="CW1548" s="144"/>
      <c r="DG1548" s="143"/>
    </row>
    <row r="1549" spans="89:111" ht="11.25" customHeight="1">
      <c r="CK1549" s="1"/>
      <c r="CW1549" s="144"/>
      <c r="DG1549" s="143"/>
    </row>
    <row r="1550" spans="89:111" ht="11.25" customHeight="1">
      <c r="CK1550" s="1"/>
      <c r="CW1550" s="144"/>
      <c r="DG1550" s="143"/>
    </row>
    <row r="1551" spans="89:111" ht="11.25" customHeight="1">
      <c r="CK1551" s="1"/>
      <c r="CW1551" s="144"/>
      <c r="DG1551" s="143"/>
    </row>
    <row r="1552" spans="89:111" ht="11.25" customHeight="1">
      <c r="CK1552" s="1"/>
      <c r="CW1552" s="144"/>
      <c r="DG1552" s="143"/>
    </row>
    <row r="1553" spans="89:111" ht="11.25" customHeight="1">
      <c r="CK1553" s="1"/>
      <c r="CW1553" s="144"/>
      <c r="DG1553" s="143"/>
    </row>
    <row r="1554" spans="89:111" ht="11.25" customHeight="1">
      <c r="CK1554" s="1"/>
      <c r="CW1554" s="144"/>
      <c r="DG1554" s="143"/>
    </row>
    <row r="1555" spans="89:111" ht="11.25" customHeight="1">
      <c r="CK1555" s="1"/>
      <c r="CW1555" s="144"/>
      <c r="DG1555" s="143"/>
    </row>
    <row r="1556" spans="89:111" ht="11.25" customHeight="1">
      <c r="CK1556" s="1"/>
      <c r="CW1556" s="144"/>
      <c r="DG1556" s="143"/>
    </row>
    <row r="1557" spans="89:111" ht="11.25" customHeight="1">
      <c r="CK1557" s="1"/>
      <c r="CW1557" s="144"/>
      <c r="DG1557" s="143"/>
    </row>
    <row r="1558" spans="89:111" ht="11.25" customHeight="1">
      <c r="CK1558" s="1"/>
      <c r="CW1558" s="144"/>
      <c r="DG1558" s="143"/>
    </row>
    <row r="1559" spans="89:111" ht="11.25" customHeight="1">
      <c r="CK1559" s="1"/>
      <c r="CW1559" s="144"/>
      <c r="DG1559" s="143"/>
    </row>
    <row r="1560" spans="89:111" ht="11.25" customHeight="1">
      <c r="CK1560" s="1"/>
      <c r="CW1560" s="144"/>
      <c r="DG1560" s="143"/>
    </row>
    <row r="1561" spans="89:111" ht="11.25" customHeight="1">
      <c r="CK1561" s="1"/>
      <c r="CW1561" s="144"/>
      <c r="DG1561" s="143"/>
    </row>
    <row r="1562" spans="89:111" ht="11.25" customHeight="1">
      <c r="CK1562" s="1"/>
      <c r="CW1562" s="144"/>
      <c r="DG1562" s="143"/>
    </row>
    <row r="1563" spans="89:111" ht="11.25" customHeight="1">
      <c r="CK1563" s="1"/>
      <c r="CW1563" s="144"/>
      <c r="DG1563" s="143"/>
    </row>
    <row r="1564" spans="89:111" ht="11.25" customHeight="1">
      <c r="CK1564" s="1"/>
      <c r="CW1564" s="144"/>
      <c r="DG1564" s="143"/>
    </row>
    <row r="1565" spans="89:111" ht="11.25" customHeight="1">
      <c r="CK1565" s="1"/>
      <c r="CW1565" s="144"/>
      <c r="DG1565" s="143"/>
    </row>
    <row r="1566" spans="89:111" ht="11.25" customHeight="1">
      <c r="CK1566" s="1"/>
      <c r="CW1566" s="144"/>
      <c r="DG1566" s="143"/>
    </row>
    <row r="1567" spans="89:111" ht="11.25" customHeight="1">
      <c r="CK1567" s="1"/>
      <c r="CW1567" s="144"/>
      <c r="DG1567" s="143"/>
    </row>
    <row r="1568" spans="89:111" ht="11.25" customHeight="1">
      <c r="CK1568" s="1"/>
      <c r="CW1568" s="144"/>
      <c r="DG1568" s="143"/>
    </row>
    <row r="1569" spans="89:111" ht="11.25" customHeight="1">
      <c r="CK1569" s="1"/>
      <c r="CW1569" s="144"/>
      <c r="DG1569" s="143"/>
    </row>
    <row r="1570" spans="89:111" ht="11.25" customHeight="1">
      <c r="CK1570" s="1"/>
      <c r="CW1570" s="144"/>
      <c r="DG1570" s="143"/>
    </row>
    <row r="1571" spans="89:111" ht="11.25" customHeight="1">
      <c r="CK1571" s="1"/>
      <c r="CW1571" s="144"/>
      <c r="DG1571" s="143"/>
    </row>
    <row r="1572" spans="89:111" ht="11.25" customHeight="1">
      <c r="CK1572" s="1"/>
      <c r="CW1572" s="144"/>
      <c r="DG1572" s="143"/>
    </row>
    <row r="1573" spans="89:111" ht="11.25" customHeight="1">
      <c r="CK1573" s="1"/>
      <c r="CW1573" s="144"/>
      <c r="DG1573" s="143"/>
    </row>
    <row r="1574" spans="89:111" ht="11.25" customHeight="1">
      <c r="CK1574" s="1"/>
      <c r="CW1574" s="144"/>
      <c r="DG1574" s="143"/>
    </row>
    <row r="1575" spans="89:111" ht="11.25" customHeight="1">
      <c r="CK1575" s="1"/>
      <c r="CW1575" s="144"/>
      <c r="DG1575" s="143"/>
    </row>
    <row r="1576" spans="89:111" ht="11.25" customHeight="1">
      <c r="CK1576" s="1"/>
      <c r="CW1576" s="144"/>
      <c r="DG1576" s="143"/>
    </row>
    <row r="1577" spans="89:111" ht="11.25" customHeight="1">
      <c r="CK1577" s="1"/>
      <c r="CW1577" s="144"/>
      <c r="DG1577" s="143"/>
    </row>
    <row r="1578" spans="89:111" ht="11.25" customHeight="1">
      <c r="CK1578" s="1"/>
      <c r="CW1578" s="144"/>
      <c r="DG1578" s="143"/>
    </row>
    <row r="1579" spans="89:111" ht="11.25" customHeight="1">
      <c r="CK1579" s="1"/>
      <c r="CW1579" s="144"/>
      <c r="DG1579" s="143"/>
    </row>
    <row r="1580" spans="89:111" ht="11.25" customHeight="1">
      <c r="CK1580" s="1"/>
      <c r="CW1580" s="144"/>
      <c r="DG1580" s="143"/>
    </row>
    <row r="1581" spans="89:111" ht="11.25" customHeight="1">
      <c r="CK1581" s="1"/>
      <c r="CW1581" s="144"/>
      <c r="DG1581" s="143"/>
    </row>
    <row r="1582" spans="89:111" ht="11.25" customHeight="1">
      <c r="CK1582" s="1"/>
      <c r="CW1582" s="144"/>
      <c r="DG1582" s="143"/>
    </row>
    <row r="1583" spans="89:111" ht="11.25" customHeight="1">
      <c r="CK1583" s="1"/>
      <c r="CW1583" s="144"/>
      <c r="DG1583" s="143"/>
    </row>
    <row r="1584" spans="89:111" ht="11.25" customHeight="1">
      <c r="CK1584" s="1"/>
      <c r="CW1584" s="144"/>
      <c r="DG1584" s="143"/>
    </row>
    <row r="1585" spans="89:111" ht="11.25" customHeight="1">
      <c r="CK1585" s="1"/>
      <c r="CW1585" s="144"/>
      <c r="DG1585" s="143"/>
    </row>
    <row r="1586" spans="89:111" ht="11.25" customHeight="1">
      <c r="CK1586" s="1"/>
      <c r="CW1586" s="144"/>
      <c r="DG1586" s="143"/>
    </row>
    <row r="1587" spans="89:111" ht="11.25" customHeight="1">
      <c r="CK1587" s="1"/>
      <c r="CW1587" s="144"/>
      <c r="DG1587" s="143"/>
    </row>
    <row r="1588" spans="89:111" ht="11.25" customHeight="1">
      <c r="CK1588" s="1"/>
      <c r="CW1588" s="144"/>
      <c r="DG1588" s="143"/>
    </row>
    <row r="1589" spans="89:111" ht="11.25" customHeight="1">
      <c r="CK1589" s="1"/>
      <c r="CW1589" s="144"/>
      <c r="DG1589" s="143"/>
    </row>
    <row r="1590" spans="89:111" ht="11.25" customHeight="1">
      <c r="CK1590" s="1"/>
      <c r="CW1590" s="144"/>
      <c r="DG1590" s="143"/>
    </row>
    <row r="1591" spans="89:111" ht="11.25" customHeight="1">
      <c r="CK1591" s="1"/>
      <c r="CW1591" s="144"/>
      <c r="DG1591" s="143"/>
    </row>
    <row r="1592" spans="89:111" ht="11.25" customHeight="1">
      <c r="CK1592" s="1"/>
      <c r="CW1592" s="144"/>
      <c r="DG1592" s="143"/>
    </row>
    <row r="1593" spans="89:111" ht="11.25" customHeight="1">
      <c r="CK1593" s="1"/>
      <c r="CW1593" s="144"/>
      <c r="DG1593" s="143"/>
    </row>
    <row r="1594" spans="89:111" ht="11.25" customHeight="1">
      <c r="CK1594" s="1"/>
      <c r="CW1594" s="144"/>
      <c r="DG1594" s="143"/>
    </row>
    <row r="1595" spans="89:111" ht="11.25" customHeight="1">
      <c r="CK1595" s="1"/>
      <c r="CW1595" s="144"/>
      <c r="DG1595" s="143"/>
    </row>
    <row r="1596" spans="89:111" ht="11.25" customHeight="1">
      <c r="CK1596" s="1"/>
      <c r="CW1596" s="144"/>
      <c r="DG1596" s="143"/>
    </row>
    <row r="1597" spans="89:111" ht="11.25" customHeight="1">
      <c r="CK1597" s="1"/>
      <c r="CW1597" s="144"/>
      <c r="DG1597" s="143"/>
    </row>
    <row r="1598" spans="89:111" ht="11.25" customHeight="1">
      <c r="CK1598" s="1"/>
      <c r="CW1598" s="144"/>
      <c r="DG1598" s="143"/>
    </row>
    <row r="1599" spans="89:111" ht="11.25" customHeight="1">
      <c r="CK1599" s="1"/>
      <c r="CW1599" s="144"/>
      <c r="DG1599" s="143"/>
    </row>
    <row r="1600" spans="89:111" ht="11.25" customHeight="1">
      <c r="CK1600" s="1"/>
      <c r="CW1600" s="144"/>
      <c r="DG1600" s="143"/>
    </row>
    <row r="1601" spans="89:111" ht="11.25" customHeight="1">
      <c r="CK1601" s="1"/>
      <c r="CW1601" s="144"/>
      <c r="DG1601" s="143"/>
    </row>
    <row r="1602" spans="89:111" ht="11.25" customHeight="1">
      <c r="CK1602" s="1"/>
      <c r="CW1602" s="144"/>
      <c r="DG1602" s="143"/>
    </row>
    <row r="1603" spans="89:111" ht="11.25" customHeight="1">
      <c r="CK1603" s="1"/>
      <c r="CW1603" s="144"/>
      <c r="DG1603" s="143"/>
    </row>
    <row r="1604" spans="89:111" ht="11.25" customHeight="1">
      <c r="CK1604" s="1"/>
      <c r="CW1604" s="144"/>
      <c r="DG1604" s="143"/>
    </row>
    <row r="1605" spans="89:111" ht="11.25" customHeight="1">
      <c r="CK1605" s="1"/>
      <c r="CW1605" s="144"/>
      <c r="DG1605" s="143"/>
    </row>
    <row r="1606" spans="89:111" ht="11.25" customHeight="1">
      <c r="CK1606" s="1"/>
      <c r="CW1606" s="144"/>
      <c r="DG1606" s="143"/>
    </row>
    <row r="1607" spans="89:111" ht="11.25" customHeight="1">
      <c r="CK1607" s="1"/>
      <c r="CW1607" s="144"/>
      <c r="DG1607" s="143"/>
    </row>
    <row r="1608" spans="89:111" ht="11.25" customHeight="1">
      <c r="CK1608" s="1"/>
      <c r="CW1608" s="144"/>
      <c r="DG1608" s="143"/>
    </row>
    <row r="1609" spans="89:111" ht="11.25" customHeight="1">
      <c r="CK1609" s="1"/>
      <c r="CW1609" s="144"/>
      <c r="DG1609" s="143"/>
    </row>
    <row r="1610" spans="89:111" ht="11.25" customHeight="1">
      <c r="CK1610" s="1"/>
      <c r="CW1610" s="144"/>
      <c r="DG1610" s="143"/>
    </row>
    <row r="1611" spans="89:111" ht="11.25" customHeight="1">
      <c r="CK1611" s="1"/>
      <c r="CW1611" s="144"/>
      <c r="DG1611" s="143"/>
    </row>
    <row r="1612" spans="89:111" ht="11.25" customHeight="1">
      <c r="CK1612" s="1"/>
      <c r="CW1612" s="144"/>
      <c r="DG1612" s="143"/>
    </row>
    <row r="1613" spans="89:111" ht="11.25" customHeight="1">
      <c r="CK1613" s="1"/>
      <c r="CW1613" s="144"/>
      <c r="DG1613" s="143"/>
    </row>
    <row r="1614" spans="89:111" ht="11.25" customHeight="1">
      <c r="CK1614" s="1"/>
      <c r="CW1614" s="144"/>
      <c r="DG1614" s="143"/>
    </row>
    <row r="1615" spans="89:111" ht="11.25" customHeight="1">
      <c r="CK1615" s="1"/>
      <c r="CW1615" s="144"/>
      <c r="DG1615" s="143"/>
    </row>
    <row r="1616" spans="89:111" ht="11.25" customHeight="1">
      <c r="CK1616" s="1"/>
      <c r="CW1616" s="144"/>
      <c r="DG1616" s="143"/>
    </row>
    <row r="1617" spans="89:111" ht="11.25" customHeight="1">
      <c r="CK1617" s="1"/>
      <c r="CW1617" s="144"/>
      <c r="DG1617" s="143"/>
    </row>
    <row r="1618" spans="89:111" ht="11.25" customHeight="1">
      <c r="CK1618" s="1"/>
      <c r="CW1618" s="144"/>
      <c r="DG1618" s="143"/>
    </row>
    <row r="1619" spans="89:111" ht="11.25" customHeight="1">
      <c r="CK1619" s="1"/>
      <c r="CW1619" s="144"/>
      <c r="DG1619" s="143"/>
    </row>
    <row r="1620" spans="89:111" ht="11.25" customHeight="1">
      <c r="CK1620" s="1"/>
      <c r="CW1620" s="144"/>
      <c r="DG1620" s="143"/>
    </row>
    <row r="1621" spans="89:111" ht="11.25" customHeight="1">
      <c r="CK1621" s="1"/>
      <c r="CW1621" s="144"/>
      <c r="DG1621" s="143"/>
    </row>
    <row r="1622" spans="89:111" ht="11.25" customHeight="1">
      <c r="CK1622" s="1"/>
      <c r="CW1622" s="144"/>
      <c r="DG1622" s="143"/>
    </row>
    <row r="1623" spans="89:111" ht="11.25" customHeight="1">
      <c r="CK1623" s="1"/>
      <c r="CW1623" s="144"/>
      <c r="DG1623" s="143"/>
    </row>
    <row r="1624" spans="89:111" ht="11.25" customHeight="1">
      <c r="CK1624" s="1"/>
      <c r="CW1624" s="144"/>
      <c r="DG1624" s="143"/>
    </row>
    <row r="1625" spans="89:111" ht="11.25" customHeight="1">
      <c r="CK1625" s="1"/>
      <c r="CW1625" s="144"/>
      <c r="DG1625" s="143"/>
    </row>
    <row r="1626" spans="89:111" ht="11.25" customHeight="1">
      <c r="CK1626" s="1"/>
      <c r="CW1626" s="144"/>
      <c r="DG1626" s="143"/>
    </row>
    <row r="1627" spans="89:111" ht="11.25" customHeight="1">
      <c r="CK1627" s="1"/>
      <c r="CW1627" s="144"/>
      <c r="DG1627" s="143"/>
    </row>
    <row r="1628" spans="89:111" ht="11.25" customHeight="1">
      <c r="CK1628" s="1"/>
      <c r="CW1628" s="144"/>
      <c r="DG1628" s="143"/>
    </row>
    <row r="1629" spans="89:111" ht="11.25" customHeight="1">
      <c r="CK1629" s="1"/>
      <c r="CW1629" s="144"/>
      <c r="DG1629" s="143"/>
    </row>
    <row r="1630" spans="89:111" ht="11.25" customHeight="1">
      <c r="CK1630" s="1"/>
      <c r="CW1630" s="144"/>
      <c r="DG1630" s="143"/>
    </row>
    <row r="1631" spans="89:111" ht="11.25" customHeight="1">
      <c r="CK1631" s="1"/>
      <c r="CW1631" s="144"/>
      <c r="DG1631" s="143"/>
    </row>
    <row r="1632" spans="89:111" ht="11.25" customHeight="1">
      <c r="CK1632" s="1"/>
      <c r="CW1632" s="144"/>
      <c r="DG1632" s="143"/>
    </row>
    <row r="1633" spans="89:111" ht="11.25" customHeight="1">
      <c r="CK1633" s="1"/>
      <c r="CW1633" s="144"/>
      <c r="DG1633" s="143"/>
    </row>
    <row r="1634" spans="89:111" ht="11.25" customHeight="1">
      <c r="CK1634" s="1"/>
      <c r="CW1634" s="144"/>
      <c r="DG1634" s="143"/>
    </row>
    <row r="1635" spans="89:111" ht="11.25" customHeight="1">
      <c r="CK1635" s="1"/>
      <c r="CW1635" s="144"/>
      <c r="DG1635" s="143"/>
    </row>
    <row r="1636" spans="89:111" ht="11.25" customHeight="1">
      <c r="CK1636" s="1"/>
      <c r="CW1636" s="144"/>
      <c r="DG1636" s="143"/>
    </row>
    <row r="1637" spans="89:111" ht="11.25" customHeight="1">
      <c r="CK1637" s="1"/>
      <c r="CW1637" s="144"/>
      <c r="DG1637" s="143"/>
    </row>
    <row r="1638" spans="89:111" ht="11.25" customHeight="1">
      <c r="CK1638" s="1"/>
      <c r="CW1638" s="144"/>
      <c r="DG1638" s="143"/>
    </row>
    <row r="1639" spans="89:111" ht="11.25" customHeight="1">
      <c r="CK1639" s="1"/>
      <c r="CW1639" s="144"/>
      <c r="DG1639" s="143"/>
    </row>
    <row r="1640" spans="89:111" ht="11.25" customHeight="1">
      <c r="CK1640" s="1"/>
      <c r="CW1640" s="144"/>
      <c r="DG1640" s="143"/>
    </row>
    <row r="1641" spans="89:111" ht="11.25" customHeight="1">
      <c r="CK1641" s="1"/>
      <c r="CW1641" s="144"/>
      <c r="DG1641" s="143"/>
    </row>
    <row r="1642" spans="89:111" ht="11.25" customHeight="1">
      <c r="CK1642" s="1"/>
      <c r="CW1642" s="144"/>
      <c r="DG1642" s="143"/>
    </row>
    <row r="1643" spans="89:111" ht="11.25" customHeight="1">
      <c r="CK1643" s="1"/>
      <c r="CW1643" s="144"/>
      <c r="DG1643" s="143"/>
    </row>
    <row r="1644" spans="89:111" ht="11.25" customHeight="1">
      <c r="CK1644" s="1"/>
      <c r="CW1644" s="144"/>
      <c r="DG1644" s="143"/>
    </row>
    <row r="1645" spans="89:111" ht="11.25" customHeight="1">
      <c r="CK1645" s="1"/>
      <c r="CW1645" s="144"/>
      <c r="DG1645" s="143"/>
    </row>
    <row r="1646" spans="89:111" ht="11.25" customHeight="1">
      <c r="CK1646" s="1"/>
      <c r="CW1646" s="144"/>
      <c r="DG1646" s="143"/>
    </row>
    <row r="1647" spans="89:111" ht="11.25" customHeight="1">
      <c r="CK1647" s="1"/>
      <c r="CW1647" s="144"/>
      <c r="DG1647" s="143"/>
    </row>
    <row r="1648" spans="89:111" ht="11.25" customHeight="1">
      <c r="CK1648" s="1"/>
      <c r="CW1648" s="144"/>
      <c r="DG1648" s="143"/>
    </row>
    <row r="1649" spans="89:111" ht="11.25" customHeight="1">
      <c r="CK1649" s="1"/>
      <c r="CW1649" s="144"/>
      <c r="DG1649" s="143"/>
    </row>
    <row r="1650" spans="89:111" ht="11.25" customHeight="1">
      <c r="CK1650" s="1"/>
      <c r="CW1650" s="144"/>
      <c r="DG1650" s="143"/>
    </row>
    <row r="1651" spans="89:111" ht="11.25" customHeight="1">
      <c r="CK1651" s="1"/>
      <c r="CW1651" s="144"/>
      <c r="DG1651" s="143"/>
    </row>
    <row r="1652" spans="89:111" ht="11.25" customHeight="1">
      <c r="CK1652" s="1"/>
      <c r="CW1652" s="144"/>
      <c r="DG1652" s="143"/>
    </row>
    <row r="1653" spans="89:111" ht="11.25" customHeight="1">
      <c r="CK1653" s="1"/>
      <c r="CW1653" s="144"/>
      <c r="DG1653" s="143"/>
    </row>
    <row r="1654" spans="89:111" ht="11.25" customHeight="1">
      <c r="CK1654" s="1"/>
      <c r="CW1654" s="144"/>
      <c r="DG1654" s="143"/>
    </row>
    <row r="1655" spans="89:111" ht="11.25" customHeight="1">
      <c r="CK1655" s="1"/>
      <c r="CW1655" s="144"/>
      <c r="DG1655" s="143"/>
    </row>
    <row r="1656" spans="89:111" ht="11.25" customHeight="1">
      <c r="CK1656" s="1"/>
      <c r="CW1656" s="144"/>
      <c r="DG1656" s="143"/>
    </row>
    <row r="1657" spans="89:111" ht="11.25" customHeight="1">
      <c r="CK1657" s="1"/>
      <c r="CW1657" s="144"/>
      <c r="DG1657" s="143"/>
    </row>
    <row r="1658" spans="89:111" ht="11.25" customHeight="1">
      <c r="CK1658" s="1"/>
      <c r="CW1658" s="144"/>
      <c r="DG1658" s="143"/>
    </row>
    <row r="1659" spans="89:111" ht="11.25" customHeight="1">
      <c r="CK1659" s="1"/>
      <c r="CW1659" s="144"/>
      <c r="DG1659" s="143"/>
    </row>
    <row r="1660" spans="89:111" ht="11.25" customHeight="1">
      <c r="CK1660" s="1"/>
      <c r="CW1660" s="144"/>
      <c r="DG1660" s="143"/>
    </row>
    <row r="1661" spans="89:111" ht="11.25" customHeight="1">
      <c r="CK1661" s="1"/>
      <c r="CW1661" s="144"/>
      <c r="DG1661" s="143"/>
    </row>
    <row r="1662" spans="89:111" ht="11.25" customHeight="1">
      <c r="CK1662" s="1"/>
      <c r="CW1662" s="144"/>
      <c r="DG1662" s="143"/>
    </row>
    <row r="1663" spans="89:111" ht="11.25" customHeight="1">
      <c r="CK1663" s="1"/>
      <c r="CW1663" s="144"/>
      <c r="DG1663" s="143"/>
    </row>
    <row r="1664" spans="89:111" ht="11.25" customHeight="1">
      <c r="CK1664" s="1"/>
      <c r="CW1664" s="144"/>
      <c r="DG1664" s="143"/>
    </row>
    <row r="1665" spans="89:111" ht="11.25" customHeight="1">
      <c r="CK1665" s="1"/>
      <c r="CW1665" s="144"/>
      <c r="DG1665" s="143"/>
    </row>
    <row r="1666" spans="89:111" ht="11.25" customHeight="1">
      <c r="CK1666" s="1"/>
      <c r="CW1666" s="144"/>
      <c r="DG1666" s="143"/>
    </row>
    <row r="1667" spans="89:111" ht="11.25" customHeight="1">
      <c r="CK1667" s="1"/>
      <c r="CW1667" s="144"/>
      <c r="DG1667" s="143"/>
    </row>
    <row r="1668" spans="89:111" ht="11.25" customHeight="1">
      <c r="CK1668" s="1"/>
      <c r="CW1668" s="144"/>
      <c r="DG1668" s="143"/>
    </row>
    <row r="1669" spans="89:111" ht="11.25" customHeight="1">
      <c r="CK1669" s="1"/>
      <c r="CW1669" s="144"/>
      <c r="DG1669" s="143"/>
    </row>
    <row r="1670" spans="89:111" ht="11.25" customHeight="1">
      <c r="CK1670" s="1"/>
      <c r="CW1670" s="144"/>
      <c r="DG1670" s="143"/>
    </row>
    <row r="1671" spans="89:111" ht="11.25" customHeight="1">
      <c r="CK1671" s="1"/>
      <c r="CW1671" s="144"/>
      <c r="DG1671" s="143"/>
    </row>
    <row r="1672" spans="89:111" ht="11.25" customHeight="1">
      <c r="CK1672" s="1"/>
      <c r="CW1672" s="144"/>
      <c r="DG1672" s="143"/>
    </row>
    <row r="1673" spans="89:111" ht="11.25" customHeight="1">
      <c r="CK1673" s="1"/>
      <c r="CW1673" s="144"/>
      <c r="DG1673" s="143"/>
    </row>
    <row r="1674" spans="89:111" ht="11.25" customHeight="1">
      <c r="CK1674" s="1"/>
      <c r="CW1674" s="144"/>
      <c r="DG1674" s="143"/>
    </row>
    <row r="1675" spans="89:111" ht="11.25" customHeight="1">
      <c r="CK1675" s="1"/>
      <c r="CW1675" s="144"/>
      <c r="DG1675" s="143"/>
    </row>
    <row r="1676" spans="89:111" ht="11.25" customHeight="1">
      <c r="CK1676" s="1"/>
      <c r="CW1676" s="144"/>
      <c r="DG1676" s="143"/>
    </row>
    <row r="1677" spans="89:111" ht="11.25" customHeight="1">
      <c r="CK1677" s="1"/>
      <c r="CW1677" s="144"/>
      <c r="DG1677" s="143"/>
    </row>
    <row r="1678" spans="89:111" ht="11.25" customHeight="1">
      <c r="CK1678" s="1"/>
      <c r="CW1678" s="144"/>
      <c r="DG1678" s="143"/>
    </row>
    <row r="1679" spans="89:111" ht="11.25" customHeight="1">
      <c r="CK1679" s="1"/>
      <c r="CW1679" s="144"/>
      <c r="DG1679" s="143"/>
    </row>
    <row r="1680" spans="89:111" ht="11.25" customHeight="1">
      <c r="CK1680" s="1"/>
      <c r="CW1680" s="144"/>
      <c r="DG1680" s="143"/>
    </row>
    <row r="1681" spans="89:111" ht="11.25" customHeight="1">
      <c r="CK1681" s="1"/>
      <c r="CW1681" s="144"/>
      <c r="DG1681" s="143"/>
    </row>
    <row r="1682" spans="89:111" ht="11.25" customHeight="1">
      <c r="CK1682" s="1"/>
      <c r="CW1682" s="144"/>
      <c r="DG1682" s="143"/>
    </row>
    <row r="1683" spans="89:111" ht="11.25" customHeight="1">
      <c r="CK1683" s="1"/>
      <c r="CW1683" s="144"/>
      <c r="DG1683" s="143"/>
    </row>
    <row r="1684" spans="89:111" ht="11.25" customHeight="1">
      <c r="CK1684" s="1"/>
      <c r="CW1684" s="144"/>
      <c r="DG1684" s="143"/>
    </row>
    <row r="1685" spans="89:111" ht="11.25" customHeight="1">
      <c r="CK1685" s="1"/>
      <c r="CW1685" s="144"/>
      <c r="DG1685" s="143"/>
    </row>
    <row r="1686" spans="89:111" ht="11.25" customHeight="1">
      <c r="CK1686" s="1"/>
      <c r="CW1686" s="144"/>
      <c r="DG1686" s="143"/>
    </row>
    <row r="1687" spans="89:111" ht="11.25" customHeight="1">
      <c r="CK1687" s="1"/>
      <c r="CW1687" s="144"/>
      <c r="DG1687" s="143"/>
    </row>
    <row r="1688" spans="89:111" ht="11.25" customHeight="1">
      <c r="CK1688" s="1"/>
      <c r="CW1688" s="144"/>
      <c r="DG1688" s="143"/>
    </row>
    <row r="1689" spans="89:111" ht="11.25" customHeight="1">
      <c r="CK1689" s="1"/>
      <c r="CW1689" s="144"/>
      <c r="DG1689" s="143"/>
    </row>
    <row r="1690" spans="89:111" ht="11.25" customHeight="1">
      <c r="CK1690" s="1"/>
      <c r="CW1690" s="144"/>
      <c r="DG1690" s="143"/>
    </row>
    <row r="1691" spans="89:111" ht="11.25" customHeight="1">
      <c r="CK1691" s="1"/>
      <c r="CW1691" s="144"/>
      <c r="DG1691" s="143"/>
    </row>
    <row r="1692" spans="89:111" ht="11.25" customHeight="1">
      <c r="CK1692" s="1"/>
      <c r="CW1692" s="144"/>
      <c r="DG1692" s="143"/>
    </row>
    <row r="1693" spans="89:111" ht="11.25" customHeight="1">
      <c r="CK1693" s="1"/>
      <c r="CW1693" s="144"/>
      <c r="DG1693" s="143"/>
    </row>
    <row r="1694" spans="89:111" ht="11.25" customHeight="1">
      <c r="CK1694" s="1"/>
      <c r="CW1694" s="144"/>
      <c r="DG1694" s="143"/>
    </row>
    <row r="1695" spans="89:111" ht="11.25" customHeight="1">
      <c r="CK1695" s="1"/>
      <c r="CW1695" s="144"/>
      <c r="DG1695" s="143"/>
    </row>
    <row r="1696" spans="89:111" ht="11.25" customHeight="1">
      <c r="CK1696" s="1"/>
      <c r="CW1696" s="144"/>
      <c r="DG1696" s="143"/>
    </row>
    <row r="1697" spans="89:111" ht="11.25" customHeight="1">
      <c r="CK1697" s="1"/>
      <c r="CW1697" s="144"/>
      <c r="DG1697" s="143"/>
    </row>
    <row r="1698" spans="89:111" ht="11.25" customHeight="1">
      <c r="CK1698" s="1"/>
      <c r="CW1698" s="144"/>
      <c r="DG1698" s="143"/>
    </row>
    <row r="1699" spans="89:111" ht="11.25" customHeight="1">
      <c r="CK1699" s="1"/>
      <c r="CW1699" s="144"/>
      <c r="DG1699" s="143"/>
    </row>
    <row r="1700" spans="89:111" ht="11.25" customHeight="1">
      <c r="CK1700" s="1"/>
      <c r="CW1700" s="144"/>
      <c r="DG1700" s="143"/>
    </row>
    <row r="1701" spans="89:111" ht="11.25" customHeight="1">
      <c r="CK1701" s="1"/>
      <c r="CW1701" s="144"/>
      <c r="DG1701" s="143"/>
    </row>
    <row r="1702" spans="89:111" ht="11.25" customHeight="1">
      <c r="CK1702" s="1"/>
      <c r="CW1702" s="144"/>
      <c r="DG1702" s="143"/>
    </row>
    <row r="1703" spans="89:111" ht="11.25" customHeight="1">
      <c r="CK1703" s="1"/>
      <c r="CW1703" s="144"/>
      <c r="DG1703" s="143"/>
    </row>
    <row r="1704" spans="89:111" ht="11.25" customHeight="1">
      <c r="CK1704" s="1"/>
      <c r="CW1704" s="144"/>
      <c r="DG1704" s="143"/>
    </row>
    <row r="1705" spans="89:111" ht="11.25" customHeight="1">
      <c r="CK1705" s="1"/>
      <c r="CW1705" s="144"/>
      <c r="DG1705" s="143"/>
    </row>
    <row r="1706" spans="89:111" ht="11.25" customHeight="1">
      <c r="CK1706" s="1"/>
      <c r="CW1706" s="144"/>
      <c r="DG1706" s="143"/>
    </row>
    <row r="1707" spans="89:111" ht="11.25" customHeight="1">
      <c r="CK1707" s="1"/>
      <c r="CW1707" s="144"/>
      <c r="DG1707" s="143"/>
    </row>
    <row r="1708" spans="89:111" ht="11.25" customHeight="1">
      <c r="CK1708" s="1"/>
      <c r="CW1708" s="144"/>
      <c r="DG1708" s="143"/>
    </row>
    <row r="1709" spans="89:111" ht="11.25" customHeight="1">
      <c r="CK1709" s="1"/>
      <c r="CW1709" s="144"/>
      <c r="DG1709" s="143"/>
    </row>
    <row r="1710" spans="89:111" ht="11.25" customHeight="1">
      <c r="CK1710" s="1"/>
      <c r="CW1710" s="144"/>
      <c r="DG1710" s="143"/>
    </row>
    <row r="1711" spans="89:111" ht="11.25" customHeight="1">
      <c r="CK1711" s="1"/>
      <c r="CW1711" s="144"/>
      <c r="DG1711" s="143"/>
    </row>
    <row r="1712" spans="89:111" ht="11.25" customHeight="1">
      <c r="CK1712" s="1"/>
      <c r="CW1712" s="144"/>
      <c r="DG1712" s="143"/>
    </row>
    <row r="1713" spans="89:111" ht="11.25" customHeight="1">
      <c r="CK1713" s="1"/>
      <c r="CW1713" s="144"/>
      <c r="DG1713" s="143"/>
    </row>
    <row r="1714" spans="89:111" ht="11.25" customHeight="1">
      <c r="CK1714" s="1"/>
      <c r="CW1714" s="144"/>
      <c r="DG1714" s="143"/>
    </row>
    <row r="1715" spans="89:111" ht="11.25" customHeight="1">
      <c r="CK1715" s="1"/>
      <c r="CW1715" s="144"/>
      <c r="DG1715" s="143"/>
    </row>
    <row r="1716" spans="89:111" ht="11.25" customHeight="1">
      <c r="CK1716" s="1"/>
      <c r="CW1716" s="144"/>
      <c r="DG1716" s="143"/>
    </row>
    <row r="1717" spans="89:111" ht="11.25" customHeight="1">
      <c r="CK1717" s="1"/>
      <c r="CW1717" s="144"/>
      <c r="DG1717" s="143"/>
    </row>
    <row r="1718" spans="89:111" ht="11.25" customHeight="1">
      <c r="CK1718" s="1"/>
      <c r="CW1718" s="144"/>
      <c r="DG1718" s="143"/>
    </row>
    <row r="1719" spans="89:111" ht="11.25" customHeight="1">
      <c r="CK1719" s="1"/>
      <c r="CW1719" s="144"/>
      <c r="DG1719" s="143"/>
    </row>
    <row r="1720" spans="89:111" ht="11.25" customHeight="1">
      <c r="CK1720" s="1"/>
      <c r="CW1720" s="144"/>
      <c r="DG1720" s="143"/>
    </row>
    <row r="1721" spans="89:111" ht="11.25" customHeight="1">
      <c r="CK1721" s="1"/>
      <c r="CW1721" s="144"/>
      <c r="DG1721" s="143"/>
    </row>
    <row r="1722" spans="89:111" ht="11.25" customHeight="1">
      <c r="CK1722" s="1"/>
      <c r="CW1722" s="144"/>
      <c r="DG1722" s="143"/>
    </row>
    <row r="1723" spans="89:111" ht="11.25" customHeight="1">
      <c r="CK1723" s="1"/>
      <c r="CW1723" s="144"/>
      <c r="DG1723" s="143"/>
    </row>
    <row r="1724" spans="89:111" ht="11.25" customHeight="1">
      <c r="CK1724" s="1"/>
      <c r="CW1724" s="144"/>
      <c r="DG1724" s="143"/>
    </row>
    <row r="1725" spans="89:111" ht="11.25" customHeight="1">
      <c r="CK1725" s="1"/>
      <c r="CW1725" s="144"/>
      <c r="DG1725" s="143"/>
    </row>
    <row r="1726" spans="89:111" ht="11.25" customHeight="1">
      <c r="CK1726" s="1"/>
      <c r="CW1726" s="144"/>
      <c r="DG1726" s="143"/>
    </row>
    <row r="1727" spans="89:111" ht="11.25" customHeight="1">
      <c r="CK1727" s="1"/>
      <c r="CW1727" s="144"/>
      <c r="DG1727" s="143"/>
    </row>
    <row r="1728" spans="89:111" ht="11.25" customHeight="1">
      <c r="CK1728" s="1"/>
      <c r="CW1728" s="144"/>
      <c r="DG1728" s="143"/>
    </row>
    <row r="1729" spans="89:111" ht="11.25" customHeight="1">
      <c r="CK1729" s="1"/>
      <c r="CW1729" s="144"/>
      <c r="DG1729" s="143"/>
    </row>
    <row r="1730" spans="89:111" ht="11.25" customHeight="1">
      <c r="CK1730" s="1"/>
      <c r="CW1730" s="144"/>
      <c r="DG1730" s="143"/>
    </row>
    <row r="1731" spans="89:111" ht="11.25" customHeight="1">
      <c r="CK1731" s="1"/>
      <c r="CW1731" s="144"/>
      <c r="DG1731" s="143"/>
    </row>
    <row r="1732" spans="89:111" ht="11.25" customHeight="1">
      <c r="CK1732" s="1"/>
      <c r="CW1732" s="144"/>
      <c r="DG1732" s="143"/>
    </row>
    <row r="1733" spans="89:111" ht="11.25" customHeight="1">
      <c r="CK1733" s="1"/>
      <c r="CW1733" s="144"/>
      <c r="DG1733" s="143"/>
    </row>
    <row r="1734" spans="89:111" ht="11.25" customHeight="1">
      <c r="CK1734" s="1"/>
      <c r="CW1734" s="144"/>
      <c r="DG1734" s="143"/>
    </row>
    <row r="1735" spans="89:111" ht="11.25" customHeight="1">
      <c r="CK1735" s="1"/>
      <c r="CW1735" s="144"/>
      <c r="DG1735" s="143"/>
    </row>
    <row r="1736" spans="89:111" ht="11.25" customHeight="1">
      <c r="CK1736" s="1"/>
      <c r="CW1736" s="144"/>
      <c r="DG1736" s="143"/>
    </row>
    <row r="1737" spans="89:111" ht="11.25" customHeight="1">
      <c r="CK1737" s="1"/>
      <c r="CW1737" s="144"/>
      <c r="DG1737" s="143"/>
    </row>
    <row r="1738" spans="89:111" ht="11.25" customHeight="1">
      <c r="CK1738" s="1"/>
      <c r="CW1738" s="144"/>
      <c r="DG1738" s="143"/>
    </row>
    <row r="1739" spans="89:111" ht="11.25" customHeight="1">
      <c r="CK1739" s="1"/>
      <c r="CW1739" s="144"/>
      <c r="DG1739" s="143"/>
    </row>
    <row r="1740" spans="89:111" ht="11.25" customHeight="1">
      <c r="CK1740" s="1"/>
      <c r="CW1740" s="144"/>
      <c r="DG1740" s="143"/>
    </row>
    <row r="1741" spans="89:111" ht="11.25" customHeight="1">
      <c r="CK1741" s="1"/>
      <c r="CW1741" s="144"/>
      <c r="DG1741" s="143"/>
    </row>
    <row r="1742" spans="89:111" ht="11.25" customHeight="1">
      <c r="CK1742" s="1"/>
      <c r="CW1742" s="144"/>
      <c r="DG1742" s="143"/>
    </row>
    <row r="1743" spans="89:111" ht="11.25" customHeight="1">
      <c r="CK1743" s="1"/>
      <c r="CW1743" s="144"/>
      <c r="DG1743" s="143"/>
    </row>
    <row r="1744" spans="89:111" ht="11.25" customHeight="1">
      <c r="CK1744" s="1"/>
      <c r="CW1744" s="144"/>
      <c r="DG1744" s="143"/>
    </row>
    <row r="1745" spans="89:111" ht="11.25" customHeight="1">
      <c r="CK1745" s="1"/>
      <c r="CW1745" s="144"/>
      <c r="DG1745" s="143"/>
    </row>
    <row r="1746" spans="89:111" ht="11.25" customHeight="1">
      <c r="CK1746" s="1"/>
      <c r="CW1746" s="144"/>
      <c r="DG1746" s="143"/>
    </row>
    <row r="1747" spans="89:111" ht="11.25" customHeight="1">
      <c r="CK1747" s="1"/>
      <c r="CW1747" s="144"/>
      <c r="DG1747" s="143"/>
    </row>
    <row r="1748" spans="89:111" ht="11.25" customHeight="1">
      <c r="CK1748" s="1"/>
      <c r="CW1748" s="144"/>
      <c r="DG1748" s="143"/>
    </row>
    <row r="1749" spans="89:111" ht="11.25" customHeight="1">
      <c r="CK1749" s="1"/>
      <c r="CW1749" s="144"/>
      <c r="DG1749" s="143"/>
    </row>
    <row r="1750" spans="89:111" ht="11.25" customHeight="1">
      <c r="CK1750" s="1"/>
      <c r="CW1750" s="144"/>
      <c r="DG1750" s="143"/>
    </row>
    <row r="1751" spans="89:111" ht="11.25" customHeight="1">
      <c r="CK1751" s="1"/>
      <c r="CW1751" s="144"/>
      <c r="DG1751" s="143"/>
    </row>
    <row r="1752" spans="89:111" ht="11.25" customHeight="1">
      <c r="CK1752" s="1"/>
      <c r="CW1752" s="144"/>
      <c r="DG1752" s="143"/>
    </row>
    <row r="1753" spans="89:111" ht="11.25" customHeight="1">
      <c r="CK1753" s="1"/>
      <c r="CW1753" s="144"/>
      <c r="DG1753" s="143"/>
    </row>
    <row r="1754" spans="89:111" ht="11.25" customHeight="1">
      <c r="CK1754" s="1"/>
      <c r="CW1754" s="144"/>
      <c r="DG1754" s="143"/>
    </row>
    <row r="1755" spans="89:111" ht="11.25" customHeight="1">
      <c r="CK1755" s="1"/>
      <c r="CW1755" s="144"/>
      <c r="DG1755" s="143"/>
    </row>
    <row r="1756" spans="89:111" ht="11.25" customHeight="1">
      <c r="CK1756" s="1"/>
      <c r="CW1756" s="144"/>
      <c r="DG1756" s="143"/>
    </row>
    <row r="1757" spans="89:111" ht="11.25" customHeight="1">
      <c r="CK1757" s="1"/>
      <c r="CW1757" s="144"/>
      <c r="DG1757" s="143"/>
    </row>
    <row r="1758" spans="89:111" ht="11.25" customHeight="1">
      <c r="CK1758" s="1"/>
      <c r="CW1758" s="144"/>
      <c r="DG1758" s="143"/>
    </row>
    <row r="1759" spans="89:111" ht="11.25" customHeight="1">
      <c r="CK1759" s="1"/>
      <c r="CW1759" s="144"/>
      <c r="DG1759" s="143"/>
    </row>
    <row r="1760" spans="89:111" ht="11.25" customHeight="1">
      <c r="CK1760" s="1"/>
      <c r="CW1760" s="144"/>
      <c r="DG1760" s="143"/>
    </row>
    <row r="1761" spans="89:111" ht="11.25" customHeight="1">
      <c r="CK1761" s="1"/>
      <c r="CW1761" s="144"/>
      <c r="DG1761" s="143"/>
    </row>
    <row r="1762" spans="89:111" ht="11.25" customHeight="1">
      <c r="CK1762" s="1"/>
      <c r="CW1762" s="144"/>
      <c r="DG1762" s="143"/>
    </row>
    <row r="1763" spans="89:111" ht="11.25" customHeight="1">
      <c r="CK1763" s="1"/>
      <c r="CW1763" s="144"/>
      <c r="DG1763" s="143"/>
    </row>
    <row r="1764" spans="89:111" ht="11.25" customHeight="1">
      <c r="CK1764" s="1"/>
      <c r="CW1764" s="144"/>
      <c r="DG1764" s="143"/>
    </row>
    <row r="1765" spans="89:111" ht="11.25" customHeight="1">
      <c r="CK1765" s="1"/>
      <c r="CW1765" s="144"/>
      <c r="DG1765" s="143"/>
    </row>
    <row r="1766" spans="89:111" ht="11.25" customHeight="1">
      <c r="CK1766" s="1"/>
      <c r="CW1766" s="144"/>
      <c r="DG1766" s="143"/>
    </row>
    <row r="1767" spans="89:111" ht="11.25" customHeight="1">
      <c r="CK1767" s="1"/>
      <c r="CW1767" s="144"/>
      <c r="DG1767" s="143"/>
    </row>
    <row r="1768" spans="89:111" ht="11.25" customHeight="1">
      <c r="CK1768" s="1"/>
      <c r="CW1768" s="144"/>
      <c r="DG1768" s="143"/>
    </row>
    <row r="1769" spans="89:111" ht="11.25" customHeight="1">
      <c r="CK1769" s="1"/>
      <c r="CW1769" s="144"/>
      <c r="DG1769" s="143"/>
    </row>
    <row r="1770" spans="89:111" ht="11.25" customHeight="1">
      <c r="CK1770" s="1"/>
      <c r="CW1770" s="144"/>
      <c r="DG1770" s="143"/>
    </row>
    <row r="1771" spans="89:111" ht="11.25" customHeight="1">
      <c r="CK1771" s="1"/>
      <c r="CW1771" s="144"/>
      <c r="DG1771" s="143"/>
    </row>
    <row r="1772" spans="89:111" ht="11.25" customHeight="1">
      <c r="CK1772" s="1"/>
      <c r="CW1772" s="144"/>
      <c r="DG1772" s="143"/>
    </row>
    <row r="1773" spans="89:111" ht="11.25" customHeight="1">
      <c r="CK1773" s="1"/>
      <c r="CW1773" s="144"/>
      <c r="DG1773" s="143"/>
    </row>
    <row r="1774" spans="89:111" ht="11.25" customHeight="1">
      <c r="CK1774" s="1"/>
      <c r="CW1774" s="144"/>
      <c r="DG1774" s="143"/>
    </row>
    <row r="1775" spans="89:111" ht="11.25" customHeight="1">
      <c r="CK1775" s="1"/>
      <c r="CW1775" s="144"/>
      <c r="DG1775" s="143"/>
    </row>
    <row r="1776" spans="89:111" ht="11.25" customHeight="1">
      <c r="CK1776" s="1"/>
      <c r="CW1776" s="144"/>
      <c r="DG1776" s="143"/>
    </row>
    <row r="1777" spans="89:111" ht="11.25" customHeight="1">
      <c r="CK1777" s="1"/>
      <c r="CW1777" s="144"/>
      <c r="DG1777" s="143"/>
    </row>
    <row r="1778" spans="89:111" ht="11.25" customHeight="1">
      <c r="CK1778" s="1"/>
      <c r="CW1778" s="144"/>
      <c r="DG1778" s="143"/>
    </row>
    <row r="1779" spans="89:111" ht="11.25" customHeight="1">
      <c r="CK1779" s="1"/>
      <c r="CW1779" s="144"/>
      <c r="DG1779" s="143"/>
    </row>
    <row r="1780" spans="89:111" ht="11.25" customHeight="1">
      <c r="CK1780" s="1"/>
      <c r="CW1780" s="144"/>
      <c r="DG1780" s="143"/>
    </row>
    <row r="1781" spans="89:111" ht="11.25" customHeight="1">
      <c r="CK1781" s="1"/>
      <c r="CW1781" s="144"/>
      <c r="DG1781" s="143"/>
    </row>
    <row r="1782" spans="89:111" ht="11.25" customHeight="1">
      <c r="CK1782" s="1"/>
      <c r="CW1782" s="144"/>
      <c r="DG1782" s="143"/>
    </row>
    <row r="1783" spans="89:111" ht="11.25" customHeight="1">
      <c r="CK1783" s="1"/>
      <c r="CW1783" s="144"/>
      <c r="DG1783" s="143"/>
    </row>
    <row r="1784" spans="89:111" ht="11.25" customHeight="1">
      <c r="CK1784" s="1"/>
      <c r="CW1784" s="144"/>
      <c r="DG1784" s="143"/>
    </row>
    <row r="1785" spans="89:111" ht="11.25" customHeight="1">
      <c r="CK1785" s="1"/>
      <c r="CW1785" s="144"/>
      <c r="DG1785" s="143"/>
    </row>
    <row r="1786" spans="89:111" ht="11.25" customHeight="1">
      <c r="CK1786" s="1"/>
      <c r="CW1786" s="144"/>
      <c r="DG1786" s="143"/>
    </row>
    <row r="1787" spans="89:111" ht="11.25" customHeight="1">
      <c r="CK1787" s="1"/>
      <c r="CW1787" s="144"/>
      <c r="DG1787" s="143"/>
    </row>
    <row r="1788" spans="89:111" ht="11.25" customHeight="1">
      <c r="CK1788" s="1"/>
      <c r="CW1788" s="144"/>
      <c r="DG1788" s="143"/>
    </row>
    <row r="1789" spans="89:111" ht="11.25" customHeight="1">
      <c r="CK1789" s="1"/>
      <c r="CW1789" s="144"/>
      <c r="DG1789" s="143"/>
    </row>
    <row r="1790" spans="89:111" ht="11.25" customHeight="1">
      <c r="CK1790" s="1"/>
      <c r="CW1790" s="144"/>
      <c r="DG1790" s="143"/>
    </row>
    <row r="1791" spans="89:111" ht="11.25" customHeight="1">
      <c r="CK1791" s="1"/>
      <c r="CW1791" s="144"/>
      <c r="DG1791" s="143"/>
    </row>
    <row r="1792" spans="89:111" ht="11.25" customHeight="1">
      <c r="CK1792" s="1"/>
      <c r="CW1792" s="144"/>
      <c r="DG1792" s="143"/>
    </row>
    <row r="1793" spans="89:111" ht="11.25" customHeight="1">
      <c r="CK1793" s="1"/>
      <c r="CW1793" s="144"/>
      <c r="DG1793" s="143"/>
    </row>
    <row r="1794" spans="89:111" ht="11.25" customHeight="1">
      <c r="CK1794" s="1"/>
      <c r="CW1794" s="144"/>
      <c r="DG1794" s="143"/>
    </row>
    <row r="1795" spans="89:111" ht="11.25" customHeight="1">
      <c r="CK1795" s="1"/>
      <c r="CW1795" s="144"/>
      <c r="DG1795" s="143"/>
    </row>
    <row r="1796" spans="89:111" ht="11.25" customHeight="1">
      <c r="CK1796" s="1"/>
      <c r="CW1796" s="144"/>
      <c r="DG1796" s="143"/>
    </row>
    <row r="1797" spans="89:111" ht="11.25" customHeight="1">
      <c r="CK1797" s="1"/>
      <c r="CW1797" s="144"/>
      <c r="DG1797" s="143"/>
    </row>
    <row r="1798" spans="89:111" ht="11.25" customHeight="1">
      <c r="CK1798" s="1"/>
      <c r="CW1798" s="144"/>
      <c r="DG1798" s="143"/>
    </row>
    <row r="1799" spans="89:111" ht="11.25" customHeight="1">
      <c r="CK1799" s="1"/>
      <c r="CW1799" s="144"/>
      <c r="DG1799" s="143"/>
    </row>
    <row r="1800" spans="89:111" ht="11.25" customHeight="1">
      <c r="CK1800" s="1"/>
      <c r="CW1800" s="144"/>
      <c r="DG1800" s="143"/>
    </row>
    <row r="1801" spans="89:111" ht="11.25" customHeight="1">
      <c r="CK1801" s="1"/>
      <c r="CW1801" s="144"/>
      <c r="DG1801" s="143"/>
    </row>
    <row r="1802" spans="89:111" ht="11.25" customHeight="1">
      <c r="CK1802" s="1"/>
      <c r="CW1802" s="144"/>
      <c r="DG1802" s="143"/>
    </row>
    <row r="1803" spans="89:111" ht="11.25" customHeight="1">
      <c r="CK1803" s="1"/>
      <c r="CW1803" s="144"/>
      <c r="DG1803" s="143"/>
    </row>
    <row r="1804" spans="89:111" ht="11.25" customHeight="1">
      <c r="CK1804" s="1"/>
      <c r="CW1804" s="144"/>
      <c r="DG1804" s="143"/>
    </row>
    <row r="1805" spans="89:111" ht="11.25" customHeight="1">
      <c r="CK1805" s="1"/>
      <c r="CW1805" s="144"/>
      <c r="DG1805" s="143"/>
    </row>
    <row r="1806" spans="89:111" ht="11.25" customHeight="1">
      <c r="CK1806" s="1"/>
      <c r="CW1806" s="144"/>
      <c r="DG1806" s="143"/>
    </row>
    <row r="1807" spans="89:111" ht="11.25" customHeight="1">
      <c r="CK1807" s="1"/>
      <c r="CW1807" s="144"/>
      <c r="DG1807" s="143"/>
    </row>
    <row r="1808" spans="89:111" ht="11.25" customHeight="1">
      <c r="CK1808" s="1"/>
      <c r="CW1808" s="144"/>
      <c r="DG1808" s="143"/>
    </row>
    <row r="1809" spans="89:111" ht="11.25" customHeight="1">
      <c r="CK1809" s="1"/>
      <c r="CW1809" s="144"/>
      <c r="DG1809" s="143"/>
    </row>
    <row r="1810" spans="89:111" ht="11.25" customHeight="1">
      <c r="CK1810" s="1"/>
      <c r="CW1810" s="144"/>
      <c r="DG1810" s="143"/>
    </row>
    <row r="1811" spans="89:111" ht="11.25" customHeight="1">
      <c r="CK1811" s="1"/>
      <c r="CW1811" s="144"/>
      <c r="DG1811" s="143"/>
    </row>
    <row r="1812" spans="89:111" ht="11.25" customHeight="1">
      <c r="CK1812" s="1"/>
      <c r="CW1812" s="144"/>
      <c r="DG1812" s="143"/>
    </row>
    <row r="1813" spans="89:111" ht="11.25" customHeight="1">
      <c r="CK1813" s="1"/>
      <c r="CW1813" s="144"/>
      <c r="DG1813" s="143"/>
    </row>
    <row r="1814" spans="89:111" ht="11.25" customHeight="1">
      <c r="CK1814" s="1"/>
      <c r="CW1814" s="144"/>
      <c r="DG1814" s="143"/>
    </row>
    <row r="1815" spans="89:111" ht="11.25" customHeight="1">
      <c r="CK1815" s="1"/>
      <c r="CW1815" s="144"/>
      <c r="DG1815" s="143"/>
    </row>
    <row r="1816" spans="89:111" ht="11.25" customHeight="1">
      <c r="CK1816" s="1"/>
      <c r="CW1816" s="144"/>
      <c r="DG1816" s="143"/>
    </row>
    <row r="1817" spans="89:111" ht="11.25" customHeight="1">
      <c r="CK1817" s="1"/>
      <c r="CW1817" s="144"/>
      <c r="DG1817" s="143"/>
    </row>
    <row r="1818" spans="89:111" ht="11.25" customHeight="1">
      <c r="CK1818" s="1"/>
      <c r="CW1818" s="144"/>
      <c r="DG1818" s="143"/>
    </row>
    <row r="1819" spans="89:111" ht="11.25" customHeight="1">
      <c r="CK1819" s="1"/>
      <c r="CW1819" s="144"/>
      <c r="DG1819" s="143"/>
    </row>
    <row r="1820" spans="89:111" ht="11.25" customHeight="1">
      <c r="CK1820" s="1"/>
      <c r="CW1820" s="144"/>
      <c r="DG1820" s="143"/>
    </row>
    <row r="1821" spans="89:111" ht="11.25" customHeight="1">
      <c r="CK1821" s="1"/>
      <c r="CW1821" s="144"/>
      <c r="DG1821" s="143"/>
    </row>
    <row r="1822" spans="89:111" ht="11.25" customHeight="1">
      <c r="CK1822" s="1"/>
      <c r="CW1822" s="144"/>
      <c r="DG1822" s="143"/>
    </row>
    <row r="1823" spans="89:111" ht="11.25" customHeight="1">
      <c r="CK1823" s="1"/>
      <c r="CW1823" s="144"/>
      <c r="DG1823" s="143"/>
    </row>
    <row r="1824" spans="89:111" ht="11.25" customHeight="1">
      <c r="CK1824" s="1"/>
      <c r="CW1824" s="144"/>
      <c r="DG1824" s="143"/>
    </row>
    <row r="1825" spans="89:111" ht="11.25" customHeight="1">
      <c r="CK1825" s="1"/>
      <c r="CW1825" s="144"/>
      <c r="DG1825" s="143"/>
    </row>
    <row r="1826" spans="89:111" ht="11.25" customHeight="1">
      <c r="CK1826" s="1"/>
      <c r="CW1826" s="144"/>
      <c r="DG1826" s="143"/>
    </row>
    <row r="1827" spans="89:111" ht="11.25" customHeight="1">
      <c r="CK1827" s="1"/>
      <c r="CW1827" s="144"/>
      <c r="DG1827" s="143"/>
    </row>
    <row r="1828" spans="89:111" ht="11.25" customHeight="1">
      <c r="CK1828" s="1"/>
      <c r="CW1828" s="144"/>
      <c r="DG1828" s="143"/>
    </row>
    <row r="1829" spans="89:111" ht="11.25" customHeight="1">
      <c r="CK1829" s="1"/>
      <c r="CW1829" s="144"/>
      <c r="DG1829" s="143"/>
    </row>
    <row r="1830" spans="89:111" ht="11.25" customHeight="1">
      <c r="CK1830" s="1"/>
      <c r="CW1830" s="144"/>
      <c r="DG1830" s="143"/>
    </row>
    <row r="1831" spans="89:111" ht="11.25" customHeight="1">
      <c r="CK1831" s="1"/>
      <c r="CW1831" s="144"/>
      <c r="DG1831" s="143"/>
    </row>
    <row r="1832" spans="89:111" ht="11.25" customHeight="1">
      <c r="CK1832" s="1"/>
      <c r="CW1832" s="144"/>
      <c r="DG1832" s="143"/>
    </row>
    <row r="1833" spans="89:111" ht="11.25" customHeight="1">
      <c r="CK1833" s="1"/>
      <c r="CW1833" s="144"/>
      <c r="DG1833" s="143"/>
    </row>
    <row r="1834" spans="89:111" ht="11.25" customHeight="1">
      <c r="CK1834" s="1"/>
      <c r="CW1834" s="144"/>
      <c r="DG1834" s="143"/>
    </row>
    <row r="1835" spans="89:111" ht="11.25" customHeight="1">
      <c r="CK1835" s="1"/>
      <c r="CW1835" s="144"/>
      <c r="DG1835" s="143"/>
    </row>
    <row r="1836" spans="89:111" ht="11.25" customHeight="1">
      <c r="CK1836" s="1"/>
      <c r="CW1836" s="144"/>
      <c r="DG1836" s="143"/>
    </row>
    <row r="1837" spans="89:111" ht="11.25" customHeight="1">
      <c r="CK1837" s="1"/>
      <c r="CW1837" s="144"/>
      <c r="DG1837" s="143"/>
    </row>
    <row r="1838" spans="89:111" ht="11.25" customHeight="1">
      <c r="CK1838" s="1"/>
      <c r="CW1838" s="144"/>
      <c r="DG1838" s="143"/>
    </row>
    <row r="1839" spans="89:111" ht="11.25" customHeight="1">
      <c r="CK1839" s="1"/>
      <c r="CW1839" s="144"/>
      <c r="DG1839" s="143"/>
    </row>
    <row r="1840" spans="89:111" ht="11.25" customHeight="1">
      <c r="CK1840" s="1"/>
      <c r="CW1840" s="144"/>
      <c r="DG1840" s="143"/>
    </row>
    <row r="1841" spans="89:111" ht="11.25" customHeight="1">
      <c r="CK1841" s="1"/>
      <c r="CW1841" s="144"/>
      <c r="DG1841" s="143"/>
    </row>
    <row r="1842" spans="89:111" ht="11.25" customHeight="1">
      <c r="CK1842" s="1"/>
      <c r="CW1842" s="144"/>
      <c r="DG1842" s="143"/>
    </row>
    <row r="1843" spans="89:111" ht="11.25" customHeight="1">
      <c r="CK1843" s="1"/>
      <c r="CW1843" s="144"/>
      <c r="DG1843" s="143"/>
    </row>
    <row r="1844" spans="89:111" ht="11.25" customHeight="1">
      <c r="CK1844" s="1"/>
      <c r="CW1844" s="144"/>
      <c r="DG1844" s="143"/>
    </row>
    <row r="1845" spans="89:111" ht="11.25" customHeight="1">
      <c r="CK1845" s="1"/>
      <c r="CW1845" s="144"/>
      <c r="DG1845" s="143"/>
    </row>
    <row r="1846" spans="89:111" ht="11.25" customHeight="1">
      <c r="CK1846" s="1"/>
      <c r="CW1846" s="144"/>
      <c r="DG1846" s="143"/>
    </row>
    <row r="1847" spans="89:111" ht="11.25" customHeight="1">
      <c r="CK1847" s="1"/>
      <c r="CW1847" s="144"/>
      <c r="DG1847" s="143"/>
    </row>
    <row r="1848" spans="89:111" ht="11.25" customHeight="1">
      <c r="CK1848" s="1"/>
      <c r="CW1848" s="144"/>
      <c r="DG1848" s="143"/>
    </row>
    <row r="1849" spans="89:111" ht="11.25" customHeight="1">
      <c r="CK1849" s="1"/>
      <c r="CW1849" s="144"/>
      <c r="DG1849" s="143"/>
    </row>
    <row r="1850" spans="89:111" ht="11.25" customHeight="1">
      <c r="CK1850" s="1"/>
      <c r="CW1850" s="144"/>
      <c r="DG1850" s="143"/>
    </row>
    <row r="1851" spans="89:111" ht="11.25" customHeight="1">
      <c r="CK1851" s="1"/>
      <c r="CW1851" s="144"/>
      <c r="DG1851" s="143"/>
    </row>
    <row r="1852" spans="89:111" ht="11.25" customHeight="1">
      <c r="CK1852" s="1"/>
      <c r="CW1852" s="144"/>
      <c r="DG1852" s="143"/>
    </row>
    <row r="1853" spans="89:111" ht="11.25" customHeight="1">
      <c r="CK1853" s="1"/>
      <c r="CW1853" s="144"/>
      <c r="DG1853" s="143"/>
    </row>
    <row r="1854" spans="89:111" ht="11.25" customHeight="1">
      <c r="CK1854" s="1"/>
      <c r="CW1854" s="144"/>
      <c r="DG1854" s="143"/>
    </row>
    <row r="1855" spans="89:111" ht="11.25" customHeight="1">
      <c r="CK1855" s="1"/>
      <c r="CW1855" s="144"/>
      <c r="DG1855" s="143"/>
    </row>
    <row r="1856" spans="89:111" ht="11.25" customHeight="1">
      <c r="CK1856" s="1"/>
      <c r="CW1856" s="144"/>
      <c r="DG1856" s="143"/>
    </row>
    <row r="1857" spans="89:111" ht="11.25" customHeight="1">
      <c r="CK1857" s="1"/>
      <c r="CW1857" s="144"/>
      <c r="DG1857" s="143"/>
    </row>
    <row r="1858" spans="89:111" ht="11.25" customHeight="1">
      <c r="CK1858" s="1"/>
      <c r="CW1858" s="144"/>
      <c r="DG1858" s="143"/>
    </row>
    <row r="1859" spans="89:111" ht="11.25" customHeight="1">
      <c r="CK1859" s="1"/>
      <c r="CW1859" s="144"/>
      <c r="DG1859" s="143"/>
    </row>
    <row r="1860" spans="89:111" ht="11.25" customHeight="1">
      <c r="CK1860" s="1"/>
      <c r="CW1860" s="144"/>
      <c r="DG1860" s="143"/>
    </row>
    <row r="1861" spans="89:111" ht="11.25" customHeight="1">
      <c r="CK1861" s="1"/>
      <c r="CW1861" s="144"/>
      <c r="DG1861" s="143"/>
    </row>
    <row r="1862" spans="89:111" ht="11.25" customHeight="1">
      <c r="CK1862" s="1"/>
      <c r="CW1862" s="144"/>
      <c r="DG1862" s="143"/>
    </row>
    <row r="1863" spans="89:111" ht="11.25" customHeight="1">
      <c r="CK1863" s="1"/>
      <c r="CW1863" s="144"/>
      <c r="DG1863" s="143"/>
    </row>
    <row r="1864" spans="89:111" ht="11.25" customHeight="1">
      <c r="CK1864" s="1"/>
      <c r="CW1864" s="144"/>
      <c r="DG1864" s="143"/>
    </row>
    <row r="1865" spans="89:111" ht="11.25" customHeight="1">
      <c r="CK1865" s="1"/>
      <c r="CW1865" s="144"/>
      <c r="DG1865" s="143"/>
    </row>
    <row r="1866" spans="89:111" ht="11.25" customHeight="1">
      <c r="CK1866" s="1"/>
      <c r="CW1866" s="144"/>
      <c r="DG1866" s="143"/>
    </row>
    <row r="1867" spans="89:111" ht="11.25" customHeight="1">
      <c r="CK1867" s="1"/>
      <c r="CW1867" s="144"/>
      <c r="DG1867" s="143"/>
    </row>
    <row r="1868" spans="89:111" ht="11.25" customHeight="1">
      <c r="CK1868" s="1"/>
      <c r="CW1868" s="144"/>
      <c r="DG1868" s="143"/>
    </row>
    <row r="1869" spans="89:111" ht="11.25" customHeight="1">
      <c r="CK1869" s="1"/>
      <c r="CW1869" s="144"/>
      <c r="DG1869" s="143"/>
    </row>
    <row r="1870" spans="89:111" ht="11.25" customHeight="1">
      <c r="CK1870" s="1"/>
      <c r="CW1870" s="144"/>
      <c r="DG1870" s="143"/>
    </row>
    <row r="1871" spans="89:111" ht="11.25" customHeight="1">
      <c r="CK1871" s="1"/>
      <c r="CW1871" s="144"/>
      <c r="DG1871" s="143"/>
    </row>
    <row r="1872" spans="89:111" ht="11.25" customHeight="1">
      <c r="CK1872" s="1"/>
      <c r="CW1872" s="144"/>
      <c r="DG1872" s="143"/>
    </row>
    <row r="1873" spans="89:111" ht="11.25" customHeight="1">
      <c r="CK1873" s="1"/>
      <c r="CW1873" s="144"/>
      <c r="DG1873" s="143"/>
    </row>
    <row r="1874" spans="89:111" ht="11.25" customHeight="1">
      <c r="CK1874" s="1"/>
      <c r="CW1874" s="144"/>
      <c r="DG1874" s="143"/>
    </row>
    <row r="1875" spans="89:111" ht="11.25" customHeight="1">
      <c r="CK1875" s="1"/>
      <c r="CW1875" s="144"/>
      <c r="DG1875" s="143"/>
    </row>
    <row r="1876" spans="89:111" ht="11.25" customHeight="1">
      <c r="CK1876" s="1"/>
      <c r="CW1876" s="144"/>
      <c r="DG1876" s="143"/>
    </row>
    <row r="1877" spans="89:111" ht="11.25" customHeight="1">
      <c r="CK1877" s="1"/>
      <c r="CW1877" s="144"/>
      <c r="DG1877" s="143"/>
    </row>
    <row r="1878" spans="89:111" ht="11.25" customHeight="1">
      <c r="CK1878" s="1"/>
      <c r="CW1878" s="144"/>
      <c r="DG1878" s="143"/>
    </row>
    <row r="1879" spans="89:111" ht="11.25" customHeight="1">
      <c r="CK1879" s="1"/>
      <c r="CW1879" s="144"/>
      <c r="DG1879" s="143"/>
    </row>
    <row r="1880" spans="89:111" ht="11.25" customHeight="1">
      <c r="CK1880" s="1"/>
      <c r="CW1880" s="144"/>
      <c r="DG1880" s="143"/>
    </row>
    <row r="1881" spans="89:111" ht="11.25" customHeight="1">
      <c r="CK1881" s="1"/>
      <c r="CW1881" s="144"/>
      <c r="DG1881" s="143"/>
    </row>
    <row r="1882" spans="89:111" ht="11.25" customHeight="1">
      <c r="CK1882" s="1"/>
      <c r="CW1882" s="144"/>
      <c r="DG1882" s="143"/>
    </row>
    <row r="1883" spans="89:111" ht="11.25" customHeight="1">
      <c r="CK1883" s="1"/>
      <c r="CW1883" s="144"/>
      <c r="DG1883" s="143"/>
    </row>
    <row r="1884" spans="89:111" ht="11.25" customHeight="1">
      <c r="CK1884" s="1"/>
      <c r="CW1884" s="144"/>
      <c r="DG1884" s="143"/>
    </row>
    <row r="1885" spans="89:111" ht="11.25" customHeight="1">
      <c r="CK1885" s="1"/>
      <c r="CW1885" s="144"/>
      <c r="DG1885" s="143"/>
    </row>
    <row r="1886" spans="89:111" ht="11.25" customHeight="1">
      <c r="CK1886" s="1"/>
      <c r="CW1886" s="144"/>
      <c r="DG1886" s="143"/>
    </row>
    <row r="1887" spans="89:111" ht="11.25" customHeight="1">
      <c r="CK1887" s="1"/>
      <c r="CW1887" s="144"/>
      <c r="DG1887" s="143"/>
    </row>
    <row r="1888" spans="89:111" ht="11.25" customHeight="1">
      <c r="CK1888" s="1"/>
      <c r="CW1888" s="144"/>
      <c r="DG1888" s="143"/>
    </row>
    <row r="1889" spans="89:111" ht="11.25" customHeight="1">
      <c r="CK1889" s="1"/>
      <c r="CW1889" s="144"/>
      <c r="DG1889" s="143"/>
    </row>
    <row r="1890" spans="89:111" ht="11.25" customHeight="1">
      <c r="CK1890" s="1"/>
      <c r="CW1890" s="144"/>
      <c r="DG1890" s="143"/>
    </row>
    <row r="1891" spans="89:111" ht="11.25" customHeight="1">
      <c r="CK1891" s="1"/>
      <c r="CW1891" s="144"/>
      <c r="DG1891" s="143"/>
    </row>
    <row r="1892" spans="89:111" ht="11.25" customHeight="1">
      <c r="CK1892" s="1"/>
      <c r="CW1892" s="144"/>
      <c r="DG1892" s="143"/>
    </row>
    <row r="1893" spans="89:111" ht="11.25" customHeight="1">
      <c r="CK1893" s="1"/>
      <c r="CW1893" s="144"/>
      <c r="DG1893" s="143"/>
    </row>
    <row r="1894" spans="89:111" ht="11.25" customHeight="1">
      <c r="CK1894" s="1"/>
      <c r="CW1894" s="144"/>
      <c r="DG1894" s="143"/>
    </row>
    <row r="1895" spans="89:111" ht="11.25" customHeight="1">
      <c r="CK1895" s="1"/>
      <c r="CW1895" s="144"/>
      <c r="DG1895" s="143"/>
    </row>
    <row r="1896" spans="89:111" ht="11.25" customHeight="1">
      <c r="CK1896" s="1"/>
      <c r="CW1896" s="144"/>
      <c r="DG1896" s="143"/>
    </row>
    <row r="1897" spans="89:111" ht="11.25" customHeight="1">
      <c r="CK1897" s="1"/>
      <c r="CW1897" s="144"/>
      <c r="DG1897" s="143"/>
    </row>
    <row r="1898" spans="89:111" ht="11.25" customHeight="1">
      <c r="CK1898" s="1"/>
      <c r="CW1898" s="144"/>
      <c r="DG1898" s="143"/>
    </row>
    <row r="1899" spans="89:111" ht="11.25" customHeight="1">
      <c r="CK1899" s="1"/>
      <c r="CW1899" s="144"/>
      <c r="DG1899" s="143"/>
    </row>
    <row r="1900" spans="89:111" ht="11.25" customHeight="1">
      <c r="CK1900" s="1"/>
      <c r="CW1900" s="144"/>
      <c r="DG1900" s="143"/>
    </row>
    <row r="1901" spans="89:111" ht="11.25" customHeight="1">
      <c r="CK1901" s="1"/>
      <c r="CW1901" s="144"/>
      <c r="DG1901" s="143"/>
    </row>
    <row r="1902" spans="89:111" ht="11.25" customHeight="1">
      <c r="CK1902" s="1"/>
      <c r="CW1902" s="144"/>
      <c r="DG1902" s="143"/>
    </row>
    <row r="1903" spans="89:111" ht="11.25" customHeight="1">
      <c r="CK1903" s="1"/>
      <c r="CW1903" s="144"/>
      <c r="DG1903" s="143"/>
    </row>
    <row r="1904" spans="89:111" ht="11.25" customHeight="1">
      <c r="CK1904" s="1"/>
      <c r="CW1904" s="144"/>
      <c r="DG1904" s="143"/>
    </row>
    <row r="1905" spans="89:111" ht="11.25" customHeight="1">
      <c r="CK1905" s="1"/>
      <c r="CW1905" s="144"/>
      <c r="DG1905" s="143"/>
    </row>
    <row r="1906" spans="89:111" ht="11.25" customHeight="1">
      <c r="CK1906" s="1"/>
      <c r="CW1906" s="144"/>
      <c r="DG1906" s="143"/>
    </row>
    <row r="1907" spans="89:111" ht="11.25" customHeight="1">
      <c r="CK1907" s="1"/>
      <c r="CW1907" s="144"/>
      <c r="DG1907" s="143"/>
    </row>
    <row r="1908" spans="89:111" ht="11.25" customHeight="1">
      <c r="CK1908" s="1"/>
      <c r="CW1908" s="144"/>
      <c r="DG1908" s="143"/>
    </row>
    <row r="1909" spans="89:111" ht="11.25" customHeight="1">
      <c r="CK1909" s="1"/>
      <c r="CW1909" s="144"/>
      <c r="DG1909" s="143"/>
    </row>
    <row r="1910" spans="89:111" ht="11.25" customHeight="1">
      <c r="CK1910" s="1"/>
      <c r="CW1910" s="144"/>
      <c r="DG1910" s="143"/>
    </row>
    <row r="1911" spans="89:111" ht="11.25" customHeight="1">
      <c r="CK1911" s="1"/>
      <c r="CW1911" s="144"/>
      <c r="DG1911" s="143"/>
    </row>
    <row r="1912" spans="89:111" ht="11.25" customHeight="1">
      <c r="CK1912" s="1"/>
      <c r="CW1912" s="144"/>
      <c r="DG1912" s="143"/>
    </row>
    <row r="1913" spans="89:111" ht="11.25" customHeight="1">
      <c r="CK1913" s="1"/>
      <c r="CW1913" s="144"/>
      <c r="DG1913" s="143"/>
    </row>
    <row r="1914" spans="89:111" ht="11.25" customHeight="1">
      <c r="CK1914" s="1"/>
      <c r="CW1914" s="144"/>
      <c r="DG1914" s="143"/>
    </row>
    <row r="1915" spans="89:111" ht="11.25" customHeight="1">
      <c r="CK1915" s="1"/>
      <c r="CW1915" s="144"/>
      <c r="DG1915" s="143"/>
    </row>
    <row r="1916" spans="89:111" ht="11.25" customHeight="1">
      <c r="CK1916" s="1"/>
      <c r="CW1916" s="144"/>
      <c r="DG1916" s="143"/>
    </row>
    <row r="1917" spans="89:111" ht="11.25" customHeight="1">
      <c r="CK1917" s="1"/>
      <c r="CW1917" s="144"/>
      <c r="DG1917" s="143"/>
    </row>
    <row r="1918" spans="89:111" ht="11.25" customHeight="1">
      <c r="CK1918" s="1"/>
      <c r="CW1918" s="144"/>
      <c r="DG1918" s="143"/>
    </row>
    <row r="1919" spans="89:111" ht="11.25" customHeight="1">
      <c r="CK1919" s="1"/>
      <c r="CW1919" s="144"/>
      <c r="DG1919" s="143"/>
    </row>
    <row r="1920" spans="89:111" ht="11.25" customHeight="1">
      <c r="CK1920" s="1"/>
      <c r="CW1920" s="144"/>
      <c r="DG1920" s="143"/>
    </row>
    <row r="1921" spans="89:111" ht="11.25" customHeight="1">
      <c r="CK1921" s="1"/>
      <c r="CW1921" s="144"/>
      <c r="DG1921" s="143"/>
    </row>
    <row r="1922" spans="89:111" ht="11.25" customHeight="1">
      <c r="CK1922" s="1"/>
      <c r="CW1922" s="144"/>
      <c r="DG1922" s="143"/>
    </row>
    <row r="1923" spans="89:111" ht="11.25" customHeight="1">
      <c r="CK1923" s="1"/>
      <c r="CW1923" s="144"/>
      <c r="DG1923" s="143"/>
    </row>
    <row r="1924" spans="89:111" ht="11.25" customHeight="1">
      <c r="CK1924" s="1"/>
      <c r="CW1924" s="144"/>
      <c r="DG1924" s="143"/>
    </row>
    <row r="1925" spans="89:111" ht="11.25" customHeight="1">
      <c r="CK1925" s="1"/>
      <c r="CW1925" s="144"/>
      <c r="DG1925" s="143"/>
    </row>
    <row r="1926" spans="89:111" ht="11.25" customHeight="1">
      <c r="CK1926" s="1"/>
      <c r="CW1926" s="144"/>
      <c r="DG1926" s="143"/>
    </row>
    <row r="1927" spans="89:111" ht="11.25" customHeight="1">
      <c r="CK1927" s="1"/>
      <c r="CW1927" s="144"/>
      <c r="DG1927" s="143"/>
    </row>
    <row r="1928" spans="89:111" ht="11.25" customHeight="1">
      <c r="CK1928" s="1"/>
      <c r="CW1928" s="144"/>
      <c r="DG1928" s="143"/>
    </row>
    <row r="1929" spans="89:111" ht="11.25" customHeight="1">
      <c r="CK1929" s="1"/>
      <c r="CW1929" s="144"/>
      <c r="DG1929" s="143"/>
    </row>
    <row r="1930" spans="89:111" ht="11.25" customHeight="1">
      <c r="CK1930" s="1"/>
      <c r="CW1930" s="144"/>
      <c r="DG1930" s="143"/>
    </row>
    <row r="1931" spans="89:111" ht="11.25" customHeight="1">
      <c r="CK1931" s="1"/>
      <c r="CW1931" s="144"/>
      <c r="DG1931" s="143"/>
    </row>
    <row r="1932" spans="89:111" ht="11.25" customHeight="1">
      <c r="CK1932" s="1"/>
      <c r="CW1932" s="144"/>
      <c r="DG1932" s="143"/>
    </row>
    <row r="1933" spans="89:111" ht="11.25" customHeight="1">
      <c r="CK1933" s="1"/>
      <c r="CW1933" s="144"/>
      <c r="DG1933" s="143"/>
    </row>
    <row r="1934" spans="89:111" ht="11.25" customHeight="1">
      <c r="CK1934" s="1"/>
      <c r="CW1934" s="144"/>
      <c r="DG1934" s="143"/>
    </row>
    <row r="1935" spans="89:111" ht="11.25" customHeight="1">
      <c r="CK1935" s="1"/>
      <c r="CW1935" s="144"/>
      <c r="DG1935" s="143"/>
    </row>
    <row r="1936" spans="89:111" ht="11.25" customHeight="1">
      <c r="CK1936" s="1"/>
      <c r="CW1936" s="144"/>
      <c r="DG1936" s="143"/>
    </row>
    <row r="1937" spans="89:111" ht="11.25" customHeight="1">
      <c r="CK1937" s="1"/>
      <c r="CW1937" s="144"/>
      <c r="DG1937" s="143"/>
    </row>
    <row r="1938" spans="89:111" ht="11.25" customHeight="1">
      <c r="CK1938" s="1"/>
      <c r="CW1938" s="144"/>
      <c r="DG1938" s="143"/>
    </row>
    <row r="1939" spans="89:111" ht="11.25" customHeight="1">
      <c r="CK1939" s="1"/>
      <c r="CW1939" s="144"/>
      <c r="DG1939" s="143"/>
    </row>
    <row r="1940" spans="89:111" ht="11.25" customHeight="1">
      <c r="CK1940" s="1"/>
      <c r="CW1940" s="144"/>
      <c r="DG1940" s="143"/>
    </row>
    <row r="1941" spans="89:111" ht="11.25" customHeight="1">
      <c r="CK1941" s="1"/>
      <c r="CW1941" s="144"/>
      <c r="DG1941" s="143"/>
    </row>
    <row r="1942" spans="89:111" ht="11.25" customHeight="1">
      <c r="CK1942" s="1"/>
      <c r="CW1942" s="144"/>
      <c r="DG1942" s="143"/>
    </row>
    <row r="1943" spans="89:111" ht="11.25" customHeight="1">
      <c r="CK1943" s="1"/>
      <c r="CW1943" s="144"/>
      <c r="DG1943" s="143"/>
    </row>
    <row r="1944" spans="89:111" ht="11.25" customHeight="1">
      <c r="CK1944" s="1"/>
      <c r="CW1944" s="144"/>
      <c r="DG1944" s="143"/>
    </row>
    <row r="1945" spans="89:111" ht="11.25" customHeight="1">
      <c r="CK1945" s="1"/>
      <c r="CW1945" s="144"/>
      <c r="DG1945" s="143"/>
    </row>
    <row r="1946" spans="89:111" ht="11.25" customHeight="1">
      <c r="CK1946" s="1"/>
      <c r="CW1946" s="144"/>
      <c r="DG1946" s="143"/>
    </row>
    <row r="1947" spans="89:111" ht="11.25" customHeight="1">
      <c r="CK1947" s="1"/>
      <c r="CW1947" s="144"/>
      <c r="DG1947" s="143"/>
    </row>
    <row r="1948" spans="89:111" ht="11.25" customHeight="1">
      <c r="CK1948" s="1"/>
      <c r="CW1948" s="144"/>
      <c r="DG1948" s="143"/>
    </row>
    <row r="1949" spans="89:111" ht="11.25" customHeight="1">
      <c r="CK1949" s="1"/>
      <c r="CW1949" s="144"/>
      <c r="DG1949" s="143"/>
    </row>
    <row r="1950" spans="89:111" ht="11.25" customHeight="1">
      <c r="CK1950" s="1"/>
      <c r="CW1950" s="144"/>
      <c r="DG1950" s="143"/>
    </row>
    <row r="1951" spans="89:111" ht="11.25" customHeight="1">
      <c r="CK1951" s="1"/>
      <c r="CW1951" s="144"/>
      <c r="DG1951" s="143"/>
    </row>
    <row r="1952" spans="89:111" ht="11.25" customHeight="1">
      <c r="CK1952" s="1"/>
      <c r="CW1952" s="144"/>
      <c r="DG1952" s="143"/>
    </row>
    <row r="1953" spans="89:111" ht="11.25" customHeight="1">
      <c r="CK1953" s="1"/>
      <c r="CW1953" s="144"/>
      <c r="DG1953" s="143"/>
    </row>
    <row r="1954" spans="89:111" ht="11.25" customHeight="1">
      <c r="CK1954" s="1"/>
      <c r="CW1954" s="144"/>
      <c r="DG1954" s="143"/>
    </row>
    <row r="1955" spans="89:111" ht="11.25" customHeight="1">
      <c r="CK1955" s="1"/>
      <c r="CW1955" s="144"/>
      <c r="DG1955" s="143"/>
    </row>
    <row r="1956" spans="89:111" ht="11.25" customHeight="1">
      <c r="CK1956" s="1"/>
      <c r="CW1956" s="144"/>
      <c r="DG1956" s="143"/>
    </row>
    <row r="1957" spans="89:111" ht="11.25" customHeight="1">
      <c r="CK1957" s="1"/>
      <c r="CW1957" s="144"/>
      <c r="DG1957" s="143"/>
    </row>
    <row r="1958" spans="89:111" ht="11.25" customHeight="1">
      <c r="CK1958" s="1"/>
      <c r="CW1958" s="144"/>
      <c r="DG1958" s="143"/>
    </row>
    <row r="1959" spans="89:111" ht="11.25" customHeight="1">
      <c r="CK1959" s="1"/>
      <c r="CW1959" s="144"/>
      <c r="DG1959" s="143"/>
    </row>
    <row r="1960" spans="89:111" ht="11.25" customHeight="1">
      <c r="CK1960" s="1"/>
      <c r="CW1960" s="144"/>
      <c r="DG1960" s="143"/>
    </row>
    <row r="1961" spans="89:111" ht="11.25" customHeight="1">
      <c r="CK1961" s="1"/>
      <c r="CW1961" s="144"/>
      <c r="DG1961" s="143"/>
    </row>
    <row r="1962" spans="89:111" ht="11.25" customHeight="1">
      <c r="CK1962" s="1"/>
      <c r="CW1962" s="144"/>
      <c r="DG1962" s="143"/>
    </row>
    <row r="1963" spans="89:111" ht="11.25" customHeight="1">
      <c r="CK1963" s="1"/>
      <c r="CW1963" s="144"/>
      <c r="DG1963" s="143"/>
    </row>
    <row r="1964" spans="89:111" ht="11.25" customHeight="1">
      <c r="CK1964" s="1"/>
      <c r="CW1964" s="144"/>
      <c r="DG1964" s="143"/>
    </row>
    <row r="1965" spans="89:111" ht="11.25" customHeight="1">
      <c r="CK1965" s="1"/>
      <c r="CW1965" s="144"/>
      <c r="DG1965" s="143"/>
    </row>
    <row r="1966" spans="89:111" ht="11.25" customHeight="1">
      <c r="CK1966" s="1"/>
      <c r="CW1966" s="144"/>
      <c r="DG1966" s="143"/>
    </row>
    <row r="1967" spans="89:111" ht="11.25" customHeight="1">
      <c r="CK1967" s="1"/>
      <c r="CW1967" s="144"/>
      <c r="DG1967" s="143"/>
    </row>
    <row r="1968" spans="89:111" ht="11.25" customHeight="1">
      <c r="CK1968" s="1"/>
      <c r="CW1968" s="144"/>
      <c r="DG1968" s="143"/>
    </row>
    <row r="1969" spans="89:111" ht="11.25" customHeight="1">
      <c r="CK1969" s="1"/>
      <c r="CW1969" s="144"/>
      <c r="DG1969" s="143"/>
    </row>
    <row r="1970" spans="89:111" ht="11.25" customHeight="1">
      <c r="CK1970" s="1"/>
      <c r="CW1970" s="144"/>
      <c r="DG1970" s="143"/>
    </row>
    <row r="1971" spans="89:111" ht="11.25" customHeight="1">
      <c r="CK1971" s="1"/>
      <c r="CW1971" s="144"/>
      <c r="DG1971" s="143"/>
    </row>
    <row r="1972" spans="89:111" ht="11.25" customHeight="1">
      <c r="CK1972" s="1"/>
      <c r="CW1972" s="144"/>
      <c r="DG1972" s="143"/>
    </row>
    <row r="1973" spans="89:111" ht="11.25" customHeight="1">
      <c r="CK1973" s="1"/>
      <c r="CW1973" s="144"/>
      <c r="DG1973" s="143"/>
    </row>
    <row r="1974" spans="89:111" ht="11.25" customHeight="1">
      <c r="CK1974" s="1"/>
      <c r="CW1974" s="144"/>
      <c r="DG1974" s="143"/>
    </row>
    <row r="1975" spans="89:111" ht="11.25" customHeight="1">
      <c r="CK1975" s="1"/>
      <c r="CW1975" s="144"/>
      <c r="DG1975" s="143"/>
    </row>
    <row r="1976" spans="89:111" ht="11.25" customHeight="1">
      <c r="CK1976" s="1"/>
      <c r="CW1976" s="144"/>
      <c r="DG1976" s="143"/>
    </row>
    <row r="1977" spans="89:111" ht="11.25" customHeight="1">
      <c r="CK1977" s="1"/>
      <c r="CW1977" s="144"/>
      <c r="DG1977" s="143"/>
    </row>
    <row r="1978" spans="89:111" ht="11.25" customHeight="1">
      <c r="CK1978" s="1"/>
      <c r="CW1978" s="144"/>
      <c r="DG1978" s="143"/>
    </row>
    <row r="1979" spans="89:111" ht="11.25" customHeight="1">
      <c r="CK1979" s="1"/>
      <c r="CW1979" s="144"/>
      <c r="DG1979" s="143"/>
    </row>
    <row r="1980" spans="89:111" ht="11.25" customHeight="1">
      <c r="CK1980" s="1"/>
      <c r="CW1980" s="144"/>
      <c r="DG1980" s="143"/>
    </row>
    <row r="1981" spans="89:111" ht="11.25" customHeight="1">
      <c r="CK1981" s="1"/>
      <c r="CW1981" s="144"/>
      <c r="DG1981" s="143"/>
    </row>
    <row r="1982" spans="89:111" ht="11.25" customHeight="1">
      <c r="CK1982" s="1"/>
      <c r="CW1982" s="144"/>
      <c r="DG1982" s="143"/>
    </row>
    <row r="1983" spans="89:111" ht="11.25" customHeight="1">
      <c r="CK1983" s="1"/>
      <c r="CW1983" s="144"/>
      <c r="DG1983" s="143"/>
    </row>
    <row r="1984" spans="89:111" ht="11.25" customHeight="1">
      <c r="CK1984" s="1"/>
      <c r="CW1984" s="144"/>
      <c r="DG1984" s="143"/>
    </row>
    <row r="1985" spans="89:111" ht="11.25" customHeight="1">
      <c r="CK1985" s="1"/>
      <c r="CW1985" s="144"/>
      <c r="DG1985" s="143"/>
    </row>
    <row r="1986" spans="89:111" ht="11.25" customHeight="1">
      <c r="CK1986" s="1"/>
      <c r="CW1986" s="144"/>
      <c r="DG1986" s="143"/>
    </row>
    <row r="1987" spans="89:111" ht="11.25" customHeight="1">
      <c r="CK1987" s="1"/>
      <c r="CW1987" s="144"/>
      <c r="DG1987" s="143"/>
    </row>
    <row r="1988" spans="89:111" ht="11.25" customHeight="1">
      <c r="CK1988" s="1"/>
      <c r="CW1988" s="144"/>
      <c r="DG1988" s="143"/>
    </row>
    <row r="1989" spans="89:111" ht="11.25" customHeight="1">
      <c r="CK1989" s="1"/>
      <c r="CW1989" s="144"/>
      <c r="DG1989" s="143"/>
    </row>
    <row r="1990" spans="89:111" ht="11.25" customHeight="1">
      <c r="CK1990" s="1"/>
      <c r="CW1990" s="144"/>
      <c r="DG1990" s="143"/>
    </row>
    <row r="1991" spans="89:111" ht="11.25" customHeight="1">
      <c r="CK1991" s="1"/>
      <c r="CW1991" s="144"/>
      <c r="DG1991" s="143"/>
    </row>
    <row r="1992" spans="89:111" ht="11.25" customHeight="1">
      <c r="CK1992" s="1"/>
      <c r="CW1992" s="144"/>
      <c r="DG1992" s="143"/>
    </row>
    <row r="1993" spans="89:111" ht="11.25" customHeight="1">
      <c r="CK1993" s="1"/>
      <c r="CW1993" s="144"/>
      <c r="DG1993" s="143"/>
    </row>
    <row r="1994" spans="89:111" ht="11.25" customHeight="1">
      <c r="CK1994" s="1"/>
      <c r="CW1994" s="144"/>
      <c r="DG1994" s="143"/>
    </row>
    <row r="1995" spans="89:111" ht="11.25" customHeight="1">
      <c r="CK1995" s="1"/>
      <c r="CW1995" s="144"/>
      <c r="DG1995" s="143"/>
    </row>
    <row r="1996" spans="89:111" ht="11.25" customHeight="1">
      <c r="CK1996" s="1"/>
      <c r="CW1996" s="144"/>
      <c r="DG1996" s="143"/>
    </row>
    <row r="1997" spans="89:111" ht="11.25" customHeight="1">
      <c r="CK1997" s="1"/>
      <c r="CW1997" s="144"/>
      <c r="DG1997" s="143"/>
    </row>
    <row r="1998" spans="89:111" ht="11.25" customHeight="1">
      <c r="CK1998" s="1"/>
      <c r="CW1998" s="144"/>
      <c r="DG1998" s="143"/>
    </row>
    <row r="1999" spans="89:111" ht="11.25" customHeight="1">
      <c r="CK1999" s="1"/>
      <c r="CW1999" s="144"/>
      <c r="DG1999" s="143"/>
    </row>
    <row r="2000" spans="89:111" ht="11.25" customHeight="1">
      <c r="CK2000" s="1"/>
      <c r="CW2000" s="144"/>
      <c r="DG2000" s="143"/>
    </row>
    <row r="2001" spans="89:111" ht="11.25" customHeight="1">
      <c r="CK2001" s="1"/>
      <c r="CW2001" s="144"/>
      <c r="DG2001" s="143"/>
    </row>
    <row r="2002" spans="89:111" ht="11.25" customHeight="1">
      <c r="CK2002" s="1"/>
      <c r="CW2002" s="144"/>
      <c r="DG2002" s="143"/>
    </row>
    <row r="2003" spans="89:111" ht="11.25" customHeight="1">
      <c r="CK2003" s="1"/>
      <c r="CW2003" s="144"/>
      <c r="DG2003" s="143"/>
    </row>
    <row r="2004" spans="89:111" ht="11.25" customHeight="1">
      <c r="CK2004" s="1"/>
      <c r="CW2004" s="144"/>
      <c r="DG2004" s="143"/>
    </row>
    <row r="2005" spans="89:111" ht="11.25" customHeight="1">
      <c r="CK2005" s="1"/>
      <c r="CW2005" s="144"/>
      <c r="DG2005" s="143"/>
    </row>
    <row r="2006" spans="89:111" ht="11.25" customHeight="1">
      <c r="CK2006" s="1"/>
      <c r="CW2006" s="144"/>
      <c r="DG2006" s="143"/>
    </row>
    <row r="2007" spans="89:111" ht="11.25" customHeight="1">
      <c r="CK2007" s="1"/>
      <c r="CW2007" s="144"/>
      <c r="DG2007" s="143"/>
    </row>
    <row r="2008" spans="89:111" ht="11.25" customHeight="1">
      <c r="CK2008" s="1"/>
      <c r="CW2008" s="144"/>
      <c r="DG2008" s="143"/>
    </row>
    <row r="2009" spans="89:111" ht="11.25" customHeight="1">
      <c r="CK2009" s="1"/>
      <c r="CW2009" s="144"/>
      <c r="DG2009" s="143"/>
    </row>
    <row r="2010" spans="89:111" ht="11.25" customHeight="1">
      <c r="CK2010" s="1"/>
      <c r="CW2010" s="144"/>
      <c r="DG2010" s="143"/>
    </row>
    <row r="2011" spans="89:111" ht="11.25" customHeight="1">
      <c r="CK2011" s="1"/>
      <c r="CW2011" s="144"/>
      <c r="DG2011" s="143"/>
    </row>
    <row r="2012" spans="89:111" ht="11.25" customHeight="1">
      <c r="CK2012" s="1"/>
      <c r="CW2012" s="144"/>
      <c r="DG2012" s="143"/>
    </row>
    <row r="2013" spans="89:111" ht="11.25" customHeight="1">
      <c r="CK2013" s="1"/>
      <c r="CW2013" s="144"/>
      <c r="DG2013" s="143"/>
    </row>
    <row r="2014" spans="89:111" ht="11.25" customHeight="1">
      <c r="CK2014" s="1"/>
      <c r="CW2014" s="144"/>
      <c r="DG2014" s="143"/>
    </row>
    <row r="2015" spans="89:111" ht="11.25" customHeight="1">
      <c r="CK2015" s="1"/>
      <c r="CW2015" s="144"/>
      <c r="DG2015" s="143"/>
    </row>
    <row r="2016" spans="89:111" ht="11.25" customHeight="1">
      <c r="CK2016" s="1"/>
      <c r="CW2016" s="144"/>
      <c r="DG2016" s="143"/>
    </row>
    <row r="2017" spans="89:111" ht="11.25" customHeight="1">
      <c r="CK2017" s="1"/>
      <c r="CW2017" s="144"/>
      <c r="DG2017" s="143"/>
    </row>
    <row r="2018" spans="89:111" ht="11.25" customHeight="1">
      <c r="CK2018" s="1"/>
      <c r="CW2018" s="144"/>
      <c r="DG2018" s="143"/>
    </row>
    <row r="2019" spans="89:111" ht="11.25" customHeight="1">
      <c r="CK2019" s="1"/>
      <c r="CW2019" s="144"/>
      <c r="DG2019" s="143"/>
    </row>
    <row r="2020" spans="89:111" ht="11.25" customHeight="1">
      <c r="CK2020" s="1"/>
      <c r="CW2020" s="144"/>
      <c r="DG2020" s="143"/>
    </row>
    <row r="2021" spans="89:111" ht="11.25" customHeight="1">
      <c r="CK2021" s="1"/>
      <c r="CW2021" s="144"/>
      <c r="DG2021" s="143"/>
    </row>
    <row r="2022" spans="89:111" ht="11.25" customHeight="1">
      <c r="CK2022" s="1"/>
      <c r="CW2022" s="144"/>
      <c r="DG2022" s="143"/>
    </row>
    <row r="2023" spans="89:111" ht="11.25" customHeight="1">
      <c r="CK2023" s="1"/>
      <c r="CW2023" s="144"/>
      <c r="DG2023" s="143"/>
    </row>
    <row r="2024" spans="89:111" ht="11.25" customHeight="1">
      <c r="CK2024" s="1"/>
      <c r="CW2024" s="144"/>
      <c r="DG2024" s="143"/>
    </row>
    <row r="2025" spans="89:111" ht="11.25" customHeight="1">
      <c r="CK2025" s="1"/>
      <c r="CW2025" s="144"/>
      <c r="DG2025" s="143"/>
    </row>
    <row r="2026" spans="89:111" ht="11.25" customHeight="1">
      <c r="CK2026" s="1"/>
      <c r="CW2026" s="144"/>
      <c r="DG2026" s="143"/>
    </row>
    <row r="2027" spans="89:111" ht="11.25" customHeight="1">
      <c r="CK2027" s="1"/>
      <c r="CW2027" s="144"/>
      <c r="DG2027" s="143"/>
    </row>
    <row r="2028" spans="89:111" ht="11.25" customHeight="1">
      <c r="CK2028" s="1"/>
      <c r="CW2028" s="144"/>
      <c r="DG2028" s="143"/>
    </row>
    <row r="2029" spans="89:111" ht="11.25" customHeight="1">
      <c r="CK2029" s="1"/>
      <c r="CW2029" s="144"/>
      <c r="DG2029" s="143"/>
    </row>
    <row r="2030" spans="89:111" ht="11.25" customHeight="1">
      <c r="CK2030" s="1"/>
      <c r="CW2030" s="144"/>
      <c r="DG2030" s="143"/>
    </row>
    <row r="2031" spans="89:111" ht="11.25" customHeight="1">
      <c r="CK2031" s="1"/>
      <c r="CW2031" s="144"/>
      <c r="DG2031" s="143"/>
    </row>
    <row r="2032" spans="89:111" ht="11.25" customHeight="1">
      <c r="CK2032" s="1"/>
      <c r="CW2032" s="144"/>
      <c r="DG2032" s="143"/>
    </row>
    <row r="2033" spans="89:111" ht="11.25" customHeight="1">
      <c r="CK2033" s="1"/>
      <c r="CW2033" s="144"/>
      <c r="DG2033" s="143"/>
    </row>
    <row r="2034" spans="89:111" ht="11.25" customHeight="1">
      <c r="CK2034" s="1"/>
      <c r="CW2034" s="144"/>
      <c r="DG2034" s="143"/>
    </row>
    <row r="2035" spans="89:111" ht="11.25" customHeight="1">
      <c r="CK2035" s="1"/>
      <c r="CW2035" s="144"/>
      <c r="DG2035" s="143"/>
    </row>
    <row r="2036" spans="89:111" ht="11.25" customHeight="1">
      <c r="CK2036" s="1"/>
      <c r="CW2036" s="144"/>
      <c r="DG2036" s="143"/>
    </row>
    <row r="2037" spans="89:111" ht="11.25" customHeight="1">
      <c r="CK2037" s="1"/>
      <c r="CW2037" s="144"/>
      <c r="DG2037" s="143"/>
    </row>
    <row r="2038" spans="89:111" ht="11.25" customHeight="1">
      <c r="CK2038" s="1"/>
      <c r="CW2038" s="144"/>
      <c r="DG2038" s="143"/>
    </row>
    <row r="2039" spans="89:111" ht="11.25" customHeight="1">
      <c r="CK2039" s="1"/>
      <c r="CW2039" s="144"/>
      <c r="DG2039" s="143"/>
    </row>
    <row r="2040" spans="89:111" ht="11.25" customHeight="1">
      <c r="CK2040" s="1"/>
      <c r="CW2040" s="144"/>
      <c r="DG2040" s="143"/>
    </row>
    <row r="2041" spans="89:111" ht="11.25" customHeight="1">
      <c r="CK2041" s="1"/>
      <c r="CW2041" s="144"/>
      <c r="DG2041" s="143"/>
    </row>
    <row r="2042" spans="89:111" ht="11.25" customHeight="1">
      <c r="CK2042" s="1"/>
      <c r="CW2042" s="144"/>
      <c r="DG2042" s="143"/>
    </row>
    <row r="2043" spans="89:111" ht="11.25" customHeight="1">
      <c r="CK2043" s="1"/>
      <c r="CW2043" s="144"/>
      <c r="DG2043" s="143"/>
    </row>
    <row r="2044" spans="89:111" ht="11.25" customHeight="1">
      <c r="CK2044" s="1"/>
      <c r="CW2044" s="144"/>
      <c r="DG2044" s="143"/>
    </row>
    <row r="2045" spans="89:111" ht="11.25" customHeight="1">
      <c r="CK2045" s="1"/>
      <c r="CW2045" s="144"/>
      <c r="DG2045" s="143"/>
    </row>
    <row r="2046" spans="89:111" ht="11.25" customHeight="1">
      <c r="CK2046" s="1"/>
      <c r="CW2046" s="144"/>
      <c r="DG2046" s="143"/>
    </row>
    <row r="2047" spans="89:111" ht="11.25" customHeight="1">
      <c r="CK2047" s="1"/>
      <c r="CW2047" s="144"/>
      <c r="DG2047" s="143"/>
    </row>
    <row r="2048" spans="89:111" ht="11.25" customHeight="1">
      <c r="CK2048" s="1"/>
      <c r="CW2048" s="144"/>
      <c r="DG2048" s="143"/>
    </row>
    <row r="2049" spans="89:111" ht="11.25" customHeight="1">
      <c r="CK2049" s="1"/>
      <c r="CW2049" s="144"/>
      <c r="DG2049" s="143"/>
    </row>
    <row r="2050" spans="89:111" ht="11.25" customHeight="1">
      <c r="CK2050" s="1"/>
      <c r="CW2050" s="144"/>
      <c r="DG2050" s="143"/>
    </row>
    <row r="2051" spans="89:111" ht="11.25" customHeight="1">
      <c r="CK2051" s="1"/>
      <c r="CW2051" s="144"/>
      <c r="DG2051" s="143"/>
    </row>
    <row r="2052" spans="89:111" ht="11.25" customHeight="1">
      <c r="CK2052" s="1"/>
      <c r="CW2052" s="144"/>
      <c r="DG2052" s="143"/>
    </row>
    <row r="2053" spans="89:111" ht="11.25" customHeight="1">
      <c r="CK2053" s="1"/>
      <c r="CW2053" s="144"/>
      <c r="DG2053" s="143"/>
    </row>
    <row r="2054" spans="89:111" ht="11.25" customHeight="1">
      <c r="CK2054" s="1"/>
      <c r="CW2054" s="144"/>
      <c r="DG2054" s="143"/>
    </row>
    <row r="2055" spans="89:111" ht="11.25" customHeight="1">
      <c r="CK2055" s="1"/>
      <c r="CW2055" s="144"/>
      <c r="DG2055" s="143"/>
    </row>
    <row r="2056" spans="89:111" ht="11.25" customHeight="1">
      <c r="CK2056" s="1"/>
      <c r="CW2056" s="144"/>
      <c r="DG2056" s="143"/>
    </row>
    <row r="2057" spans="89:111" ht="11.25" customHeight="1">
      <c r="CK2057" s="1"/>
      <c r="CW2057" s="144"/>
      <c r="DG2057" s="143"/>
    </row>
    <row r="2058" spans="89:111" ht="11.25" customHeight="1">
      <c r="CK2058" s="1"/>
      <c r="CW2058" s="144"/>
      <c r="DG2058" s="143"/>
    </row>
    <row r="2059" spans="89:111" ht="11.25" customHeight="1">
      <c r="CK2059" s="1"/>
      <c r="CW2059" s="144"/>
      <c r="DG2059" s="143"/>
    </row>
    <row r="2060" spans="89:111" ht="11.25" customHeight="1">
      <c r="CK2060" s="1"/>
      <c r="CW2060" s="144"/>
      <c r="DG2060" s="143"/>
    </row>
    <row r="2061" spans="89:111" ht="11.25" customHeight="1">
      <c r="CK2061" s="1"/>
      <c r="CW2061" s="144"/>
      <c r="DG2061" s="143"/>
    </row>
    <row r="2062" spans="89:111" ht="11.25" customHeight="1">
      <c r="CK2062" s="1"/>
      <c r="CW2062" s="144"/>
      <c r="DG2062" s="143"/>
    </row>
    <row r="2063" spans="89:111" ht="11.25" customHeight="1">
      <c r="CK2063" s="1"/>
      <c r="CW2063" s="144"/>
      <c r="DG2063" s="143"/>
    </row>
    <row r="2064" spans="89:111" ht="11.25" customHeight="1">
      <c r="CK2064" s="1"/>
      <c r="CW2064" s="144"/>
      <c r="DG2064" s="143"/>
    </row>
    <row r="2065" spans="89:111" ht="11.25" customHeight="1">
      <c r="CK2065" s="1"/>
      <c r="CW2065" s="144"/>
      <c r="DG2065" s="143"/>
    </row>
    <row r="2066" spans="89:111" ht="11.25" customHeight="1">
      <c r="CK2066" s="1"/>
      <c r="CW2066" s="144"/>
      <c r="DG2066" s="143"/>
    </row>
    <row r="2067" spans="89:111" ht="11.25" customHeight="1">
      <c r="CK2067" s="1"/>
      <c r="CW2067" s="144"/>
      <c r="DG2067" s="143"/>
    </row>
    <row r="2068" spans="89:111" ht="11.25" customHeight="1">
      <c r="CK2068" s="1"/>
      <c r="CW2068" s="144"/>
      <c r="DG2068" s="143"/>
    </row>
    <row r="2069" spans="89:111" ht="11.25" customHeight="1">
      <c r="CK2069" s="1"/>
      <c r="CW2069" s="144"/>
      <c r="DG2069" s="143"/>
    </row>
    <row r="2070" spans="89:111" ht="11.25" customHeight="1">
      <c r="CK2070" s="1"/>
      <c r="CW2070" s="144"/>
      <c r="DG2070" s="143"/>
    </row>
    <row r="2071" spans="89:111" ht="11.25" customHeight="1">
      <c r="CK2071" s="1"/>
      <c r="CW2071" s="144"/>
      <c r="DG2071" s="143"/>
    </row>
    <row r="2072" spans="89:111" ht="11.25" customHeight="1">
      <c r="CK2072" s="1"/>
      <c r="CW2072" s="144"/>
      <c r="DG2072" s="143"/>
    </row>
    <row r="2073" spans="89:111" ht="11.25" customHeight="1">
      <c r="CK2073" s="1"/>
      <c r="CW2073" s="144"/>
      <c r="DG2073" s="143"/>
    </row>
    <row r="2074" spans="89:111" ht="11.25" customHeight="1">
      <c r="CK2074" s="1"/>
      <c r="CW2074" s="144"/>
      <c r="DG2074" s="143"/>
    </row>
    <row r="2075" spans="89:111" ht="11.25" customHeight="1">
      <c r="CK2075" s="1"/>
      <c r="CW2075" s="144"/>
      <c r="DG2075" s="143"/>
    </row>
    <row r="2076" spans="89:111" ht="11.25" customHeight="1">
      <c r="CK2076" s="1"/>
      <c r="CW2076" s="144"/>
      <c r="DG2076" s="143"/>
    </row>
    <row r="2077" spans="89:111" ht="11.25" customHeight="1">
      <c r="CK2077" s="1"/>
      <c r="CW2077" s="144"/>
      <c r="DG2077" s="143"/>
    </row>
    <row r="2078" spans="89:111" ht="11.25" customHeight="1">
      <c r="CK2078" s="1"/>
      <c r="CW2078" s="144"/>
      <c r="DG2078" s="143"/>
    </row>
    <row r="2079" spans="89:111" ht="11.25" customHeight="1">
      <c r="CK2079" s="1"/>
      <c r="CW2079" s="144"/>
      <c r="DG2079" s="143"/>
    </row>
    <row r="2080" spans="89:111" ht="11.25" customHeight="1">
      <c r="CK2080" s="1"/>
      <c r="CW2080" s="144"/>
      <c r="DG2080" s="143"/>
    </row>
    <row r="2081" spans="89:111" ht="11.25" customHeight="1">
      <c r="CK2081" s="1"/>
      <c r="CW2081" s="144"/>
      <c r="DG2081" s="143"/>
    </row>
    <row r="2082" spans="89:111" ht="11.25" customHeight="1">
      <c r="CK2082" s="1"/>
      <c r="CW2082" s="144"/>
      <c r="DG2082" s="143"/>
    </row>
    <row r="2083" spans="89:111" ht="11.25" customHeight="1">
      <c r="CK2083" s="1"/>
      <c r="CW2083" s="144"/>
      <c r="DG2083" s="143"/>
    </row>
    <row r="2084" spans="89:111" ht="11.25" customHeight="1">
      <c r="CK2084" s="1"/>
      <c r="CW2084" s="144"/>
      <c r="DG2084" s="143"/>
    </row>
    <row r="2085" spans="89:111" ht="11.25" customHeight="1">
      <c r="CK2085" s="1"/>
      <c r="CW2085" s="144"/>
      <c r="DG2085" s="143"/>
    </row>
    <row r="2086" spans="89:111" ht="11.25" customHeight="1">
      <c r="CK2086" s="1"/>
      <c r="CW2086" s="144"/>
      <c r="DG2086" s="143"/>
    </row>
    <row r="2087" spans="89:111" ht="11.25" customHeight="1">
      <c r="CK2087" s="1"/>
      <c r="CW2087" s="144"/>
      <c r="DG2087" s="143"/>
    </row>
    <row r="2088" spans="89:111" ht="11.25" customHeight="1">
      <c r="CK2088" s="1"/>
      <c r="CW2088" s="144"/>
      <c r="DG2088" s="143"/>
    </row>
    <row r="2089" spans="89:111" ht="11.25" customHeight="1">
      <c r="CK2089" s="1"/>
      <c r="CW2089" s="144"/>
      <c r="DG2089" s="143"/>
    </row>
    <row r="2090" spans="89:111" ht="11.25" customHeight="1">
      <c r="CK2090" s="1"/>
      <c r="CW2090" s="144"/>
      <c r="DG2090" s="143"/>
    </row>
    <row r="2091" spans="89:111" ht="11.25" customHeight="1">
      <c r="CK2091" s="1"/>
      <c r="CW2091" s="144"/>
      <c r="DG2091" s="143"/>
    </row>
    <row r="2092" spans="89:111" ht="11.25" customHeight="1">
      <c r="CK2092" s="1"/>
      <c r="CW2092" s="144"/>
      <c r="DG2092" s="143"/>
    </row>
    <row r="2093" spans="89:111" ht="11.25" customHeight="1">
      <c r="CK2093" s="1"/>
      <c r="CW2093" s="144"/>
      <c r="DG2093" s="143"/>
    </row>
    <row r="2094" spans="89:111" ht="11.25" customHeight="1">
      <c r="CK2094" s="1"/>
      <c r="CW2094" s="144"/>
      <c r="DG2094" s="143"/>
    </row>
    <row r="2095" spans="89:111" ht="11.25" customHeight="1">
      <c r="CK2095" s="1"/>
      <c r="CW2095" s="144"/>
      <c r="DG2095" s="143"/>
    </row>
    <row r="2096" spans="89:111" ht="11.25" customHeight="1">
      <c r="CK2096" s="1"/>
      <c r="CW2096" s="144"/>
      <c r="DG2096" s="143"/>
    </row>
    <row r="2097" spans="89:111" ht="11.25" customHeight="1">
      <c r="CK2097" s="1"/>
      <c r="CW2097" s="144"/>
      <c r="DG2097" s="143"/>
    </row>
    <row r="2098" spans="89:111" ht="11.25" customHeight="1">
      <c r="CK2098" s="1"/>
      <c r="CW2098" s="144"/>
      <c r="DG2098" s="143"/>
    </row>
    <row r="2099" spans="89:111" ht="11.25" customHeight="1">
      <c r="CK2099" s="1"/>
      <c r="CW2099" s="144"/>
      <c r="DG2099" s="143"/>
    </row>
    <row r="2100" spans="89:111" ht="11.25" customHeight="1">
      <c r="CK2100" s="1"/>
      <c r="CW2100" s="144"/>
      <c r="DG2100" s="143"/>
    </row>
    <row r="2101" spans="89:111" ht="11.25" customHeight="1">
      <c r="CK2101" s="1"/>
      <c r="CW2101" s="144"/>
      <c r="DG2101" s="143"/>
    </row>
    <row r="2102" spans="89:111" ht="11.25" customHeight="1">
      <c r="CK2102" s="1"/>
      <c r="CW2102" s="144"/>
      <c r="DG2102" s="143"/>
    </row>
    <row r="2103" spans="89:111" ht="11.25" customHeight="1">
      <c r="CK2103" s="1"/>
      <c r="CW2103" s="144"/>
      <c r="DG2103" s="143"/>
    </row>
    <row r="2104" spans="89:111" ht="11.25" customHeight="1">
      <c r="CK2104" s="1"/>
      <c r="CW2104" s="144"/>
      <c r="DG2104" s="143"/>
    </row>
    <row r="2105" spans="89:111" ht="11.25" customHeight="1">
      <c r="CK2105" s="1"/>
      <c r="CW2105" s="144"/>
      <c r="DG2105" s="143"/>
    </row>
    <row r="2106" spans="89:111" ht="11.25" customHeight="1">
      <c r="CK2106" s="1"/>
      <c r="CW2106" s="144"/>
      <c r="DG2106" s="143"/>
    </row>
    <row r="2107" spans="89:111" ht="11.25" customHeight="1">
      <c r="CK2107" s="1"/>
      <c r="CW2107" s="144"/>
      <c r="DG2107" s="143"/>
    </row>
    <row r="2108" spans="89:111" ht="11.25" customHeight="1">
      <c r="CK2108" s="1"/>
      <c r="CW2108" s="144"/>
      <c r="DG2108" s="143"/>
    </row>
    <row r="2109" spans="89:111" ht="11.25" customHeight="1">
      <c r="CK2109" s="1"/>
      <c r="CW2109" s="144"/>
      <c r="DG2109" s="143"/>
    </row>
    <row r="2110" spans="89:111" ht="11.25" customHeight="1">
      <c r="CK2110" s="1"/>
      <c r="CW2110" s="144"/>
      <c r="DG2110" s="143"/>
    </row>
    <row r="2111" spans="89:111" ht="11.25" customHeight="1">
      <c r="CK2111" s="1"/>
      <c r="CW2111" s="144"/>
      <c r="DG2111" s="143"/>
    </row>
    <row r="2112" spans="89:111" ht="11.25" customHeight="1">
      <c r="CK2112" s="1"/>
      <c r="CW2112" s="144"/>
      <c r="DG2112" s="143"/>
    </row>
    <row r="2113" spans="89:111" ht="11.25" customHeight="1">
      <c r="CK2113" s="1"/>
      <c r="CW2113" s="144"/>
      <c r="DG2113" s="143"/>
    </row>
    <row r="2114" spans="89:111" ht="11.25" customHeight="1">
      <c r="CK2114" s="1"/>
      <c r="CW2114" s="144"/>
      <c r="DG2114" s="143"/>
    </row>
    <row r="2115" spans="89:111" ht="11.25" customHeight="1">
      <c r="CK2115" s="1"/>
      <c r="CW2115" s="144"/>
      <c r="DG2115" s="143"/>
    </row>
    <row r="2116" spans="89:111" ht="11.25" customHeight="1">
      <c r="CK2116" s="1"/>
      <c r="CW2116" s="144"/>
      <c r="DG2116" s="143"/>
    </row>
    <row r="2117" spans="89:111" ht="11.25" customHeight="1">
      <c r="CK2117" s="1"/>
      <c r="CW2117" s="144"/>
      <c r="DG2117" s="143"/>
    </row>
    <row r="2118" spans="89:111" ht="11.25" customHeight="1">
      <c r="CK2118" s="1"/>
      <c r="CW2118" s="144"/>
      <c r="DG2118" s="143"/>
    </row>
    <row r="2119" spans="89:111" ht="11.25" customHeight="1">
      <c r="CK2119" s="1"/>
      <c r="CW2119" s="144"/>
      <c r="DG2119" s="143"/>
    </row>
    <row r="2120" spans="89:111" ht="11.25" customHeight="1">
      <c r="CK2120" s="1"/>
      <c r="CW2120" s="144"/>
      <c r="DG2120" s="143"/>
    </row>
    <row r="2121" spans="89:111" ht="11.25" customHeight="1">
      <c r="CK2121" s="1"/>
      <c r="CW2121" s="144"/>
      <c r="DG2121" s="143"/>
    </row>
    <row r="2122" spans="89:111" ht="11.25" customHeight="1">
      <c r="CK2122" s="1"/>
      <c r="CW2122" s="144"/>
      <c r="DG2122" s="143"/>
    </row>
    <row r="2123" spans="89:111" ht="11.25" customHeight="1">
      <c r="CK2123" s="1"/>
      <c r="CW2123" s="144"/>
      <c r="DG2123" s="143"/>
    </row>
    <row r="2124" spans="89:111" ht="11.25" customHeight="1">
      <c r="CK2124" s="1"/>
      <c r="CW2124" s="144"/>
      <c r="DG2124" s="143"/>
    </row>
    <row r="2125" spans="89:111" ht="11.25" customHeight="1">
      <c r="CK2125" s="1"/>
      <c r="CW2125" s="144"/>
      <c r="DG2125" s="143"/>
    </row>
    <row r="2126" spans="89:111" ht="11.25" customHeight="1">
      <c r="CK2126" s="1"/>
      <c r="CW2126" s="144"/>
      <c r="DG2126" s="143"/>
    </row>
    <row r="2127" spans="89:111" ht="11.25" customHeight="1">
      <c r="CK2127" s="1"/>
      <c r="CW2127" s="144"/>
      <c r="DG2127" s="143"/>
    </row>
    <row r="2128" spans="89:111" ht="11.25" customHeight="1">
      <c r="CK2128" s="1"/>
      <c r="CW2128" s="144"/>
      <c r="DG2128" s="143"/>
    </row>
    <row r="2129" spans="89:111" ht="11.25" customHeight="1">
      <c r="CK2129" s="1"/>
      <c r="CW2129" s="144"/>
      <c r="DG2129" s="143"/>
    </row>
    <row r="2130" spans="89:111" ht="11.25" customHeight="1">
      <c r="CK2130" s="1"/>
      <c r="CW2130" s="144"/>
      <c r="DG2130" s="143"/>
    </row>
    <row r="2131" spans="89:111" ht="11.25" customHeight="1">
      <c r="CK2131" s="1"/>
      <c r="CW2131" s="144"/>
      <c r="DG2131" s="143"/>
    </row>
    <row r="2132" spans="89:111" ht="11.25" customHeight="1">
      <c r="CK2132" s="1"/>
      <c r="CW2132" s="144"/>
      <c r="DG2132" s="143"/>
    </row>
    <row r="2133" spans="89:111" ht="11.25" customHeight="1">
      <c r="CK2133" s="1"/>
      <c r="CW2133" s="144"/>
      <c r="DG2133" s="143"/>
    </row>
    <row r="2134" spans="89:111" ht="11.25" customHeight="1">
      <c r="CK2134" s="1"/>
      <c r="CW2134" s="144"/>
      <c r="DG2134" s="143"/>
    </row>
    <row r="2135" spans="89:111" ht="11.25" customHeight="1">
      <c r="CK2135" s="1"/>
      <c r="CW2135" s="144"/>
      <c r="DG2135" s="143"/>
    </row>
    <row r="2136" spans="89:111" ht="11.25" customHeight="1">
      <c r="CK2136" s="1"/>
      <c r="CW2136" s="144"/>
      <c r="DG2136" s="143"/>
    </row>
    <row r="2137" spans="89:111" ht="11.25" customHeight="1">
      <c r="CK2137" s="1"/>
      <c r="CW2137" s="144"/>
      <c r="DG2137" s="143"/>
    </row>
    <row r="2138" spans="89:111" ht="11.25" customHeight="1">
      <c r="CK2138" s="1"/>
      <c r="CW2138" s="144"/>
      <c r="DG2138" s="143"/>
    </row>
    <row r="2139" spans="89:111" ht="11.25" customHeight="1">
      <c r="CK2139" s="1"/>
      <c r="CW2139" s="144"/>
      <c r="DG2139" s="143"/>
    </row>
    <row r="2140" spans="89:111" ht="11.25" customHeight="1">
      <c r="CK2140" s="1"/>
      <c r="CW2140" s="144"/>
      <c r="DG2140" s="143"/>
    </row>
    <row r="2141" spans="89:111" ht="11.25" customHeight="1">
      <c r="CK2141" s="1"/>
      <c r="CW2141" s="144"/>
      <c r="DG2141" s="143"/>
    </row>
    <row r="2142" spans="89:111" ht="11.25" customHeight="1">
      <c r="CK2142" s="1"/>
      <c r="CW2142" s="144"/>
      <c r="DG2142" s="143"/>
    </row>
    <row r="2143" spans="89:111" ht="11.25" customHeight="1">
      <c r="CK2143" s="1"/>
      <c r="CW2143" s="144"/>
      <c r="DG2143" s="143"/>
    </row>
    <row r="2144" spans="89:111" ht="11.25" customHeight="1">
      <c r="CK2144" s="1"/>
      <c r="CW2144" s="144"/>
      <c r="DG2144" s="143"/>
    </row>
    <row r="2145" spans="89:111" ht="11.25" customHeight="1">
      <c r="CK2145" s="1"/>
      <c r="CW2145" s="144"/>
      <c r="DG2145" s="143"/>
    </row>
    <row r="2146" spans="89:111" ht="11.25" customHeight="1">
      <c r="CK2146" s="1"/>
      <c r="CW2146" s="144"/>
      <c r="DG2146" s="143"/>
    </row>
    <row r="2147" spans="89:111" ht="11.25" customHeight="1">
      <c r="CK2147" s="1"/>
      <c r="CW2147" s="144"/>
      <c r="DG2147" s="143"/>
    </row>
    <row r="2148" spans="89:111" ht="11.25" customHeight="1">
      <c r="CK2148" s="1"/>
      <c r="CW2148" s="144"/>
      <c r="DG2148" s="143"/>
    </row>
    <row r="2149" spans="89:111" ht="11.25" customHeight="1">
      <c r="CK2149" s="1"/>
      <c r="CW2149" s="144"/>
      <c r="DG2149" s="143"/>
    </row>
    <row r="2150" spans="89:111" ht="11.25" customHeight="1">
      <c r="CK2150" s="1"/>
      <c r="CW2150" s="144"/>
      <c r="DG2150" s="143"/>
    </row>
    <row r="2151" spans="89:111" ht="11.25" customHeight="1">
      <c r="CK2151" s="1"/>
      <c r="CW2151" s="144"/>
      <c r="DG2151" s="143"/>
    </row>
    <row r="2152" spans="89:111" ht="11.25" customHeight="1">
      <c r="CK2152" s="1"/>
      <c r="CW2152" s="144"/>
      <c r="DG2152" s="143"/>
    </row>
    <row r="2153" spans="89:111" ht="11.25" customHeight="1">
      <c r="CK2153" s="1"/>
      <c r="CW2153" s="144"/>
      <c r="DG2153" s="143"/>
    </row>
    <row r="2154" spans="89:111" ht="11.25" customHeight="1">
      <c r="CK2154" s="1"/>
      <c r="CW2154" s="144"/>
      <c r="DG2154" s="143"/>
    </row>
    <row r="2155" spans="89:111" ht="11.25" customHeight="1">
      <c r="CK2155" s="1"/>
      <c r="CW2155" s="144"/>
      <c r="DG2155" s="143"/>
    </row>
    <row r="2156" spans="89:111" ht="11.25" customHeight="1">
      <c r="CK2156" s="1"/>
      <c r="CW2156" s="144"/>
      <c r="DG2156" s="143"/>
    </row>
    <row r="2157" spans="89:111" ht="11.25" customHeight="1">
      <c r="CK2157" s="1"/>
      <c r="CW2157" s="144"/>
      <c r="DG2157" s="143"/>
    </row>
    <row r="2158" spans="89:111" ht="11.25" customHeight="1">
      <c r="CK2158" s="1"/>
      <c r="CW2158" s="144"/>
      <c r="DG2158" s="143"/>
    </row>
    <row r="2159" spans="89:111" ht="11.25" customHeight="1">
      <c r="CK2159" s="1"/>
      <c r="CW2159" s="144"/>
      <c r="DG2159" s="143"/>
    </row>
    <row r="2160" spans="89:111" ht="11.25" customHeight="1">
      <c r="CK2160" s="1"/>
      <c r="CW2160" s="144"/>
      <c r="DG2160" s="143"/>
    </row>
    <row r="2161" spans="89:111" ht="11.25" customHeight="1">
      <c r="CK2161" s="1"/>
      <c r="CW2161" s="144"/>
      <c r="DG2161" s="143"/>
    </row>
    <row r="2162" spans="89:111" ht="11.25" customHeight="1">
      <c r="CK2162" s="1"/>
      <c r="CW2162" s="144"/>
      <c r="DG2162" s="143"/>
    </row>
    <row r="2163" spans="89:111" ht="11.25" customHeight="1">
      <c r="CK2163" s="1"/>
      <c r="CW2163" s="144"/>
      <c r="DG2163" s="143"/>
    </row>
    <row r="2164" spans="89:111" ht="11.25" customHeight="1">
      <c r="CK2164" s="1"/>
      <c r="CW2164" s="144"/>
      <c r="DG2164" s="143"/>
    </row>
    <row r="2165" spans="89:111" ht="11.25" customHeight="1">
      <c r="CK2165" s="1"/>
      <c r="CW2165" s="144"/>
      <c r="DG2165" s="143"/>
    </row>
    <row r="2166" spans="89:111" ht="11.25" customHeight="1">
      <c r="CK2166" s="1"/>
      <c r="CW2166" s="144"/>
      <c r="DG2166" s="143"/>
    </row>
    <row r="2167" spans="89:111" ht="11.25" customHeight="1">
      <c r="CK2167" s="1"/>
      <c r="CW2167" s="144"/>
      <c r="DG2167" s="143"/>
    </row>
    <row r="2168" spans="89:111" ht="11.25" customHeight="1">
      <c r="CK2168" s="1"/>
      <c r="CW2168" s="144"/>
      <c r="DG2168" s="143"/>
    </row>
    <row r="2169" spans="89:111" ht="11.25" customHeight="1">
      <c r="CK2169" s="1"/>
      <c r="CW2169" s="144"/>
      <c r="DG2169" s="143"/>
    </row>
    <row r="2170" spans="89:111" ht="11.25" customHeight="1">
      <c r="CK2170" s="1"/>
      <c r="CW2170" s="144"/>
      <c r="DG2170" s="143"/>
    </row>
    <row r="2171" spans="89:111" ht="11.25" customHeight="1">
      <c r="CK2171" s="1"/>
      <c r="CW2171" s="144"/>
      <c r="DG2171" s="143"/>
    </row>
    <row r="2172" spans="89:111" ht="11.25" customHeight="1">
      <c r="CK2172" s="1"/>
      <c r="CW2172" s="144"/>
      <c r="DG2172" s="143"/>
    </row>
    <row r="2173" spans="89:111" ht="11.25" customHeight="1">
      <c r="CK2173" s="1"/>
      <c r="CW2173" s="144"/>
      <c r="DG2173" s="143"/>
    </row>
    <row r="2174" spans="89:111" ht="11.25" customHeight="1">
      <c r="CK2174" s="1"/>
      <c r="CW2174" s="144"/>
      <c r="DG2174" s="143"/>
    </row>
    <row r="2175" spans="89:111" ht="11.25" customHeight="1">
      <c r="CK2175" s="1"/>
      <c r="CW2175" s="144"/>
      <c r="DG2175" s="143"/>
    </row>
    <row r="2176" spans="89:111" ht="11.25" customHeight="1">
      <c r="CK2176" s="1"/>
      <c r="CW2176" s="144"/>
      <c r="DG2176" s="143"/>
    </row>
    <row r="2177" spans="89:111" ht="11.25" customHeight="1">
      <c r="CK2177" s="1"/>
      <c r="CW2177" s="144"/>
      <c r="DG2177" s="143"/>
    </row>
    <row r="2178" spans="89:111" ht="11.25" customHeight="1">
      <c r="CK2178" s="1"/>
      <c r="CW2178" s="144"/>
      <c r="DG2178" s="143"/>
    </row>
    <row r="2179" spans="89:111" ht="11.25" customHeight="1">
      <c r="CK2179" s="1"/>
      <c r="CW2179" s="144"/>
      <c r="DG2179" s="143"/>
    </row>
    <row r="2180" spans="89:111" ht="11.25" customHeight="1">
      <c r="CK2180" s="1"/>
      <c r="CW2180" s="144"/>
      <c r="DG2180" s="143"/>
    </row>
    <row r="2181" spans="89:111" ht="11.25" customHeight="1">
      <c r="CK2181" s="1"/>
      <c r="CW2181" s="144"/>
      <c r="DG2181" s="143"/>
    </row>
    <row r="2182" spans="89:111" ht="11.25" customHeight="1">
      <c r="CK2182" s="1"/>
      <c r="CW2182" s="144"/>
      <c r="DG2182" s="143"/>
    </row>
    <row r="2183" spans="89:111" ht="11.25" customHeight="1">
      <c r="CK2183" s="1"/>
      <c r="CW2183" s="144"/>
      <c r="DG2183" s="143"/>
    </row>
    <row r="2184" spans="89:111" ht="11.25" customHeight="1">
      <c r="CK2184" s="1"/>
      <c r="CW2184" s="144"/>
      <c r="DG2184" s="143"/>
    </row>
    <row r="2185" spans="89:111" ht="11.25" customHeight="1">
      <c r="CK2185" s="1"/>
      <c r="CW2185" s="144"/>
      <c r="DG2185" s="143"/>
    </row>
    <row r="2186" spans="89:111" ht="11.25" customHeight="1">
      <c r="CK2186" s="1"/>
      <c r="CW2186" s="144"/>
      <c r="DG2186" s="143"/>
    </row>
    <row r="2187" spans="89:111" ht="11.25" customHeight="1">
      <c r="CK2187" s="1"/>
      <c r="CW2187" s="144"/>
      <c r="DG2187" s="143"/>
    </row>
    <row r="2188" spans="89:111" ht="11.25" customHeight="1">
      <c r="CK2188" s="1"/>
      <c r="CW2188" s="144"/>
      <c r="DG2188" s="143"/>
    </row>
    <row r="2189" spans="89:111" ht="11.25" customHeight="1">
      <c r="CK2189" s="1"/>
      <c r="CW2189" s="144"/>
      <c r="DG2189" s="143"/>
    </row>
    <row r="2190" spans="89:111" ht="11.25" customHeight="1">
      <c r="CK2190" s="1"/>
      <c r="CW2190" s="144"/>
      <c r="DG2190" s="143"/>
    </row>
    <row r="2191" spans="89:111" ht="11.25" customHeight="1">
      <c r="CK2191" s="1"/>
      <c r="CW2191" s="144"/>
      <c r="DG2191" s="143"/>
    </row>
    <row r="2192" spans="89:111" ht="11.25" customHeight="1">
      <c r="CK2192" s="1"/>
      <c r="CW2192" s="144"/>
      <c r="DG2192" s="143"/>
    </row>
    <row r="2193" spans="89:111" ht="11.25" customHeight="1">
      <c r="CK2193" s="1"/>
      <c r="CW2193" s="144"/>
      <c r="DG2193" s="143"/>
    </row>
    <row r="2194" spans="89:111" ht="11.25" customHeight="1">
      <c r="CK2194" s="1"/>
      <c r="CW2194" s="144"/>
      <c r="DG2194" s="143"/>
    </row>
    <row r="2195" spans="89:111" ht="11.25" customHeight="1">
      <c r="CK2195" s="1"/>
      <c r="CW2195" s="144"/>
      <c r="DG2195" s="143"/>
    </row>
    <row r="2196" spans="89:111" ht="11.25" customHeight="1">
      <c r="CK2196" s="1"/>
      <c r="CW2196" s="144"/>
      <c r="DG2196" s="143"/>
    </row>
    <row r="2197" spans="89:111" ht="11.25" customHeight="1">
      <c r="CK2197" s="1"/>
      <c r="CW2197" s="144"/>
      <c r="DG2197" s="143"/>
    </row>
    <row r="2198" spans="89:111" ht="11.25" customHeight="1">
      <c r="CK2198" s="1"/>
      <c r="CW2198" s="144"/>
      <c r="DG2198" s="143"/>
    </row>
    <row r="2199" spans="89:111" ht="11.25" customHeight="1">
      <c r="CK2199" s="1"/>
      <c r="CW2199" s="144"/>
      <c r="DG2199" s="143"/>
    </row>
    <row r="2200" spans="89:111" ht="11.25" customHeight="1">
      <c r="CK2200" s="1"/>
      <c r="CW2200" s="144"/>
      <c r="DG2200" s="143"/>
    </row>
    <row r="2201" spans="89:111" ht="11.25" customHeight="1">
      <c r="CK2201" s="1"/>
      <c r="CW2201" s="144"/>
      <c r="DG2201" s="143"/>
    </row>
    <row r="2202" spans="89:111" ht="11.25" customHeight="1">
      <c r="CK2202" s="1"/>
      <c r="CW2202" s="144"/>
      <c r="DG2202" s="143"/>
    </row>
    <row r="2203" spans="89:111" ht="11.25" customHeight="1">
      <c r="CK2203" s="1"/>
      <c r="CW2203" s="144"/>
      <c r="DG2203" s="143"/>
    </row>
    <row r="2204" spans="89:111" ht="11.25" customHeight="1">
      <c r="CK2204" s="1"/>
      <c r="CW2204" s="144"/>
      <c r="DG2204" s="143"/>
    </row>
    <row r="2205" spans="89:111" ht="11.25" customHeight="1">
      <c r="CK2205" s="1"/>
      <c r="CW2205" s="144"/>
      <c r="DG2205" s="143"/>
    </row>
    <row r="2206" spans="89:111" ht="11.25" customHeight="1">
      <c r="CK2206" s="1"/>
      <c r="CW2206" s="144"/>
      <c r="DG2206" s="143"/>
    </row>
    <row r="2207" spans="89:111" ht="11.25" customHeight="1">
      <c r="CK2207" s="1"/>
      <c r="CW2207" s="144"/>
      <c r="DG2207" s="143"/>
    </row>
    <row r="2208" spans="89:111" ht="11.25" customHeight="1">
      <c r="CK2208" s="1"/>
      <c r="CW2208" s="144"/>
      <c r="DG2208" s="143"/>
    </row>
    <row r="2209" spans="89:111" ht="11.25" customHeight="1">
      <c r="CK2209" s="1"/>
      <c r="CW2209" s="144"/>
      <c r="DG2209" s="143"/>
    </row>
    <row r="2210" spans="89:111" ht="11.25" customHeight="1">
      <c r="CK2210" s="1"/>
      <c r="CW2210" s="144"/>
      <c r="DG2210" s="143"/>
    </row>
    <row r="2211" spans="89:111" ht="11.25" customHeight="1">
      <c r="CK2211" s="1"/>
      <c r="CW2211" s="144"/>
      <c r="DG2211" s="143"/>
    </row>
    <row r="2212" spans="89:111" ht="11.25" customHeight="1">
      <c r="CK2212" s="1"/>
      <c r="CW2212" s="144"/>
      <c r="DG2212" s="143"/>
    </row>
    <row r="2213" spans="89:111" ht="11.25" customHeight="1">
      <c r="CK2213" s="1"/>
      <c r="CW2213" s="144"/>
      <c r="DG2213" s="143"/>
    </row>
    <row r="2214" spans="89:111" ht="11.25" customHeight="1">
      <c r="CK2214" s="1"/>
      <c r="CW2214" s="144"/>
      <c r="DG2214" s="143"/>
    </row>
    <row r="2215" spans="89:111" ht="11.25" customHeight="1">
      <c r="CK2215" s="1"/>
      <c r="CW2215" s="144"/>
      <c r="DG2215" s="143"/>
    </row>
    <row r="2216" spans="89:111" ht="11.25" customHeight="1">
      <c r="CK2216" s="1"/>
      <c r="CW2216" s="144"/>
      <c r="DG2216" s="143"/>
    </row>
    <row r="2217" spans="89:111" ht="11.25" customHeight="1">
      <c r="CK2217" s="1"/>
      <c r="CW2217" s="144"/>
      <c r="DG2217" s="143"/>
    </row>
    <row r="2218" spans="89:111" ht="11.25" customHeight="1">
      <c r="CK2218" s="1"/>
      <c r="CW2218" s="144"/>
      <c r="DG2218" s="143"/>
    </row>
    <row r="2219" spans="89:111" ht="11.25" customHeight="1">
      <c r="CK2219" s="1"/>
      <c r="CW2219" s="144"/>
      <c r="DG2219" s="143"/>
    </row>
    <row r="2220" spans="89:111" ht="11.25" customHeight="1">
      <c r="CK2220" s="1"/>
      <c r="CW2220" s="144"/>
      <c r="DG2220" s="143"/>
    </row>
    <row r="2221" spans="89:111" ht="11.25" customHeight="1">
      <c r="CK2221" s="1"/>
      <c r="CW2221" s="144"/>
      <c r="DG2221" s="143"/>
    </row>
    <row r="2222" spans="89:111" ht="11.25" customHeight="1">
      <c r="CK2222" s="1"/>
      <c r="CW2222" s="144"/>
      <c r="DG2222" s="143"/>
    </row>
    <row r="2223" spans="89:111" ht="11.25" customHeight="1">
      <c r="CK2223" s="1"/>
      <c r="CW2223" s="144"/>
      <c r="DG2223" s="143"/>
    </row>
    <row r="2224" spans="89:111" ht="11.25" customHeight="1">
      <c r="CK2224" s="1"/>
      <c r="CW2224" s="144"/>
      <c r="DG2224" s="143"/>
    </row>
    <row r="2225" spans="89:111" ht="11.25" customHeight="1">
      <c r="CK2225" s="1"/>
      <c r="CW2225" s="144"/>
      <c r="DG2225" s="143"/>
    </row>
    <row r="2226" spans="89:111" ht="11.25" customHeight="1">
      <c r="CK2226" s="1"/>
      <c r="CW2226" s="144"/>
      <c r="DG2226" s="143"/>
    </row>
    <row r="2227" spans="89:111" ht="11.25" customHeight="1">
      <c r="CK2227" s="1"/>
      <c r="CW2227" s="144"/>
      <c r="DG2227" s="143"/>
    </row>
    <row r="2228" spans="89:111" ht="11.25" customHeight="1">
      <c r="CK2228" s="1"/>
      <c r="CW2228" s="144"/>
      <c r="DG2228" s="143"/>
    </row>
    <row r="2229" spans="89:111" ht="11.25" customHeight="1">
      <c r="CK2229" s="1"/>
      <c r="CW2229" s="144"/>
      <c r="DG2229" s="143"/>
    </row>
    <row r="2230" spans="89:111" ht="11.25" customHeight="1">
      <c r="CK2230" s="1"/>
      <c r="CW2230" s="144"/>
      <c r="DG2230" s="143"/>
    </row>
    <row r="2231" spans="89:111" ht="11.25" customHeight="1">
      <c r="CK2231" s="1"/>
      <c r="CW2231" s="144"/>
      <c r="DG2231" s="143"/>
    </row>
    <row r="2232" spans="89:111" ht="11.25" customHeight="1">
      <c r="CK2232" s="1"/>
      <c r="CW2232" s="144"/>
      <c r="DG2232" s="143"/>
    </row>
    <row r="2233" spans="89:111" ht="11.25" customHeight="1">
      <c r="CK2233" s="1"/>
      <c r="CW2233" s="144"/>
      <c r="DG2233" s="143"/>
    </row>
    <row r="2234" spans="89:111" ht="11.25" customHeight="1">
      <c r="CK2234" s="1"/>
      <c r="CW2234" s="144"/>
      <c r="DG2234" s="143"/>
    </row>
    <row r="2235" spans="89:111" ht="11.25" customHeight="1">
      <c r="CK2235" s="1"/>
      <c r="CW2235" s="144"/>
      <c r="DG2235" s="143"/>
    </row>
    <row r="2236" spans="89:111" ht="11.25" customHeight="1">
      <c r="CK2236" s="1"/>
      <c r="CW2236" s="144"/>
      <c r="DG2236" s="143"/>
    </row>
    <row r="2237" spans="89:111" ht="11.25" customHeight="1">
      <c r="CK2237" s="1"/>
      <c r="CW2237" s="144"/>
      <c r="DG2237" s="143"/>
    </row>
    <row r="2238" spans="89:111" ht="11.25" customHeight="1">
      <c r="CK2238" s="1"/>
      <c r="CW2238" s="144"/>
      <c r="DG2238" s="143"/>
    </row>
    <row r="2239" spans="89:111" ht="11.25" customHeight="1">
      <c r="CK2239" s="1"/>
      <c r="CW2239" s="144"/>
      <c r="DG2239" s="143"/>
    </row>
    <row r="2240" spans="89:111" ht="11.25" customHeight="1">
      <c r="CK2240" s="1"/>
      <c r="CW2240" s="144"/>
      <c r="DG2240" s="143"/>
    </row>
    <row r="2241" spans="89:111" ht="11.25" customHeight="1">
      <c r="CK2241" s="1"/>
      <c r="CW2241" s="144"/>
      <c r="DG2241" s="143"/>
    </row>
    <row r="2242" spans="89:111" ht="11.25" customHeight="1">
      <c r="CK2242" s="1"/>
      <c r="CW2242" s="144"/>
      <c r="DG2242" s="143"/>
    </row>
    <row r="2243" spans="89:111" ht="11.25" customHeight="1">
      <c r="CK2243" s="1"/>
      <c r="CW2243" s="144"/>
      <c r="DG2243" s="143"/>
    </row>
    <row r="2244" spans="89:111" ht="11.25" customHeight="1">
      <c r="CK2244" s="1"/>
      <c r="CW2244" s="144"/>
      <c r="DG2244" s="143"/>
    </row>
    <row r="2245" spans="89:111" ht="11.25" customHeight="1">
      <c r="CK2245" s="1"/>
      <c r="CW2245" s="144"/>
      <c r="DG2245" s="143"/>
    </row>
    <row r="2246" spans="89:111" ht="11.25" customHeight="1">
      <c r="CK2246" s="1"/>
      <c r="CW2246" s="144"/>
      <c r="DG2246" s="143"/>
    </row>
    <row r="2247" spans="89:111" ht="11.25" customHeight="1">
      <c r="CK2247" s="1"/>
      <c r="CW2247" s="144"/>
      <c r="DG2247" s="143"/>
    </row>
    <row r="2248" spans="89:111" ht="11.25" customHeight="1">
      <c r="CK2248" s="1"/>
      <c r="CW2248" s="144"/>
      <c r="DG2248" s="143"/>
    </row>
    <row r="2249" spans="89:111" ht="11.25" customHeight="1">
      <c r="CK2249" s="1"/>
      <c r="CW2249" s="144"/>
      <c r="DG2249" s="143"/>
    </row>
    <row r="2250" spans="89:111" ht="11.25" customHeight="1">
      <c r="CK2250" s="1"/>
      <c r="CW2250" s="144"/>
      <c r="DG2250" s="143"/>
    </row>
    <row r="2251" spans="89:111" ht="11.25" customHeight="1">
      <c r="CK2251" s="1"/>
      <c r="CW2251" s="144"/>
      <c r="DG2251" s="143"/>
    </row>
    <row r="2252" spans="89:111" ht="11.25" customHeight="1">
      <c r="CK2252" s="1"/>
      <c r="CW2252" s="144"/>
      <c r="DG2252" s="143"/>
    </row>
    <row r="2253" spans="89:111" ht="11.25" customHeight="1">
      <c r="CK2253" s="1"/>
      <c r="CW2253" s="144"/>
      <c r="DG2253" s="143"/>
    </row>
    <row r="2254" spans="89:111" ht="11.25" customHeight="1">
      <c r="CK2254" s="1"/>
      <c r="CW2254" s="144"/>
      <c r="DG2254" s="143"/>
    </row>
    <row r="2255" spans="89:111" ht="11.25" customHeight="1">
      <c r="CK2255" s="1"/>
      <c r="CW2255" s="144"/>
      <c r="DG2255" s="143"/>
    </row>
    <row r="2256" spans="89:111" ht="11.25" customHeight="1">
      <c r="CK2256" s="1"/>
      <c r="CW2256" s="144"/>
      <c r="DG2256" s="143"/>
    </row>
    <row r="2257" spans="89:111" ht="11.25" customHeight="1">
      <c r="CK2257" s="1"/>
      <c r="CW2257" s="144"/>
      <c r="DG2257" s="143"/>
    </row>
    <row r="2258" spans="89:111" ht="11.25" customHeight="1">
      <c r="CK2258" s="1"/>
      <c r="CW2258" s="144"/>
      <c r="DG2258" s="143"/>
    </row>
    <row r="2259" spans="89:111" ht="11.25" customHeight="1">
      <c r="CK2259" s="1"/>
      <c r="CW2259" s="144"/>
      <c r="DG2259" s="143"/>
    </row>
    <row r="2260" spans="89:111" ht="11.25" customHeight="1">
      <c r="CK2260" s="1"/>
      <c r="CW2260" s="144"/>
      <c r="DG2260" s="143"/>
    </row>
    <row r="2261" spans="89:111" ht="11.25" customHeight="1">
      <c r="CK2261" s="1"/>
      <c r="CW2261" s="144"/>
      <c r="DG2261" s="143"/>
    </row>
    <row r="2262" spans="89:111" ht="11.25" customHeight="1">
      <c r="CK2262" s="1"/>
      <c r="CW2262" s="144"/>
      <c r="DG2262" s="143"/>
    </row>
    <row r="2263" spans="89:111" ht="11.25" customHeight="1">
      <c r="CK2263" s="1"/>
      <c r="CW2263" s="144"/>
      <c r="DG2263" s="143"/>
    </row>
    <row r="2264" spans="89:111" ht="11.25" customHeight="1">
      <c r="CK2264" s="1"/>
      <c r="CW2264" s="144"/>
      <c r="DG2264" s="143"/>
    </row>
    <row r="2265" spans="89:111" ht="11.25" customHeight="1">
      <c r="CK2265" s="1"/>
      <c r="CW2265" s="144"/>
      <c r="DG2265" s="143"/>
    </row>
    <row r="2266" spans="89:111" ht="11.25" customHeight="1">
      <c r="CK2266" s="1"/>
      <c r="CW2266" s="144"/>
      <c r="DG2266" s="143"/>
    </row>
    <row r="2267" spans="89:111" ht="11.25" customHeight="1">
      <c r="CK2267" s="1"/>
      <c r="CW2267" s="144"/>
      <c r="DG2267" s="143"/>
    </row>
    <row r="2268" spans="89:111" ht="11.25" customHeight="1">
      <c r="CK2268" s="1"/>
      <c r="CW2268" s="144"/>
      <c r="DG2268" s="143"/>
    </row>
    <row r="2269" spans="89:111" ht="11.25" customHeight="1">
      <c r="CK2269" s="1"/>
      <c r="CW2269" s="144"/>
      <c r="DG2269" s="143"/>
    </row>
    <row r="2270" spans="89:111" ht="11.25" customHeight="1">
      <c r="CK2270" s="1"/>
      <c r="CW2270" s="144"/>
      <c r="DG2270" s="143"/>
    </row>
    <row r="2271" spans="89:111" ht="11.25" customHeight="1">
      <c r="CK2271" s="1"/>
      <c r="CW2271" s="144"/>
      <c r="DG2271" s="143"/>
    </row>
    <row r="2272" spans="89:111" ht="11.25" customHeight="1">
      <c r="CK2272" s="1"/>
      <c r="CW2272" s="144"/>
      <c r="DG2272" s="143"/>
    </row>
    <row r="2273" spans="89:111" ht="11.25" customHeight="1">
      <c r="CK2273" s="1"/>
      <c r="CW2273" s="144"/>
      <c r="DG2273" s="143"/>
    </row>
    <row r="2274" spans="89:111" ht="11.25" customHeight="1">
      <c r="CK2274" s="1"/>
      <c r="CW2274" s="144"/>
      <c r="DG2274" s="143"/>
    </row>
    <row r="2275" spans="89:111" ht="11.25" customHeight="1">
      <c r="CK2275" s="1"/>
      <c r="CW2275" s="144"/>
      <c r="DG2275" s="143"/>
    </row>
    <row r="2276" spans="89:111" ht="11.25" customHeight="1">
      <c r="CK2276" s="1"/>
      <c r="CW2276" s="144"/>
      <c r="DG2276" s="143"/>
    </row>
    <row r="2277" spans="89:111" ht="11.25" customHeight="1">
      <c r="CK2277" s="1"/>
      <c r="CW2277" s="144"/>
      <c r="DG2277" s="143"/>
    </row>
    <row r="2278" spans="89:111" ht="11.25" customHeight="1">
      <c r="CK2278" s="1"/>
      <c r="CW2278" s="144"/>
      <c r="DG2278" s="143"/>
    </row>
    <row r="2279" spans="89:111" ht="11.25" customHeight="1">
      <c r="CK2279" s="1"/>
      <c r="CW2279" s="144"/>
      <c r="DG2279" s="143"/>
    </row>
    <row r="2280" spans="89:111" ht="11.25" customHeight="1">
      <c r="CK2280" s="1"/>
      <c r="CW2280" s="144"/>
      <c r="DG2280" s="143"/>
    </row>
    <row r="2281" spans="89:111" ht="11.25" customHeight="1">
      <c r="CK2281" s="1"/>
      <c r="CW2281" s="144"/>
      <c r="DG2281" s="143"/>
    </row>
    <row r="2282" spans="89:111" ht="11.25" customHeight="1">
      <c r="CK2282" s="1"/>
      <c r="CW2282" s="144"/>
      <c r="DG2282" s="143"/>
    </row>
    <row r="2283" spans="89:111" ht="11.25" customHeight="1">
      <c r="CK2283" s="1"/>
      <c r="CW2283" s="144"/>
      <c r="DG2283" s="143"/>
    </row>
    <row r="2284" spans="89:111" ht="11.25" customHeight="1">
      <c r="CK2284" s="1"/>
      <c r="CW2284" s="144"/>
      <c r="DG2284" s="143"/>
    </row>
    <row r="2285" spans="89:111" ht="11.25" customHeight="1">
      <c r="CK2285" s="1"/>
      <c r="CW2285" s="144"/>
      <c r="DG2285" s="143"/>
    </row>
    <row r="2286" spans="89:111" ht="11.25" customHeight="1">
      <c r="CK2286" s="1"/>
      <c r="CW2286" s="144"/>
      <c r="DG2286" s="143"/>
    </row>
    <row r="2287" spans="89:111" ht="11.25" customHeight="1">
      <c r="CK2287" s="1"/>
      <c r="CW2287" s="144"/>
      <c r="DG2287" s="143"/>
    </row>
    <row r="2288" spans="89:111" ht="11.25" customHeight="1">
      <c r="CK2288" s="1"/>
      <c r="CW2288" s="144"/>
      <c r="DG2288" s="143"/>
    </row>
    <row r="2289" spans="89:111" ht="11.25" customHeight="1">
      <c r="CK2289" s="1"/>
      <c r="CW2289" s="144"/>
      <c r="DG2289" s="143"/>
    </row>
    <row r="2290" spans="89:111" ht="11.25" customHeight="1">
      <c r="CK2290" s="1"/>
      <c r="CW2290" s="144"/>
      <c r="DG2290" s="143"/>
    </row>
    <row r="2291" spans="89:111" ht="11.25" customHeight="1">
      <c r="CK2291" s="1"/>
      <c r="CW2291" s="144"/>
      <c r="DG2291" s="143"/>
    </row>
    <row r="2292" spans="89:111" ht="11.25" customHeight="1">
      <c r="CK2292" s="1"/>
      <c r="CW2292" s="144"/>
      <c r="DG2292" s="143"/>
    </row>
    <row r="2293" spans="89:111" ht="11.25" customHeight="1">
      <c r="CK2293" s="1"/>
      <c r="CW2293" s="144"/>
      <c r="DG2293" s="143"/>
    </row>
    <row r="2294" spans="89:111" ht="11.25" customHeight="1">
      <c r="CK2294" s="1"/>
      <c r="CW2294" s="144"/>
      <c r="DG2294" s="143"/>
    </row>
    <row r="2295" spans="89:111" ht="11.25" customHeight="1">
      <c r="CK2295" s="1"/>
      <c r="CW2295" s="144"/>
      <c r="DG2295" s="143"/>
    </row>
    <row r="2296" spans="89:111" ht="11.25" customHeight="1">
      <c r="CK2296" s="1"/>
      <c r="CW2296" s="144"/>
      <c r="DG2296" s="143"/>
    </row>
    <row r="2297" spans="89:111" ht="11.25" customHeight="1">
      <c r="CK2297" s="1"/>
      <c r="CW2297" s="144"/>
      <c r="DG2297" s="143"/>
    </row>
    <row r="2298" spans="89:111" ht="11.25" customHeight="1">
      <c r="CK2298" s="1"/>
      <c r="CW2298" s="144"/>
      <c r="DG2298" s="143"/>
    </row>
    <row r="2299" spans="89:111" ht="11.25" customHeight="1">
      <c r="CK2299" s="1"/>
      <c r="CW2299" s="144"/>
      <c r="DG2299" s="143"/>
    </row>
    <row r="2300" spans="89:111" ht="11.25" customHeight="1">
      <c r="CK2300" s="1"/>
      <c r="CW2300" s="144"/>
      <c r="DG2300" s="143"/>
    </row>
    <row r="2301" spans="89:111" ht="11.25" customHeight="1">
      <c r="CK2301" s="1"/>
      <c r="CW2301" s="144"/>
      <c r="DG2301" s="143"/>
    </row>
    <row r="2302" spans="89:111" ht="11.25" customHeight="1">
      <c r="CK2302" s="1"/>
      <c r="CW2302" s="144"/>
      <c r="DG2302" s="143"/>
    </row>
    <row r="2303" spans="89:111" ht="11.25" customHeight="1">
      <c r="CK2303" s="1"/>
      <c r="CW2303" s="144"/>
      <c r="DG2303" s="143"/>
    </row>
    <row r="2304" spans="89:111" ht="11.25" customHeight="1">
      <c r="CK2304" s="1"/>
      <c r="CW2304" s="144"/>
      <c r="DG2304" s="143"/>
    </row>
    <row r="2305" spans="89:111" ht="11.25" customHeight="1">
      <c r="CK2305" s="1"/>
      <c r="CW2305" s="144"/>
      <c r="DG2305" s="143"/>
    </row>
    <row r="2306" spans="89:111" ht="11.25" customHeight="1">
      <c r="CK2306" s="1"/>
      <c r="CW2306" s="144"/>
      <c r="DG2306" s="143"/>
    </row>
    <row r="2307" spans="89:111" ht="11.25" customHeight="1">
      <c r="CK2307" s="1"/>
      <c r="CW2307" s="144"/>
      <c r="DG2307" s="143"/>
    </row>
    <row r="2308" spans="89:111" ht="11.25" customHeight="1">
      <c r="CK2308" s="1"/>
      <c r="CW2308" s="144"/>
      <c r="DG2308" s="143"/>
    </row>
    <row r="2309" spans="89:111" ht="11.25" customHeight="1">
      <c r="CK2309" s="1"/>
      <c r="CW2309" s="144"/>
      <c r="DG2309" s="143"/>
    </row>
    <row r="2310" spans="89:111" ht="11.25" customHeight="1">
      <c r="CK2310" s="1"/>
      <c r="CW2310" s="144"/>
      <c r="DG2310" s="143"/>
    </row>
    <row r="2311" spans="89:111" ht="11.25" customHeight="1">
      <c r="CK2311" s="1"/>
      <c r="CW2311" s="144"/>
      <c r="DG2311" s="143"/>
    </row>
    <row r="2312" spans="89:111" ht="11.25" customHeight="1">
      <c r="CK2312" s="1"/>
      <c r="CW2312" s="144"/>
      <c r="DG2312" s="143"/>
    </row>
    <row r="2313" spans="89:111" ht="11.25" customHeight="1">
      <c r="CK2313" s="1"/>
      <c r="CW2313" s="144"/>
      <c r="DG2313" s="143"/>
    </row>
    <row r="2314" spans="89:111" ht="11.25" customHeight="1">
      <c r="CK2314" s="1"/>
      <c r="CW2314" s="144"/>
      <c r="DG2314" s="143"/>
    </row>
    <row r="2315" spans="89:111" ht="11.25" customHeight="1">
      <c r="CK2315" s="1"/>
      <c r="CW2315" s="144"/>
      <c r="DG2315" s="143"/>
    </row>
    <row r="2316" spans="89:111" ht="11.25" customHeight="1">
      <c r="CK2316" s="1"/>
      <c r="CW2316" s="144"/>
      <c r="DG2316" s="143"/>
    </row>
    <row r="2317" spans="89:111" ht="11.25" customHeight="1">
      <c r="CK2317" s="1"/>
      <c r="CW2317" s="144"/>
      <c r="DG2317" s="143"/>
    </row>
    <row r="2318" spans="89:111" ht="11.25" customHeight="1">
      <c r="CK2318" s="1"/>
      <c r="CW2318" s="144"/>
      <c r="DG2318" s="143"/>
    </row>
    <row r="2319" spans="89:111" ht="11.25" customHeight="1">
      <c r="CK2319" s="1"/>
      <c r="CW2319" s="144"/>
      <c r="DG2319" s="143"/>
    </row>
    <row r="2320" spans="89:111" ht="11.25" customHeight="1">
      <c r="CK2320" s="1"/>
      <c r="CW2320" s="144"/>
      <c r="DG2320" s="143"/>
    </row>
    <row r="2321" spans="89:111" ht="11.25" customHeight="1">
      <c r="CK2321" s="1"/>
      <c r="CW2321" s="144"/>
      <c r="DG2321" s="143"/>
    </row>
    <row r="2322" spans="89:111" ht="11.25" customHeight="1">
      <c r="CK2322" s="1"/>
      <c r="CW2322" s="144"/>
      <c r="DG2322" s="143"/>
    </row>
    <row r="2323" spans="89:111" ht="11.25" customHeight="1">
      <c r="CK2323" s="1"/>
      <c r="CW2323" s="144"/>
      <c r="DG2323" s="143"/>
    </row>
    <row r="2324" spans="89:111" ht="11.25" customHeight="1">
      <c r="CK2324" s="1"/>
      <c r="CW2324" s="144"/>
      <c r="DG2324" s="143"/>
    </row>
    <row r="2325" spans="89:111" ht="11.25" customHeight="1">
      <c r="CK2325" s="1"/>
      <c r="CW2325" s="144"/>
      <c r="DG2325" s="143"/>
    </row>
    <row r="2326" spans="89:111" ht="11.25" customHeight="1">
      <c r="CK2326" s="1"/>
      <c r="CW2326" s="144"/>
      <c r="DG2326" s="143"/>
    </row>
    <row r="2327" spans="89:111" ht="11.25" customHeight="1">
      <c r="CK2327" s="1"/>
      <c r="CW2327" s="144"/>
      <c r="DG2327" s="143"/>
    </row>
    <row r="2328" spans="89:111" ht="11.25" customHeight="1">
      <c r="CK2328" s="1"/>
      <c r="CW2328" s="144"/>
      <c r="DG2328" s="143"/>
    </row>
    <row r="2329" spans="89:111" ht="11.25" customHeight="1">
      <c r="CK2329" s="1"/>
      <c r="CW2329" s="144"/>
      <c r="DG2329" s="143"/>
    </row>
    <row r="2330" spans="89:111" ht="11.25" customHeight="1">
      <c r="CK2330" s="1"/>
      <c r="CW2330" s="144"/>
      <c r="DG2330" s="143"/>
    </row>
    <row r="2331" spans="89:111" ht="11.25" customHeight="1">
      <c r="CK2331" s="1"/>
      <c r="CW2331" s="144"/>
      <c r="DG2331" s="143"/>
    </row>
    <row r="2332" spans="89:111" ht="11.25" customHeight="1">
      <c r="CK2332" s="1"/>
      <c r="CW2332" s="144"/>
      <c r="DG2332" s="143"/>
    </row>
    <row r="2333" spans="89:111" ht="11.25" customHeight="1">
      <c r="CK2333" s="1"/>
      <c r="CW2333" s="144"/>
      <c r="DG2333" s="143"/>
    </row>
    <row r="2334" spans="89:111" ht="11.25" customHeight="1">
      <c r="CK2334" s="1"/>
      <c r="CW2334" s="144"/>
      <c r="DG2334" s="143"/>
    </row>
    <row r="2335" spans="89:111" ht="11.25" customHeight="1">
      <c r="CK2335" s="1"/>
      <c r="CW2335" s="144"/>
      <c r="DG2335" s="143"/>
    </row>
    <row r="2336" spans="89:111" ht="11.25" customHeight="1">
      <c r="CK2336" s="1"/>
      <c r="CW2336" s="144"/>
      <c r="DG2336" s="143"/>
    </row>
    <row r="2337" spans="89:111" ht="11.25" customHeight="1">
      <c r="CK2337" s="1"/>
      <c r="CW2337" s="144"/>
      <c r="DG2337" s="143"/>
    </row>
    <row r="2338" spans="89:111" ht="11.25" customHeight="1">
      <c r="CK2338" s="1"/>
      <c r="CW2338" s="144"/>
      <c r="DG2338" s="143"/>
    </row>
    <row r="2339" spans="89:111" ht="11.25" customHeight="1">
      <c r="CK2339" s="1"/>
      <c r="CW2339" s="144"/>
      <c r="DG2339" s="143"/>
    </row>
    <row r="2340" spans="89:111" ht="11.25" customHeight="1">
      <c r="CK2340" s="1"/>
      <c r="CW2340" s="144"/>
      <c r="DG2340" s="143"/>
    </row>
    <row r="2341" spans="89:111" ht="11.25" customHeight="1">
      <c r="CK2341" s="1"/>
      <c r="CW2341" s="144"/>
      <c r="DG2341" s="143"/>
    </row>
    <row r="2342" spans="89:111" ht="11.25" customHeight="1">
      <c r="CK2342" s="1"/>
      <c r="CW2342" s="144"/>
      <c r="DG2342" s="143"/>
    </row>
    <row r="2343" spans="89:111" ht="11.25" customHeight="1">
      <c r="CK2343" s="1"/>
      <c r="CW2343" s="144"/>
      <c r="DG2343" s="143"/>
    </row>
    <row r="2344" spans="89:111" ht="11.25" customHeight="1">
      <c r="CK2344" s="1"/>
      <c r="CW2344" s="144"/>
      <c r="DG2344" s="143"/>
    </row>
    <row r="2345" spans="89:111" ht="11.25" customHeight="1">
      <c r="CK2345" s="1"/>
      <c r="CW2345" s="144"/>
      <c r="DG2345" s="143"/>
    </row>
    <row r="2346" spans="89:111" ht="11.25" customHeight="1">
      <c r="CK2346" s="1"/>
      <c r="CW2346" s="144"/>
      <c r="DG2346" s="143"/>
    </row>
    <row r="2347" spans="89:111" ht="11.25" customHeight="1">
      <c r="CK2347" s="1"/>
      <c r="CW2347" s="144"/>
      <c r="DG2347" s="143"/>
    </row>
    <row r="2348" spans="89:111" ht="11.25" customHeight="1">
      <c r="CK2348" s="1"/>
      <c r="CW2348" s="144"/>
      <c r="DG2348" s="143"/>
    </row>
    <row r="2349" spans="89:111" ht="11.25" customHeight="1">
      <c r="CK2349" s="1"/>
      <c r="CW2349" s="144"/>
      <c r="DG2349" s="143"/>
    </row>
    <row r="2350" spans="89:111" ht="11.25" customHeight="1">
      <c r="CK2350" s="1"/>
      <c r="CW2350" s="144"/>
      <c r="DG2350" s="143"/>
    </row>
    <row r="2351" spans="89:111" ht="11.25" customHeight="1">
      <c r="CK2351" s="1"/>
      <c r="CW2351" s="144"/>
      <c r="DG2351" s="143"/>
    </row>
    <row r="2352" spans="89:111" ht="11.25" customHeight="1">
      <c r="CK2352" s="1"/>
      <c r="CW2352" s="144"/>
      <c r="DG2352" s="143"/>
    </row>
    <row r="2353" spans="89:111" ht="11.25" customHeight="1">
      <c r="CK2353" s="1"/>
      <c r="CW2353" s="144"/>
      <c r="DG2353" s="143"/>
    </row>
    <row r="2354" spans="89:111" ht="11.25" customHeight="1">
      <c r="CK2354" s="1"/>
      <c r="CW2354" s="144"/>
      <c r="DG2354" s="143"/>
    </row>
    <row r="2355" spans="89:111" ht="11.25" customHeight="1">
      <c r="CK2355" s="1"/>
      <c r="CW2355" s="144"/>
      <c r="DG2355" s="143"/>
    </row>
    <row r="2356" spans="89:111" ht="11.25" customHeight="1">
      <c r="CK2356" s="1"/>
      <c r="CW2356" s="144"/>
      <c r="DG2356" s="143"/>
    </row>
    <row r="2357" spans="89:111" ht="11.25" customHeight="1">
      <c r="CK2357" s="1"/>
      <c r="CW2357" s="144"/>
      <c r="DG2357" s="143"/>
    </row>
    <row r="2358" spans="89:111" ht="11.25" customHeight="1">
      <c r="CK2358" s="1"/>
      <c r="CW2358" s="144"/>
      <c r="DG2358" s="143"/>
    </row>
    <row r="2359" spans="89:111" ht="11.25" customHeight="1">
      <c r="CK2359" s="1"/>
      <c r="CW2359" s="144"/>
      <c r="DG2359" s="143"/>
    </row>
    <row r="2360" spans="89:111" ht="11.25" customHeight="1">
      <c r="CK2360" s="1"/>
      <c r="CW2360" s="144"/>
      <c r="DG2360" s="143"/>
    </row>
    <row r="2361" spans="89:111" ht="11.25" customHeight="1">
      <c r="CK2361" s="1"/>
      <c r="CW2361" s="144"/>
      <c r="DG2361" s="143"/>
    </row>
    <row r="2362" spans="89:111" ht="11.25" customHeight="1">
      <c r="CK2362" s="1"/>
      <c r="CW2362" s="144"/>
      <c r="DG2362" s="143"/>
    </row>
    <row r="2363" spans="89:111" ht="11.25" customHeight="1">
      <c r="CK2363" s="1"/>
      <c r="CW2363" s="144"/>
      <c r="DG2363" s="143"/>
    </row>
    <row r="2364" spans="89:111" ht="11.25" customHeight="1">
      <c r="CK2364" s="1"/>
      <c r="CW2364" s="144"/>
      <c r="DG2364" s="143"/>
    </row>
    <row r="2365" spans="89:111" ht="11.25" customHeight="1">
      <c r="CK2365" s="1"/>
      <c r="CW2365" s="144"/>
      <c r="DG2365" s="143"/>
    </row>
    <row r="2366" spans="89:111" ht="11.25" customHeight="1">
      <c r="CK2366" s="1"/>
      <c r="CW2366" s="144"/>
      <c r="DG2366" s="143"/>
    </row>
    <row r="2367" spans="89:111" ht="11.25" customHeight="1">
      <c r="CK2367" s="1"/>
      <c r="CW2367" s="144"/>
      <c r="DG2367" s="143"/>
    </row>
    <row r="2368" spans="89:111" ht="11.25" customHeight="1">
      <c r="CK2368" s="1"/>
      <c r="CW2368" s="144"/>
      <c r="DG2368" s="143"/>
    </row>
    <row r="2369" spans="89:111" ht="11.25" customHeight="1">
      <c r="CK2369" s="1"/>
      <c r="CW2369" s="144"/>
      <c r="DG2369" s="143"/>
    </row>
    <row r="2370" spans="89:111" ht="11.25" customHeight="1">
      <c r="CK2370" s="1"/>
      <c r="CW2370" s="144"/>
      <c r="DG2370" s="143"/>
    </row>
    <row r="2371" spans="89:111" ht="11.25" customHeight="1">
      <c r="CK2371" s="1"/>
      <c r="CW2371" s="144"/>
      <c r="DG2371" s="143"/>
    </row>
    <row r="2372" spans="89:111" ht="11.25" customHeight="1">
      <c r="CK2372" s="1"/>
      <c r="CW2372" s="144"/>
      <c r="DG2372" s="143"/>
    </row>
    <row r="2373" spans="89:111" ht="11.25" customHeight="1">
      <c r="CK2373" s="1"/>
      <c r="CW2373" s="144"/>
      <c r="DG2373" s="143"/>
    </row>
    <row r="2374" spans="89:111" ht="11.25" customHeight="1">
      <c r="CK2374" s="1"/>
      <c r="CW2374" s="144"/>
      <c r="DG2374" s="143"/>
    </row>
    <row r="2375" spans="89:111" ht="11.25" customHeight="1">
      <c r="CK2375" s="1"/>
      <c r="CW2375" s="144"/>
      <c r="DG2375" s="143"/>
    </row>
    <row r="2376" spans="89:111" ht="11.25" customHeight="1">
      <c r="CK2376" s="1"/>
      <c r="CW2376" s="144"/>
      <c r="DG2376" s="143"/>
    </row>
    <row r="2377" spans="89:111" ht="11.25" customHeight="1">
      <c r="CK2377" s="1"/>
      <c r="CW2377" s="144"/>
      <c r="DG2377" s="143"/>
    </row>
    <row r="2378" spans="89:111" ht="11.25" customHeight="1">
      <c r="CK2378" s="1"/>
      <c r="CW2378" s="144"/>
      <c r="DG2378" s="143"/>
    </row>
    <row r="2379" spans="89:111" ht="11.25" customHeight="1">
      <c r="CK2379" s="1"/>
      <c r="CW2379" s="144"/>
      <c r="DG2379" s="143"/>
    </row>
    <row r="2380" spans="89:111" ht="11.25" customHeight="1">
      <c r="CK2380" s="1"/>
      <c r="CW2380" s="144"/>
      <c r="DG2380" s="143"/>
    </row>
    <row r="2381" spans="89:111" ht="11.25" customHeight="1">
      <c r="CK2381" s="1"/>
      <c r="CW2381" s="144"/>
      <c r="DG2381" s="143"/>
    </row>
    <row r="2382" spans="89:111" ht="11.25" customHeight="1">
      <c r="CK2382" s="1"/>
      <c r="CW2382" s="144"/>
      <c r="DG2382" s="143"/>
    </row>
    <row r="2383" spans="89:111" ht="11.25" customHeight="1">
      <c r="CK2383" s="1"/>
      <c r="CW2383" s="144"/>
      <c r="DG2383" s="143"/>
    </row>
    <row r="2384" spans="89:111" ht="11.25" customHeight="1">
      <c r="CK2384" s="1"/>
      <c r="CW2384" s="144"/>
      <c r="DG2384" s="143"/>
    </row>
    <row r="2385" spans="89:111" ht="11.25" customHeight="1">
      <c r="CK2385" s="1"/>
      <c r="CW2385" s="144"/>
      <c r="DG2385" s="143"/>
    </row>
    <row r="2386" spans="89:111" ht="11.25" customHeight="1">
      <c r="CK2386" s="1"/>
      <c r="CW2386" s="144"/>
      <c r="DG2386" s="143"/>
    </row>
    <row r="2387" spans="89:111" ht="11.25" customHeight="1">
      <c r="CK2387" s="1"/>
      <c r="CW2387" s="144"/>
      <c r="DG2387" s="143"/>
    </row>
    <row r="2388" spans="89:111" ht="11.25" customHeight="1">
      <c r="CK2388" s="1"/>
      <c r="CW2388" s="144"/>
      <c r="DG2388" s="143"/>
    </row>
    <row r="2389" spans="89:111" ht="11.25" customHeight="1">
      <c r="CK2389" s="1"/>
      <c r="CW2389" s="144"/>
      <c r="DG2389" s="143"/>
    </row>
    <row r="2390" spans="89:111" ht="11.25" customHeight="1">
      <c r="CK2390" s="1"/>
      <c r="CW2390" s="144"/>
      <c r="DG2390" s="143"/>
    </row>
    <row r="2391" spans="89:111" ht="11.25" customHeight="1">
      <c r="CK2391" s="1"/>
      <c r="CW2391" s="144"/>
      <c r="DG2391" s="143"/>
    </row>
    <row r="2392" spans="89:111" ht="11.25" customHeight="1">
      <c r="CK2392" s="1"/>
      <c r="CW2392" s="144"/>
      <c r="DG2392" s="143"/>
    </row>
    <row r="2393" spans="89:111" ht="11.25" customHeight="1">
      <c r="CK2393" s="1"/>
      <c r="CW2393" s="144"/>
      <c r="DG2393" s="143"/>
    </row>
    <row r="2394" spans="89:111" ht="11.25" customHeight="1">
      <c r="CK2394" s="1"/>
      <c r="CW2394" s="144"/>
      <c r="DG2394" s="143"/>
    </row>
    <row r="2395" spans="89:111" ht="11.25" customHeight="1">
      <c r="CK2395" s="1"/>
      <c r="CW2395" s="144"/>
      <c r="DG2395" s="143"/>
    </row>
    <row r="2396" spans="89:111" ht="11.25" customHeight="1">
      <c r="CK2396" s="1"/>
      <c r="CW2396" s="144"/>
      <c r="DG2396" s="143"/>
    </row>
    <row r="2397" spans="89:111" ht="11.25" customHeight="1">
      <c r="CK2397" s="1"/>
      <c r="CW2397" s="144"/>
      <c r="DG2397" s="143"/>
    </row>
    <row r="2398" spans="89:111" ht="11.25" customHeight="1">
      <c r="CK2398" s="1"/>
      <c r="CW2398" s="144"/>
      <c r="DG2398" s="143"/>
    </row>
    <row r="2399" spans="89:111" ht="11.25" customHeight="1">
      <c r="CK2399" s="1"/>
      <c r="CW2399" s="144"/>
      <c r="DG2399" s="143"/>
    </row>
    <row r="2400" spans="89:111" ht="11.25" customHeight="1">
      <c r="CK2400" s="1"/>
      <c r="CW2400" s="144"/>
      <c r="DG2400" s="143"/>
    </row>
    <row r="2401" spans="89:111" ht="11.25" customHeight="1">
      <c r="CK2401" s="1"/>
      <c r="CW2401" s="144"/>
      <c r="DG2401" s="143"/>
    </row>
    <row r="2402" spans="89:111" ht="11.25" customHeight="1">
      <c r="CK2402" s="1"/>
      <c r="CW2402" s="144"/>
      <c r="DG2402" s="143"/>
    </row>
    <row r="2403" spans="89:111" ht="11.25" customHeight="1">
      <c r="CK2403" s="1"/>
      <c r="CW2403" s="144"/>
      <c r="DG2403" s="143"/>
    </row>
    <row r="2404" spans="89:111" ht="11.25" customHeight="1">
      <c r="CK2404" s="1"/>
      <c r="CW2404" s="144"/>
      <c r="DG2404" s="143"/>
    </row>
    <row r="2405" spans="89:111" ht="11.25" customHeight="1">
      <c r="CK2405" s="1"/>
      <c r="CW2405" s="144"/>
      <c r="DG2405" s="143"/>
    </row>
    <row r="2406" spans="89:111" ht="11.25" customHeight="1">
      <c r="CK2406" s="1"/>
      <c r="CW2406" s="144"/>
      <c r="DG2406" s="143"/>
    </row>
    <row r="2407" spans="89:111" ht="11.25" customHeight="1">
      <c r="CK2407" s="1"/>
      <c r="CW2407" s="144"/>
      <c r="DG2407" s="143"/>
    </row>
    <row r="2408" spans="89:111" ht="11.25" customHeight="1">
      <c r="CK2408" s="1"/>
      <c r="CW2408" s="144"/>
      <c r="DG2408" s="143"/>
    </row>
    <row r="2409" spans="89:111" ht="11.25" customHeight="1">
      <c r="CK2409" s="1"/>
      <c r="CW2409" s="144"/>
      <c r="DG2409" s="143"/>
    </row>
    <row r="2410" spans="89:111" ht="11.25" customHeight="1">
      <c r="CK2410" s="1"/>
      <c r="CW2410" s="144"/>
      <c r="DG2410" s="143"/>
    </row>
    <row r="2411" spans="89:111" ht="11.25" customHeight="1">
      <c r="CK2411" s="1"/>
      <c r="CW2411" s="144"/>
      <c r="DG2411" s="143"/>
    </row>
    <row r="2412" spans="89:111" ht="11.25" customHeight="1">
      <c r="CK2412" s="1"/>
      <c r="CW2412" s="144"/>
      <c r="DG2412" s="143"/>
    </row>
    <row r="2413" spans="89:111" ht="11.25" customHeight="1">
      <c r="CK2413" s="1"/>
      <c r="CW2413" s="144"/>
      <c r="DG2413" s="143"/>
    </row>
    <row r="2414" spans="89:111" ht="11.25" customHeight="1">
      <c r="CK2414" s="1"/>
      <c r="CW2414" s="144"/>
      <c r="DG2414" s="143"/>
    </row>
    <row r="2415" spans="89:111" ht="11.25" customHeight="1">
      <c r="CK2415" s="1"/>
      <c r="CW2415" s="144"/>
      <c r="DG2415" s="143"/>
    </row>
    <row r="2416" spans="89:111" ht="11.25" customHeight="1">
      <c r="CK2416" s="1"/>
      <c r="CW2416" s="144"/>
      <c r="DG2416" s="143"/>
    </row>
    <row r="2417" spans="89:111" ht="11.25" customHeight="1">
      <c r="CK2417" s="1"/>
      <c r="CW2417" s="144"/>
      <c r="DG2417" s="143"/>
    </row>
    <row r="2418" spans="89:111" ht="11.25" customHeight="1">
      <c r="CK2418" s="1"/>
      <c r="CW2418" s="144"/>
      <c r="DG2418" s="143"/>
    </row>
    <row r="2419" spans="89:111" ht="11.25" customHeight="1">
      <c r="CK2419" s="1"/>
      <c r="CW2419" s="144"/>
      <c r="DG2419" s="143"/>
    </row>
    <row r="2420" spans="89:111" ht="11.25" customHeight="1">
      <c r="CK2420" s="1"/>
      <c r="CW2420" s="144"/>
      <c r="DG2420" s="143"/>
    </row>
    <row r="2421" spans="89:111" ht="11.25" customHeight="1">
      <c r="CK2421" s="1"/>
      <c r="CW2421" s="144"/>
      <c r="DG2421" s="143"/>
    </row>
    <row r="2422" spans="89:111" ht="11.25" customHeight="1">
      <c r="CK2422" s="1"/>
      <c r="CW2422" s="144"/>
      <c r="DG2422" s="143"/>
    </row>
    <row r="2423" spans="89:111" ht="11.25" customHeight="1">
      <c r="CK2423" s="1"/>
      <c r="CW2423" s="144"/>
      <c r="DG2423" s="143"/>
    </row>
    <row r="2424" spans="89:111" ht="11.25" customHeight="1">
      <c r="CK2424" s="1"/>
      <c r="CW2424" s="144"/>
      <c r="DG2424" s="143"/>
    </row>
    <row r="2425" spans="89:111" ht="11.25" customHeight="1">
      <c r="CK2425" s="1"/>
      <c r="CW2425" s="144"/>
      <c r="DG2425" s="143"/>
    </row>
    <row r="2426" spans="89:111" ht="11.25" customHeight="1">
      <c r="CK2426" s="1"/>
      <c r="CW2426" s="144"/>
      <c r="DG2426" s="143"/>
    </row>
    <row r="2427" spans="89:111" ht="11.25" customHeight="1">
      <c r="CK2427" s="1"/>
      <c r="CW2427" s="144"/>
      <c r="DG2427" s="143"/>
    </row>
    <row r="2428" spans="89:111" ht="11.25" customHeight="1">
      <c r="CK2428" s="1"/>
      <c r="CW2428" s="144"/>
      <c r="DG2428" s="143"/>
    </row>
    <row r="2429" spans="89:111" ht="11.25" customHeight="1">
      <c r="CK2429" s="1"/>
      <c r="CW2429" s="144"/>
      <c r="DG2429" s="143"/>
    </row>
    <row r="2430" spans="89:111" ht="11.25" customHeight="1">
      <c r="CK2430" s="1"/>
      <c r="CW2430" s="144"/>
      <c r="DG2430" s="143"/>
    </row>
    <row r="2431" spans="89:111" ht="11.25" customHeight="1">
      <c r="CK2431" s="1"/>
      <c r="CW2431" s="144"/>
      <c r="DG2431" s="143"/>
    </row>
    <row r="2432" spans="89:111" ht="11.25" customHeight="1">
      <c r="CK2432" s="1"/>
      <c r="CW2432" s="144"/>
      <c r="DG2432" s="143"/>
    </row>
    <row r="2433" spans="89:111" ht="11.25" customHeight="1">
      <c r="CK2433" s="1"/>
      <c r="CW2433" s="144"/>
      <c r="DG2433" s="143"/>
    </row>
    <row r="2434" spans="89:111" ht="11.25" customHeight="1">
      <c r="CK2434" s="1"/>
      <c r="CW2434" s="144"/>
      <c r="DG2434" s="143"/>
    </row>
    <row r="2435" spans="89:111" ht="11.25" customHeight="1">
      <c r="CK2435" s="1"/>
      <c r="CW2435" s="144"/>
      <c r="DG2435" s="143"/>
    </row>
    <row r="2436" spans="89:111" ht="11.25" customHeight="1">
      <c r="CK2436" s="1"/>
      <c r="CW2436" s="144"/>
      <c r="DG2436" s="143"/>
    </row>
    <row r="2437" spans="89:111" ht="11.25" customHeight="1">
      <c r="CK2437" s="1"/>
      <c r="CW2437" s="144"/>
      <c r="DG2437" s="143"/>
    </row>
    <row r="2438" spans="89:111" ht="11.25" customHeight="1">
      <c r="CK2438" s="1"/>
      <c r="CW2438" s="144"/>
      <c r="DG2438" s="143"/>
    </row>
    <row r="2439" spans="89:111" ht="11.25" customHeight="1">
      <c r="CK2439" s="1"/>
      <c r="CW2439" s="144"/>
      <c r="DG2439" s="143"/>
    </row>
    <row r="2440" spans="89:111" ht="11.25" customHeight="1">
      <c r="CK2440" s="1"/>
      <c r="CW2440" s="144"/>
      <c r="DG2440" s="143"/>
    </row>
    <row r="2441" spans="89:111" ht="11.25" customHeight="1">
      <c r="CK2441" s="1"/>
      <c r="CW2441" s="144"/>
      <c r="DG2441" s="143"/>
    </row>
    <row r="2442" spans="89:111" ht="11.25" customHeight="1">
      <c r="CK2442" s="1"/>
      <c r="CW2442" s="144"/>
      <c r="DG2442" s="143"/>
    </row>
    <row r="2443" spans="89:111" ht="11.25" customHeight="1">
      <c r="CK2443" s="1"/>
      <c r="CW2443" s="144"/>
      <c r="DG2443" s="143"/>
    </row>
    <row r="2444" spans="89:111" ht="11.25" customHeight="1">
      <c r="CK2444" s="1"/>
      <c r="CW2444" s="144"/>
      <c r="DG2444" s="143"/>
    </row>
    <row r="2445" spans="89:111" ht="11.25" customHeight="1">
      <c r="CK2445" s="1"/>
      <c r="CW2445" s="144"/>
      <c r="DG2445" s="143"/>
    </row>
    <row r="2446" spans="89:111" ht="11.25" customHeight="1">
      <c r="CK2446" s="1"/>
      <c r="CW2446" s="144"/>
      <c r="DG2446" s="143"/>
    </row>
    <row r="2447" spans="89:111" ht="11.25" customHeight="1">
      <c r="CK2447" s="1"/>
      <c r="CW2447" s="144"/>
      <c r="DG2447" s="143"/>
    </row>
    <row r="2448" spans="89:111" ht="11.25" customHeight="1">
      <c r="CK2448" s="1"/>
      <c r="CW2448" s="144"/>
      <c r="DG2448" s="143"/>
    </row>
    <row r="2449" spans="89:111" ht="11.25" customHeight="1">
      <c r="CK2449" s="1"/>
      <c r="CW2449" s="144"/>
      <c r="DG2449" s="143"/>
    </row>
    <row r="2450" spans="89:111" ht="11.25" customHeight="1">
      <c r="CK2450" s="1"/>
      <c r="CW2450" s="144"/>
      <c r="DG2450" s="143"/>
    </row>
    <row r="2451" spans="89:111" ht="11.25" customHeight="1">
      <c r="CK2451" s="1"/>
      <c r="CW2451" s="144"/>
      <c r="DG2451" s="143"/>
    </row>
    <row r="2452" spans="89:111" ht="11.25" customHeight="1">
      <c r="CK2452" s="1"/>
      <c r="CW2452" s="144"/>
      <c r="DG2452" s="143"/>
    </row>
    <row r="2453" spans="89:111" ht="11.25" customHeight="1">
      <c r="CK2453" s="1"/>
      <c r="CW2453" s="144"/>
      <c r="DG2453" s="143"/>
    </row>
    <row r="2454" spans="89:111" ht="11.25" customHeight="1">
      <c r="CK2454" s="1"/>
      <c r="CW2454" s="144"/>
      <c r="DG2454" s="143"/>
    </row>
    <row r="2455" spans="89:111" ht="11.25" customHeight="1">
      <c r="CK2455" s="1"/>
      <c r="CW2455" s="144"/>
      <c r="DG2455" s="143"/>
    </row>
    <row r="2456" spans="89:111" ht="11.25" customHeight="1">
      <c r="CK2456" s="1"/>
      <c r="CW2456" s="144"/>
      <c r="DG2456" s="143"/>
    </row>
    <row r="2457" spans="89:111" ht="11.25" customHeight="1">
      <c r="CK2457" s="1"/>
      <c r="CW2457" s="144"/>
      <c r="DG2457" s="143"/>
    </row>
    <row r="2458" spans="89:111" ht="11.25" customHeight="1">
      <c r="CK2458" s="1"/>
      <c r="CW2458" s="144"/>
      <c r="DG2458" s="143"/>
    </row>
    <row r="2459" spans="89:111" ht="11.25" customHeight="1">
      <c r="CK2459" s="1"/>
      <c r="CW2459" s="144"/>
      <c r="DG2459" s="143"/>
    </row>
    <row r="2460" spans="89:111" ht="11.25" customHeight="1">
      <c r="CK2460" s="1"/>
      <c r="CW2460" s="144"/>
      <c r="DG2460" s="143"/>
    </row>
    <row r="2461" spans="89:111" ht="11.25" customHeight="1">
      <c r="CK2461" s="1"/>
      <c r="CW2461" s="144"/>
      <c r="DG2461" s="143"/>
    </row>
    <row r="2462" spans="89:111" ht="11.25" customHeight="1">
      <c r="CK2462" s="1"/>
      <c r="CW2462" s="144"/>
      <c r="DG2462" s="143"/>
    </row>
    <row r="2463" spans="89:111" ht="11.25" customHeight="1">
      <c r="CK2463" s="1"/>
      <c r="CW2463" s="144"/>
      <c r="DG2463" s="143"/>
    </row>
    <row r="2464" spans="89:111" ht="11.25" customHeight="1">
      <c r="CK2464" s="1"/>
      <c r="CW2464" s="144"/>
      <c r="DG2464" s="143"/>
    </row>
    <row r="2465" spans="89:111" ht="11.25" customHeight="1">
      <c r="CK2465" s="1"/>
      <c r="CW2465" s="144"/>
      <c r="DG2465" s="143"/>
    </row>
    <row r="2466" spans="89:111" ht="11.25" customHeight="1">
      <c r="CK2466" s="1"/>
      <c r="CW2466" s="144"/>
      <c r="DG2466" s="143"/>
    </row>
    <row r="2467" spans="89:111" ht="11.25" customHeight="1">
      <c r="CK2467" s="1"/>
      <c r="CW2467" s="144"/>
      <c r="DG2467" s="143"/>
    </row>
    <row r="2468" spans="89:111" ht="11.25" customHeight="1">
      <c r="CK2468" s="1"/>
      <c r="CW2468" s="144"/>
      <c r="DG2468" s="143"/>
    </row>
    <row r="2469" spans="89:111" ht="11.25" customHeight="1">
      <c r="CK2469" s="1"/>
      <c r="CW2469" s="144"/>
      <c r="DG2469" s="143"/>
    </row>
    <row r="2470" spans="89:111" ht="11.25" customHeight="1">
      <c r="CK2470" s="1"/>
      <c r="CW2470" s="144"/>
      <c r="DG2470" s="143"/>
    </row>
    <row r="2471" spans="89:111" ht="11.25" customHeight="1">
      <c r="CK2471" s="1"/>
      <c r="CW2471" s="144"/>
      <c r="DG2471" s="143"/>
    </row>
    <row r="2472" spans="89:111" ht="11.25" customHeight="1">
      <c r="CK2472" s="1"/>
      <c r="CW2472" s="144"/>
      <c r="DG2472" s="143"/>
    </row>
    <row r="2473" spans="89:111" ht="11.25" customHeight="1">
      <c r="CK2473" s="1"/>
      <c r="CW2473" s="144"/>
      <c r="DG2473" s="143"/>
    </row>
    <row r="2474" spans="89:111" ht="11.25" customHeight="1">
      <c r="CK2474" s="1"/>
      <c r="CW2474" s="144"/>
      <c r="DG2474" s="143"/>
    </row>
    <row r="2475" spans="89:111" ht="11.25" customHeight="1">
      <c r="CK2475" s="1"/>
      <c r="CW2475" s="144"/>
      <c r="DG2475" s="143"/>
    </row>
    <row r="2476" spans="89:111" ht="11.25" customHeight="1">
      <c r="CK2476" s="1"/>
      <c r="CW2476" s="144"/>
      <c r="DG2476" s="143"/>
    </row>
    <row r="2477" spans="89:111" ht="11.25" customHeight="1">
      <c r="CK2477" s="1"/>
      <c r="CW2477" s="144"/>
      <c r="DG2477" s="143"/>
    </row>
    <row r="2478" spans="89:111" ht="11.25" customHeight="1">
      <c r="CK2478" s="1"/>
      <c r="CW2478" s="144"/>
      <c r="DG2478" s="143"/>
    </row>
    <row r="2479" spans="89:111" ht="11.25" customHeight="1">
      <c r="CK2479" s="1"/>
      <c r="CW2479" s="144"/>
      <c r="DG2479" s="143"/>
    </row>
    <row r="2480" spans="89:111" ht="11.25" customHeight="1">
      <c r="CK2480" s="1"/>
      <c r="CW2480" s="144"/>
      <c r="DG2480" s="143"/>
    </row>
    <row r="2481" spans="89:111" ht="11.25" customHeight="1">
      <c r="CK2481" s="1"/>
      <c r="CW2481" s="144"/>
      <c r="DG2481" s="143"/>
    </row>
    <row r="2482" spans="89:111" ht="11.25" customHeight="1">
      <c r="CK2482" s="1"/>
      <c r="CW2482" s="144"/>
      <c r="DG2482" s="143"/>
    </row>
    <row r="2483" spans="89:111" ht="11.25" customHeight="1">
      <c r="CK2483" s="1"/>
      <c r="CW2483" s="144"/>
      <c r="DG2483" s="143"/>
    </row>
    <row r="2484" spans="89:111" ht="11.25" customHeight="1">
      <c r="CK2484" s="1"/>
      <c r="CW2484" s="144"/>
      <c r="DG2484" s="143"/>
    </row>
    <row r="2485" spans="89:111" ht="11.25" customHeight="1">
      <c r="CK2485" s="1"/>
      <c r="CW2485" s="144"/>
      <c r="DG2485" s="143"/>
    </row>
    <row r="2486" spans="89:111" ht="11.25" customHeight="1">
      <c r="CK2486" s="1"/>
      <c r="CW2486" s="144"/>
      <c r="DG2486" s="143"/>
    </row>
    <row r="2487" spans="89:111" ht="11.25" customHeight="1">
      <c r="CK2487" s="1"/>
      <c r="CW2487" s="144"/>
      <c r="DG2487" s="143"/>
    </row>
    <row r="2488" spans="89:111" ht="11.25" customHeight="1">
      <c r="CK2488" s="1"/>
      <c r="CW2488" s="144"/>
      <c r="DG2488" s="143"/>
    </row>
    <row r="2489" spans="89:111" ht="11.25" customHeight="1">
      <c r="CK2489" s="1"/>
      <c r="CW2489" s="144"/>
      <c r="DG2489" s="143"/>
    </row>
    <row r="2490" spans="89:111" ht="11.25" customHeight="1">
      <c r="CK2490" s="1"/>
      <c r="CW2490" s="144"/>
      <c r="DG2490" s="143"/>
    </row>
    <row r="2491" spans="89:111" ht="11.25" customHeight="1">
      <c r="CK2491" s="1"/>
      <c r="CW2491" s="144"/>
      <c r="DG2491" s="143"/>
    </row>
    <row r="2492" spans="89:111" ht="11.25" customHeight="1">
      <c r="CK2492" s="1"/>
      <c r="CW2492" s="144"/>
      <c r="DG2492" s="143"/>
    </row>
    <row r="2493" spans="89:111" ht="11.25" customHeight="1">
      <c r="CK2493" s="1"/>
      <c r="CW2493" s="144"/>
      <c r="DG2493" s="143"/>
    </row>
    <row r="2494" spans="89:111" ht="11.25" customHeight="1">
      <c r="CK2494" s="1"/>
      <c r="CW2494" s="144"/>
      <c r="DG2494" s="143"/>
    </row>
    <row r="2495" spans="89:111" ht="11.25" customHeight="1">
      <c r="CK2495" s="1"/>
      <c r="CW2495" s="144"/>
      <c r="DG2495" s="143"/>
    </row>
    <row r="2496" spans="89:111" ht="11.25" customHeight="1">
      <c r="CK2496" s="1"/>
      <c r="CW2496" s="144"/>
      <c r="DG2496" s="143"/>
    </row>
    <row r="2497" spans="89:111" ht="11.25" customHeight="1">
      <c r="CK2497" s="1"/>
      <c r="CW2497" s="144"/>
      <c r="DG2497" s="143"/>
    </row>
    <row r="2498" spans="89:111" ht="11.25" customHeight="1">
      <c r="CK2498" s="1"/>
      <c r="CW2498" s="144"/>
      <c r="DG2498" s="143"/>
    </row>
    <row r="2499" spans="89:111" ht="11.25" customHeight="1">
      <c r="CK2499" s="1"/>
      <c r="CW2499" s="144"/>
      <c r="DG2499" s="143"/>
    </row>
    <row r="2500" spans="89:111" ht="11.25" customHeight="1">
      <c r="CK2500" s="1"/>
      <c r="CW2500" s="144"/>
      <c r="DG2500" s="143"/>
    </row>
    <row r="2501" spans="89:111" ht="11.25" customHeight="1">
      <c r="CK2501" s="1"/>
      <c r="CW2501" s="144"/>
      <c r="DG2501" s="143"/>
    </row>
    <row r="2502" spans="89:111" ht="11.25" customHeight="1">
      <c r="CK2502" s="1"/>
      <c r="CW2502" s="144"/>
      <c r="DG2502" s="143"/>
    </row>
    <row r="2503" spans="89:111" ht="11.25" customHeight="1">
      <c r="CK2503" s="1"/>
      <c r="CW2503" s="144"/>
      <c r="DG2503" s="143"/>
    </row>
    <row r="2504" spans="89:111" ht="11.25" customHeight="1">
      <c r="CK2504" s="1"/>
      <c r="CW2504" s="144"/>
      <c r="DG2504" s="143"/>
    </row>
    <row r="2505" spans="89:111" ht="11.25" customHeight="1">
      <c r="CK2505" s="1"/>
      <c r="CW2505" s="144"/>
      <c r="DG2505" s="143"/>
    </row>
    <row r="2506" spans="89:111" ht="11.25" customHeight="1">
      <c r="CK2506" s="1"/>
      <c r="CW2506" s="144"/>
      <c r="DG2506" s="143"/>
    </row>
    <row r="2507" spans="89:111" ht="11.25" customHeight="1">
      <c r="CK2507" s="1"/>
      <c r="CW2507" s="144"/>
      <c r="DG2507" s="143"/>
    </row>
    <row r="2508" spans="89:111" ht="11.25" customHeight="1">
      <c r="CK2508" s="1"/>
      <c r="CW2508" s="144"/>
      <c r="DG2508" s="143"/>
    </row>
    <row r="2509" spans="89:111" ht="11.25" customHeight="1">
      <c r="CK2509" s="1"/>
      <c r="CW2509" s="144"/>
      <c r="DG2509" s="143"/>
    </row>
    <row r="2510" spans="89:111" ht="11.25" customHeight="1">
      <c r="CK2510" s="1"/>
      <c r="CW2510" s="144"/>
      <c r="DG2510" s="143"/>
    </row>
    <row r="2511" spans="89:111" ht="11.25" customHeight="1">
      <c r="CK2511" s="1"/>
      <c r="CW2511" s="144"/>
      <c r="DG2511" s="143"/>
    </row>
    <row r="2512" spans="89:111" ht="11.25" customHeight="1">
      <c r="CK2512" s="1"/>
      <c r="CW2512" s="144"/>
      <c r="DG2512" s="143"/>
    </row>
    <row r="2513" spans="89:111" ht="11.25" customHeight="1">
      <c r="CK2513" s="1"/>
      <c r="CW2513" s="144"/>
      <c r="DG2513" s="143"/>
    </row>
    <row r="2514" spans="89:111" ht="11.25" customHeight="1">
      <c r="CK2514" s="1"/>
      <c r="CW2514" s="144"/>
      <c r="DG2514" s="143"/>
    </row>
    <row r="2515" spans="89:111" ht="11.25" customHeight="1">
      <c r="CK2515" s="1"/>
      <c r="CW2515" s="144"/>
      <c r="DG2515" s="143"/>
    </row>
    <row r="2516" spans="89:111" ht="11.25" customHeight="1">
      <c r="CK2516" s="1"/>
      <c r="CW2516" s="144"/>
      <c r="DG2516" s="143"/>
    </row>
    <row r="2517" spans="89:111" ht="11.25" customHeight="1">
      <c r="CK2517" s="1"/>
      <c r="CW2517" s="144"/>
      <c r="DG2517" s="143"/>
    </row>
    <row r="2518" spans="89:111" ht="11.25" customHeight="1">
      <c r="CK2518" s="1"/>
      <c r="CW2518" s="144"/>
      <c r="DG2518" s="143"/>
    </row>
    <row r="2519" spans="89:111" ht="11.25" customHeight="1">
      <c r="CK2519" s="1"/>
      <c r="CW2519" s="144"/>
      <c r="DG2519" s="143"/>
    </row>
    <row r="2520" spans="89:111" ht="11.25" customHeight="1">
      <c r="CK2520" s="1"/>
      <c r="CW2520" s="144"/>
      <c r="DG2520" s="143"/>
    </row>
    <row r="2521" spans="89:111" ht="11.25" customHeight="1">
      <c r="CK2521" s="1"/>
      <c r="CW2521" s="144"/>
      <c r="DG2521" s="143"/>
    </row>
    <row r="2522" spans="89:111" ht="11.25" customHeight="1">
      <c r="CK2522" s="1"/>
      <c r="CW2522" s="144"/>
      <c r="DG2522" s="143"/>
    </row>
    <row r="2523" spans="89:111" ht="11.25" customHeight="1">
      <c r="CK2523" s="1"/>
      <c r="CW2523" s="144"/>
      <c r="DG2523" s="143"/>
    </row>
    <row r="2524" spans="89:111" ht="11.25" customHeight="1">
      <c r="CK2524" s="1"/>
      <c r="CW2524" s="144"/>
      <c r="DG2524" s="143"/>
    </row>
    <row r="2525" spans="89:111" ht="11.25" customHeight="1">
      <c r="CK2525" s="1"/>
      <c r="CW2525" s="144"/>
      <c r="DG2525" s="143"/>
    </row>
    <row r="2526" spans="89:111" ht="11.25" customHeight="1">
      <c r="CK2526" s="1"/>
      <c r="CW2526" s="144"/>
      <c r="DG2526" s="143"/>
    </row>
    <row r="2527" spans="89:111" ht="11.25" customHeight="1">
      <c r="CK2527" s="1"/>
      <c r="CW2527" s="144"/>
      <c r="DG2527" s="143"/>
    </row>
    <row r="2528" spans="89:111" ht="11.25" customHeight="1">
      <c r="CK2528" s="1"/>
      <c r="CW2528" s="144"/>
      <c r="DG2528" s="143"/>
    </row>
    <row r="2529" spans="89:111" ht="11.25" customHeight="1">
      <c r="CK2529" s="1"/>
      <c r="CW2529" s="144"/>
      <c r="DG2529" s="143"/>
    </row>
    <row r="2530" spans="89:111" ht="11.25" customHeight="1">
      <c r="CK2530" s="1"/>
      <c r="CW2530" s="144"/>
      <c r="DG2530" s="143"/>
    </row>
    <row r="2531" spans="89:111" ht="11.25" customHeight="1">
      <c r="CK2531" s="1"/>
      <c r="CW2531" s="144"/>
      <c r="DG2531" s="143"/>
    </row>
    <row r="2532" spans="89:111" ht="11.25" customHeight="1">
      <c r="CK2532" s="1"/>
      <c r="CW2532" s="144"/>
      <c r="DG2532" s="143"/>
    </row>
    <row r="2533" spans="89:111" ht="11.25" customHeight="1">
      <c r="CK2533" s="1"/>
      <c r="CW2533" s="144"/>
      <c r="DG2533" s="143"/>
    </row>
    <row r="2534" spans="89:111" ht="11.25" customHeight="1">
      <c r="CK2534" s="1"/>
      <c r="CW2534" s="144"/>
      <c r="DG2534" s="143"/>
    </row>
    <row r="2535" spans="89:111" ht="11.25" customHeight="1">
      <c r="CK2535" s="1"/>
      <c r="CW2535" s="144"/>
      <c r="DG2535" s="143"/>
    </row>
    <row r="2536" spans="89:111" ht="11.25" customHeight="1">
      <c r="CK2536" s="1"/>
      <c r="CW2536" s="144"/>
      <c r="DG2536" s="143"/>
    </row>
    <row r="2537" spans="89:111" ht="11.25" customHeight="1">
      <c r="CK2537" s="1"/>
      <c r="CW2537" s="144"/>
      <c r="DG2537" s="143"/>
    </row>
    <row r="2538" spans="89:111" ht="11.25" customHeight="1">
      <c r="CK2538" s="1"/>
      <c r="CW2538" s="144"/>
      <c r="DG2538" s="143"/>
    </row>
    <row r="2539" spans="89:111" ht="11.25" customHeight="1">
      <c r="CK2539" s="1"/>
      <c r="CW2539" s="144"/>
      <c r="DG2539" s="143"/>
    </row>
    <row r="2540" spans="89:111" ht="11.25" customHeight="1">
      <c r="CK2540" s="1"/>
      <c r="CW2540" s="144"/>
      <c r="DG2540" s="143"/>
    </row>
    <row r="2541" spans="89:111" ht="11.25" customHeight="1">
      <c r="CK2541" s="1"/>
      <c r="CW2541" s="144"/>
      <c r="DG2541" s="143"/>
    </row>
    <row r="2542" spans="89:111" ht="11.25" customHeight="1">
      <c r="CK2542" s="1"/>
      <c r="CW2542" s="144"/>
      <c r="DG2542" s="143"/>
    </row>
    <row r="2543" spans="89:111" ht="11.25" customHeight="1">
      <c r="CK2543" s="1"/>
      <c r="CW2543" s="144"/>
      <c r="DG2543" s="143"/>
    </row>
    <row r="2544" spans="89:111" ht="11.25" customHeight="1">
      <c r="CK2544" s="1"/>
      <c r="CW2544" s="144"/>
      <c r="DG2544" s="143"/>
    </row>
    <row r="2545" spans="89:111" ht="11.25" customHeight="1">
      <c r="CK2545" s="1"/>
      <c r="CW2545" s="144"/>
      <c r="DG2545" s="143"/>
    </row>
    <row r="2546" spans="89:111" ht="11.25" customHeight="1">
      <c r="CK2546" s="1"/>
      <c r="CW2546" s="144"/>
      <c r="DG2546" s="143"/>
    </row>
    <row r="2547" spans="89:111" ht="11.25" customHeight="1">
      <c r="CK2547" s="1"/>
      <c r="CW2547" s="144"/>
      <c r="DG2547" s="143"/>
    </row>
    <row r="2548" spans="89:111" ht="11.25" customHeight="1">
      <c r="CK2548" s="1"/>
      <c r="CW2548" s="144"/>
      <c r="DG2548" s="143"/>
    </row>
    <row r="2549" spans="89:111" ht="11.25" customHeight="1">
      <c r="CK2549" s="1"/>
      <c r="CW2549" s="144"/>
      <c r="DG2549" s="143"/>
    </row>
    <row r="2550" spans="89:111" ht="11.25" customHeight="1">
      <c r="CK2550" s="1"/>
      <c r="CW2550" s="144"/>
      <c r="DG2550" s="143"/>
    </row>
    <row r="2551" spans="89:111" ht="11.25" customHeight="1">
      <c r="CK2551" s="1"/>
      <c r="CW2551" s="144"/>
      <c r="DG2551" s="143"/>
    </row>
    <row r="2552" spans="89:111" ht="11.25" customHeight="1">
      <c r="CK2552" s="1"/>
      <c r="CW2552" s="144"/>
      <c r="DG2552" s="143"/>
    </row>
    <row r="2553" spans="89:111" ht="11.25" customHeight="1">
      <c r="CK2553" s="1"/>
      <c r="CW2553" s="144"/>
      <c r="DG2553" s="143"/>
    </row>
    <row r="2554" spans="89:111" ht="11.25" customHeight="1">
      <c r="CK2554" s="1"/>
      <c r="CW2554" s="144"/>
      <c r="DG2554" s="143"/>
    </row>
    <row r="2555" spans="89:111" ht="11.25" customHeight="1">
      <c r="CK2555" s="1"/>
      <c r="CW2555" s="144"/>
      <c r="DG2555" s="143"/>
    </row>
    <row r="2556" spans="89:111" ht="11.25" customHeight="1">
      <c r="CK2556" s="1"/>
      <c r="CW2556" s="144"/>
      <c r="DG2556" s="143"/>
    </row>
    <row r="2557" spans="89:111" ht="11.25" customHeight="1">
      <c r="CK2557" s="1"/>
      <c r="CW2557" s="144"/>
      <c r="DG2557" s="143"/>
    </row>
    <row r="2558" spans="89:111" ht="11.25" customHeight="1">
      <c r="CK2558" s="1"/>
      <c r="CW2558" s="144"/>
      <c r="DG2558" s="143"/>
    </row>
    <row r="2559" spans="89:111" ht="11.25" customHeight="1">
      <c r="CK2559" s="1"/>
      <c r="CW2559" s="144"/>
      <c r="DG2559" s="143"/>
    </row>
    <row r="2560" spans="89:111" ht="11.25" customHeight="1">
      <c r="CK2560" s="1"/>
      <c r="CW2560" s="144"/>
      <c r="DG2560" s="143"/>
    </row>
    <row r="2561" spans="89:111" ht="11.25" customHeight="1">
      <c r="CK2561" s="1"/>
      <c r="CW2561" s="144"/>
      <c r="DG2561" s="143"/>
    </row>
    <row r="2562" spans="89:111" ht="11.25" customHeight="1">
      <c r="CK2562" s="1"/>
      <c r="CW2562" s="144"/>
      <c r="DG2562" s="143"/>
    </row>
    <row r="2563" spans="89:111" ht="11.25" customHeight="1">
      <c r="CK2563" s="1"/>
      <c r="CW2563" s="144"/>
      <c r="DG2563" s="143"/>
    </row>
    <row r="2564" spans="89:111" ht="11.25" customHeight="1">
      <c r="CK2564" s="1"/>
      <c r="CW2564" s="144"/>
      <c r="DG2564" s="143"/>
    </row>
    <row r="2565" spans="89:111" ht="11.25" customHeight="1">
      <c r="CK2565" s="1"/>
      <c r="CW2565" s="144"/>
      <c r="DG2565" s="143"/>
    </row>
    <row r="2566" spans="89:111" ht="11.25" customHeight="1">
      <c r="CK2566" s="1"/>
      <c r="CW2566" s="144"/>
      <c r="DG2566" s="143"/>
    </row>
    <row r="2567" spans="89:111" ht="11.25" customHeight="1">
      <c r="CK2567" s="1"/>
      <c r="CW2567" s="144"/>
      <c r="DG2567" s="143"/>
    </row>
    <row r="2568" spans="89:111" ht="11.25" customHeight="1">
      <c r="CK2568" s="1"/>
      <c r="CW2568" s="144"/>
      <c r="DG2568" s="143"/>
    </row>
    <row r="2569" spans="89:111" ht="11.25" customHeight="1">
      <c r="CK2569" s="1"/>
      <c r="CW2569" s="144"/>
      <c r="DG2569" s="143"/>
    </row>
    <row r="2570" spans="89:111" ht="11.25" customHeight="1">
      <c r="CK2570" s="1"/>
      <c r="CW2570" s="144"/>
      <c r="DG2570" s="143"/>
    </row>
    <row r="2571" spans="89:111" ht="11.25" customHeight="1">
      <c r="CK2571" s="1"/>
      <c r="CW2571" s="144"/>
      <c r="DG2571" s="143"/>
    </row>
    <row r="2572" spans="89:111" ht="11.25" customHeight="1">
      <c r="CK2572" s="1"/>
      <c r="CW2572" s="144"/>
      <c r="DG2572" s="143"/>
    </row>
    <row r="2573" spans="89:111" ht="11.25" customHeight="1">
      <c r="CK2573" s="1"/>
      <c r="CW2573" s="144"/>
      <c r="DG2573" s="143"/>
    </row>
    <row r="2574" spans="89:111" ht="11.25" customHeight="1">
      <c r="CK2574" s="1"/>
      <c r="CW2574" s="144"/>
      <c r="DG2574" s="143"/>
    </row>
    <row r="2575" spans="89:111" ht="11.25" customHeight="1">
      <c r="CK2575" s="1"/>
      <c r="CW2575" s="144"/>
      <c r="DG2575" s="143"/>
    </row>
    <row r="2576" spans="89:111" ht="11.25" customHeight="1">
      <c r="CK2576" s="1"/>
      <c r="CW2576" s="144"/>
      <c r="DG2576" s="143"/>
    </row>
    <row r="2577" spans="89:111" ht="11.25" customHeight="1">
      <c r="CK2577" s="1"/>
      <c r="CW2577" s="144"/>
      <c r="DG2577" s="143"/>
    </row>
    <row r="2578" spans="89:111" ht="11.25" customHeight="1">
      <c r="CK2578" s="1"/>
      <c r="CW2578" s="144"/>
      <c r="DG2578" s="143"/>
    </row>
    <row r="2579" spans="89:111" ht="11.25" customHeight="1">
      <c r="CK2579" s="1"/>
      <c r="CW2579" s="144"/>
      <c r="DG2579" s="143"/>
    </row>
    <row r="2580" spans="89:111" ht="11.25" customHeight="1">
      <c r="CK2580" s="1"/>
      <c r="CW2580" s="144"/>
      <c r="DG2580" s="143"/>
    </row>
    <row r="2581" spans="89:111" ht="11.25" customHeight="1">
      <c r="CK2581" s="1"/>
      <c r="CW2581" s="144"/>
      <c r="DG2581" s="143"/>
    </row>
    <row r="2582" spans="89:111" ht="11.25" customHeight="1">
      <c r="CK2582" s="1"/>
      <c r="CW2582" s="144"/>
      <c r="DG2582" s="143"/>
    </row>
    <row r="2583" spans="89:111" ht="11.25" customHeight="1">
      <c r="CK2583" s="1"/>
      <c r="CW2583" s="144"/>
      <c r="DG2583" s="143"/>
    </row>
    <row r="2584" spans="89:111" ht="11.25" customHeight="1">
      <c r="CK2584" s="1"/>
      <c r="CW2584" s="144"/>
      <c r="DG2584" s="143"/>
    </row>
    <row r="2585" spans="89:111" ht="11.25" customHeight="1">
      <c r="CK2585" s="1"/>
      <c r="CW2585" s="144"/>
      <c r="DG2585" s="143"/>
    </row>
    <row r="2586" spans="89:111" ht="11.25" customHeight="1">
      <c r="CK2586" s="1"/>
      <c r="CW2586" s="144"/>
      <c r="DG2586" s="143"/>
    </row>
    <row r="2587" spans="89:111" ht="11.25" customHeight="1">
      <c r="CK2587" s="1"/>
      <c r="CW2587" s="144"/>
      <c r="DG2587" s="143"/>
    </row>
    <row r="2588" spans="89:111" ht="11.25" customHeight="1">
      <c r="CK2588" s="1"/>
      <c r="CW2588" s="144"/>
      <c r="DG2588" s="143"/>
    </row>
    <row r="2589" spans="89:111" ht="11.25" customHeight="1">
      <c r="CK2589" s="1"/>
      <c r="CW2589" s="144"/>
      <c r="DG2589" s="143"/>
    </row>
    <row r="2590" spans="89:111" ht="11.25" customHeight="1">
      <c r="CK2590" s="1"/>
      <c r="CW2590" s="144"/>
      <c r="DG2590" s="143"/>
    </row>
    <row r="2591" spans="89:111" ht="11.25" customHeight="1">
      <c r="CK2591" s="1"/>
      <c r="CW2591" s="144"/>
      <c r="DG2591" s="143"/>
    </row>
    <row r="2592" spans="89:111" ht="11.25" customHeight="1">
      <c r="CK2592" s="1"/>
      <c r="CW2592" s="144"/>
      <c r="DG2592" s="143"/>
    </row>
    <row r="2593" spans="89:111" ht="11.25" customHeight="1">
      <c r="CK2593" s="1"/>
      <c r="CW2593" s="144"/>
      <c r="DG2593" s="143"/>
    </row>
    <row r="2594" spans="89:111" ht="11.25" customHeight="1">
      <c r="CK2594" s="1"/>
      <c r="CW2594" s="144"/>
      <c r="DG2594" s="143"/>
    </row>
    <row r="2595" spans="89:111" ht="11.25" customHeight="1">
      <c r="CK2595" s="1"/>
      <c r="CW2595" s="144"/>
      <c r="DG2595" s="143"/>
    </row>
    <row r="2596" spans="89:111" ht="11.25" customHeight="1">
      <c r="CK2596" s="1"/>
      <c r="CW2596" s="144"/>
      <c r="DG2596" s="143"/>
    </row>
    <row r="2597" spans="89:111" ht="11.25" customHeight="1">
      <c r="CK2597" s="1"/>
      <c r="CW2597" s="144"/>
      <c r="DG2597" s="143"/>
    </row>
    <row r="2598" spans="89:111" ht="11.25" customHeight="1">
      <c r="CK2598" s="1"/>
      <c r="CW2598" s="144"/>
      <c r="DG2598" s="143"/>
    </row>
    <row r="2599" spans="89:111" ht="11.25" customHeight="1">
      <c r="CK2599" s="1"/>
      <c r="CW2599" s="144"/>
      <c r="DG2599" s="143"/>
    </row>
    <row r="2600" spans="89:111" ht="11.25" customHeight="1">
      <c r="CK2600" s="1"/>
      <c r="CW2600" s="144"/>
      <c r="DG2600" s="143"/>
    </row>
    <row r="2601" spans="89:111" ht="11.25" customHeight="1">
      <c r="CK2601" s="1"/>
      <c r="CW2601" s="144"/>
      <c r="DG2601" s="143"/>
    </row>
    <row r="2602" spans="89:111" ht="11.25" customHeight="1">
      <c r="CK2602" s="1"/>
      <c r="CW2602" s="144"/>
      <c r="DG2602" s="143"/>
    </row>
    <row r="2603" spans="89:111" ht="11.25" customHeight="1">
      <c r="CK2603" s="1"/>
      <c r="CW2603" s="144"/>
      <c r="DG2603" s="143"/>
    </row>
    <row r="2604" spans="89:111" ht="11.25" customHeight="1">
      <c r="CK2604" s="1"/>
      <c r="CW2604" s="144"/>
      <c r="DG2604" s="143"/>
    </row>
    <row r="2605" spans="89:111" ht="11.25" customHeight="1">
      <c r="CK2605" s="1"/>
      <c r="CW2605" s="144"/>
      <c r="DG2605" s="143"/>
    </row>
    <row r="2606" spans="89:111" ht="11.25" customHeight="1">
      <c r="CK2606" s="1"/>
      <c r="CW2606" s="144"/>
      <c r="DG2606" s="143"/>
    </row>
    <row r="2607" spans="89:111" ht="11.25" customHeight="1">
      <c r="CK2607" s="1"/>
      <c r="CW2607" s="144"/>
      <c r="DG2607" s="143"/>
    </row>
    <row r="2608" spans="89:111" ht="11.25" customHeight="1">
      <c r="CK2608" s="1"/>
      <c r="CW2608" s="144"/>
      <c r="DG2608" s="143"/>
    </row>
    <row r="2609" spans="89:111" ht="11.25" customHeight="1">
      <c r="CK2609" s="1"/>
      <c r="CW2609" s="144"/>
      <c r="DG2609" s="143"/>
    </row>
    <row r="2610" spans="89:111" ht="11.25" customHeight="1">
      <c r="CK2610" s="1"/>
      <c r="CW2610" s="144"/>
      <c r="DG2610" s="143"/>
    </row>
    <row r="2611" spans="89:111" ht="11.25" customHeight="1">
      <c r="CK2611" s="1"/>
      <c r="CW2611" s="144"/>
      <c r="DG2611" s="143"/>
    </row>
    <row r="2612" spans="89:111" ht="11.25" customHeight="1">
      <c r="CK2612" s="1"/>
      <c r="CW2612" s="144"/>
      <c r="DG2612" s="143"/>
    </row>
    <row r="2613" spans="89:111" ht="11.25" customHeight="1">
      <c r="CK2613" s="1"/>
      <c r="CW2613" s="144"/>
      <c r="DG2613" s="143"/>
    </row>
    <row r="2614" spans="89:111" ht="11.25" customHeight="1">
      <c r="CK2614" s="1"/>
      <c r="CW2614" s="144"/>
      <c r="DG2614" s="143"/>
    </row>
    <row r="2615" spans="89:111" ht="11.25" customHeight="1">
      <c r="CK2615" s="1"/>
      <c r="CW2615" s="144"/>
      <c r="DG2615" s="143"/>
    </row>
    <row r="2616" spans="89:111" ht="11.25" customHeight="1">
      <c r="CK2616" s="1"/>
      <c r="CW2616" s="144"/>
      <c r="DG2616" s="143"/>
    </row>
    <row r="2617" spans="89:111" ht="11.25" customHeight="1">
      <c r="CK2617" s="1"/>
      <c r="CW2617" s="144"/>
      <c r="DG2617" s="143"/>
    </row>
    <row r="2618" spans="89:111" ht="11.25" customHeight="1">
      <c r="CK2618" s="1"/>
      <c r="CW2618" s="144"/>
      <c r="DG2618" s="143"/>
    </row>
    <row r="2619" spans="89:111" ht="11.25" customHeight="1">
      <c r="CK2619" s="1"/>
      <c r="CW2619" s="144"/>
      <c r="DG2619" s="143"/>
    </row>
    <row r="2620" spans="89:111" ht="11.25" customHeight="1">
      <c r="CK2620" s="1"/>
      <c r="CW2620" s="144"/>
      <c r="DG2620" s="143"/>
    </row>
    <row r="2621" spans="89:111" ht="11.25" customHeight="1">
      <c r="CK2621" s="1"/>
      <c r="CW2621" s="144"/>
      <c r="DG2621" s="143"/>
    </row>
    <row r="2622" spans="89:111" ht="11.25" customHeight="1">
      <c r="CK2622" s="1"/>
      <c r="CW2622" s="144"/>
      <c r="DG2622" s="143"/>
    </row>
    <row r="2623" spans="89:111" ht="11.25" customHeight="1">
      <c r="CK2623" s="1"/>
      <c r="CW2623" s="144"/>
      <c r="DG2623" s="143"/>
    </row>
    <row r="2624" spans="89:111" ht="11.25" customHeight="1">
      <c r="CK2624" s="1"/>
      <c r="CW2624" s="144"/>
      <c r="DG2624" s="143"/>
    </row>
    <row r="2625" spans="89:111" ht="11.25" customHeight="1">
      <c r="CK2625" s="1"/>
      <c r="CW2625" s="144"/>
      <c r="DG2625" s="143"/>
    </row>
    <row r="2626" spans="89:111" ht="11.25" customHeight="1">
      <c r="CK2626" s="1"/>
      <c r="CW2626" s="144"/>
      <c r="DG2626" s="143"/>
    </row>
    <row r="2627" spans="89:111" ht="11.25" customHeight="1">
      <c r="CK2627" s="1"/>
      <c r="CW2627" s="144"/>
      <c r="DG2627" s="143"/>
    </row>
    <row r="2628" spans="89:111" ht="11.25" customHeight="1">
      <c r="CK2628" s="1"/>
      <c r="CW2628" s="144"/>
      <c r="DG2628" s="143"/>
    </row>
    <row r="2629" spans="89:111" ht="11.25" customHeight="1">
      <c r="CK2629" s="1"/>
      <c r="CW2629" s="144"/>
      <c r="DG2629" s="143"/>
    </row>
    <row r="2630" spans="89:111" ht="11.25" customHeight="1">
      <c r="CK2630" s="1"/>
      <c r="CW2630" s="144"/>
      <c r="DG2630" s="143"/>
    </row>
    <row r="2631" spans="89:111" ht="11.25" customHeight="1">
      <c r="CK2631" s="1"/>
      <c r="CW2631" s="144"/>
      <c r="DG2631" s="143"/>
    </row>
    <row r="2632" spans="89:111" ht="11.25" customHeight="1">
      <c r="CK2632" s="1"/>
      <c r="CW2632" s="144"/>
      <c r="DG2632" s="143"/>
    </row>
    <row r="2633" spans="89:111" ht="11.25" customHeight="1">
      <c r="CK2633" s="1"/>
      <c r="CW2633" s="144"/>
      <c r="DG2633" s="143"/>
    </row>
    <row r="2634" spans="89:111" ht="11.25" customHeight="1">
      <c r="CK2634" s="1"/>
      <c r="CW2634" s="144"/>
      <c r="DG2634" s="143"/>
    </row>
    <row r="2635" spans="89:111" ht="11.25" customHeight="1">
      <c r="CK2635" s="1"/>
      <c r="CW2635" s="144"/>
      <c r="DG2635" s="143"/>
    </row>
    <row r="2636" spans="89:111" ht="11.25" customHeight="1">
      <c r="CK2636" s="1"/>
      <c r="CW2636" s="144"/>
      <c r="DG2636" s="143"/>
    </row>
    <row r="2637" spans="89:111" ht="11.25" customHeight="1">
      <c r="CK2637" s="1"/>
      <c r="CW2637" s="144"/>
      <c r="DG2637" s="143"/>
    </row>
    <row r="2638" spans="89:111" ht="11.25" customHeight="1">
      <c r="CK2638" s="1"/>
      <c r="CW2638" s="144"/>
      <c r="DG2638" s="143"/>
    </row>
    <row r="2639" spans="89:111" ht="11.25" customHeight="1">
      <c r="CK2639" s="1"/>
      <c r="CW2639" s="144"/>
      <c r="DG2639" s="143"/>
    </row>
    <row r="2640" spans="89:111" ht="11.25" customHeight="1">
      <c r="CK2640" s="1"/>
      <c r="CW2640" s="144"/>
      <c r="DG2640" s="143"/>
    </row>
    <row r="2641" spans="89:111" ht="11.25" customHeight="1">
      <c r="CK2641" s="1"/>
      <c r="CW2641" s="144"/>
      <c r="DG2641" s="143"/>
    </row>
    <row r="2642" spans="89:111" ht="11.25" customHeight="1">
      <c r="CK2642" s="1"/>
      <c r="CW2642" s="144"/>
      <c r="DG2642" s="143"/>
    </row>
    <row r="2643" spans="89:111" ht="11.25" customHeight="1">
      <c r="CK2643" s="1"/>
      <c r="CW2643" s="144"/>
      <c r="DG2643" s="143"/>
    </row>
    <row r="2644" spans="89:111" ht="11.25" customHeight="1">
      <c r="CK2644" s="1"/>
      <c r="CW2644" s="144"/>
      <c r="DG2644" s="143"/>
    </row>
    <row r="2645" spans="89:111" ht="11.25" customHeight="1">
      <c r="CK2645" s="1"/>
      <c r="CW2645" s="144"/>
      <c r="DG2645" s="143"/>
    </row>
    <row r="2646" spans="89:111" ht="11.25" customHeight="1">
      <c r="CK2646" s="1"/>
      <c r="CW2646" s="144"/>
      <c r="DG2646" s="143"/>
    </row>
    <row r="2647" spans="89:111" ht="11.25" customHeight="1">
      <c r="CK2647" s="1"/>
      <c r="CW2647" s="144"/>
      <c r="DG2647" s="143"/>
    </row>
    <row r="2648" spans="89:111" ht="11.25" customHeight="1">
      <c r="CK2648" s="1"/>
      <c r="CW2648" s="144"/>
      <c r="DG2648" s="143"/>
    </row>
    <row r="2649" spans="89:111" ht="11.25" customHeight="1">
      <c r="CK2649" s="1"/>
      <c r="CW2649" s="144"/>
      <c r="DG2649" s="143"/>
    </row>
    <row r="2650" spans="89:111" ht="11.25" customHeight="1">
      <c r="CK2650" s="1"/>
      <c r="CW2650" s="144"/>
      <c r="DG2650" s="143"/>
    </row>
    <row r="2651" spans="89:111" ht="11.25" customHeight="1">
      <c r="CK2651" s="1"/>
      <c r="CW2651" s="144"/>
      <c r="DG2651" s="143"/>
    </row>
    <row r="2652" spans="89:111" ht="11.25" customHeight="1">
      <c r="CK2652" s="1"/>
      <c r="CW2652" s="144"/>
      <c r="DG2652" s="143"/>
    </row>
    <row r="2653" spans="89:111" ht="11.25" customHeight="1">
      <c r="CK2653" s="1"/>
      <c r="CW2653" s="144"/>
      <c r="DG2653" s="143"/>
    </row>
    <row r="2654" spans="89:111" ht="11.25" customHeight="1">
      <c r="CK2654" s="1"/>
      <c r="CW2654" s="144"/>
      <c r="DG2654" s="143"/>
    </row>
    <row r="2655" spans="89:111" ht="11.25" customHeight="1">
      <c r="CK2655" s="1"/>
      <c r="CW2655" s="144"/>
      <c r="DG2655" s="143"/>
    </row>
    <row r="2656" spans="89:111" ht="11.25" customHeight="1">
      <c r="CK2656" s="1"/>
      <c r="CW2656" s="144"/>
      <c r="DG2656" s="143"/>
    </row>
    <row r="2657" spans="89:111" ht="11.25" customHeight="1">
      <c r="CK2657" s="1"/>
      <c r="CW2657" s="144"/>
      <c r="DG2657" s="143"/>
    </row>
    <row r="2658" spans="89:111" ht="11.25" customHeight="1">
      <c r="CK2658" s="1"/>
      <c r="CW2658" s="144"/>
      <c r="DG2658" s="143"/>
    </row>
    <row r="2659" spans="89:111" ht="11.25" customHeight="1">
      <c r="CK2659" s="1"/>
      <c r="CW2659" s="144"/>
      <c r="DG2659" s="143"/>
    </row>
    <row r="2660" spans="89:111" ht="11.25" customHeight="1">
      <c r="CK2660" s="1"/>
      <c r="CW2660" s="144"/>
      <c r="DG2660" s="143"/>
    </row>
    <row r="2661" spans="89:111" ht="11.25" customHeight="1">
      <c r="CK2661" s="1"/>
      <c r="CW2661" s="144"/>
      <c r="DG2661" s="143"/>
    </row>
    <row r="2662" spans="89:111" ht="11.25" customHeight="1">
      <c r="CK2662" s="1"/>
      <c r="CW2662" s="144"/>
      <c r="DG2662" s="143"/>
    </row>
    <row r="2663" spans="89:111" ht="11.25" customHeight="1">
      <c r="CK2663" s="1"/>
      <c r="CW2663" s="144"/>
      <c r="DG2663" s="143"/>
    </row>
    <row r="2664" spans="89:111" ht="11.25" customHeight="1">
      <c r="CK2664" s="1"/>
      <c r="CW2664" s="144"/>
      <c r="DG2664" s="143"/>
    </row>
    <row r="2665" spans="89:111" ht="11.25" customHeight="1">
      <c r="CK2665" s="1"/>
      <c r="CW2665" s="144"/>
      <c r="DG2665" s="143"/>
    </row>
    <row r="2666" spans="89:111" ht="11.25" customHeight="1">
      <c r="CK2666" s="1"/>
      <c r="CW2666" s="144"/>
      <c r="DG2666" s="143"/>
    </row>
    <row r="2667" spans="89:111" ht="11.25" customHeight="1">
      <c r="CK2667" s="1"/>
      <c r="CW2667" s="144"/>
      <c r="DG2667" s="143"/>
    </row>
    <row r="2668" spans="89:111" ht="11.25" customHeight="1">
      <c r="CK2668" s="1"/>
      <c r="CW2668" s="144"/>
      <c r="DG2668" s="143"/>
    </row>
    <row r="2669" spans="89:111" ht="11.25" customHeight="1">
      <c r="CK2669" s="1"/>
      <c r="CW2669" s="144"/>
      <c r="DG2669" s="143"/>
    </row>
    <row r="2670" spans="89:111" ht="11.25" customHeight="1">
      <c r="CK2670" s="1"/>
      <c r="CW2670" s="144"/>
      <c r="DG2670" s="143"/>
    </row>
    <row r="2671" spans="89:111" ht="11.25" customHeight="1">
      <c r="CK2671" s="1"/>
      <c r="CW2671" s="144"/>
      <c r="DG2671" s="143"/>
    </row>
    <row r="2672" spans="89:111" ht="11.25" customHeight="1">
      <c r="CK2672" s="1"/>
      <c r="CW2672" s="144"/>
      <c r="DG2672" s="143"/>
    </row>
    <row r="2673" spans="89:111" ht="11.25" customHeight="1">
      <c r="CK2673" s="1"/>
      <c r="CW2673" s="144"/>
      <c r="DG2673" s="143"/>
    </row>
    <row r="2674" spans="89:111" ht="11.25" customHeight="1">
      <c r="CK2674" s="1"/>
      <c r="CW2674" s="144"/>
      <c r="DG2674" s="143"/>
    </row>
    <row r="2675" spans="89:111" ht="11.25" customHeight="1">
      <c r="CK2675" s="1"/>
      <c r="CW2675" s="144"/>
      <c r="DG2675" s="143"/>
    </row>
    <row r="2676" spans="89:111" ht="11.25" customHeight="1">
      <c r="CK2676" s="1"/>
      <c r="CW2676" s="144"/>
      <c r="DG2676" s="143"/>
    </row>
    <row r="2677" spans="89:111" ht="11.25" customHeight="1">
      <c r="CK2677" s="1"/>
      <c r="CW2677" s="144"/>
      <c r="DG2677" s="143"/>
    </row>
    <row r="2678" spans="89:111" ht="11.25" customHeight="1">
      <c r="CK2678" s="1"/>
      <c r="CW2678" s="144"/>
      <c r="DG2678" s="143"/>
    </row>
    <row r="2679" spans="89:111" ht="11.25" customHeight="1">
      <c r="CK2679" s="1"/>
      <c r="CW2679" s="144"/>
      <c r="DG2679" s="143"/>
    </row>
    <row r="2680" spans="89:111" ht="11.25" customHeight="1">
      <c r="CK2680" s="1"/>
      <c r="CW2680" s="144"/>
      <c r="DG2680" s="143"/>
    </row>
    <row r="2681" spans="89:111" ht="11.25" customHeight="1">
      <c r="CK2681" s="1"/>
      <c r="CW2681" s="144"/>
      <c r="DG2681" s="143"/>
    </row>
    <row r="2682" spans="89:111" ht="11.25" customHeight="1">
      <c r="CK2682" s="1"/>
      <c r="CW2682" s="144"/>
      <c r="DG2682" s="143"/>
    </row>
    <row r="2683" spans="89:111" ht="11.25" customHeight="1">
      <c r="CK2683" s="1"/>
      <c r="CW2683" s="144"/>
      <c r="DG2683" s="143"/>
    </row>
    <row r="2684" spans="89:111" ht="11.25" customHeight="1">
      <c r="CK2684" s="1"/>
      <c r="CW2684" s="144"/>
      <c r="DG2684" s="143"/>
    </row>
    <row r="2685" spans="89:111" ht="11.25" customHeight="1">
      <c r="CK2685" s="1"/>
      <c r="CW2685" s="144"/>
      <c r="DG2685" s="143"/>
    </row>
    <row r="2686" spans="89:111" ht="11.25" customHeight="1">
      <c r="CK2686" s="1"/>
      <c r="CW2686" s="144"/>
      <c r="DG2686" s="143"/>
    </row>
    <row r="2687" spans="89:111" ht="11.25" customHeight="1">
      <c r="CK2687" s="1"/>
      <c r="CW2687" s="144"/>
      <c r="DG2687" s="143"/>
    </row>
    <row r="2688" spans="89:111" ht="11.25" customHeight="1">
      <c r="CK2688" s="1"/>
      <c r="CW2688" s="144"/>
      <c r="DG2688" s="143"/>
    </row>
    <row r="2689" spans="89:111" ht="11.25" customHeight="1">
      <c r="CK2689" s="1"/>
      <c r="CW2689" s="144"/>
      <c r="DG2689" s="143"/>
    </row>
    <row r="2690" spans="89:111" ht="11.25" customHeight="1">
      <c r="CK2690" s="1"/>
      <c r="CW2690" s="144"/>
      <c r="DG2690" s="143"/>
    </row>
    <row r="2691" spans="89:111" ht="11.25" customHeight="1">
      <c r="CK2691" s="1"/>
      <c r="CW2691" s="144"/>
      <c r="DG2691" s="143"/>
    </row>
    <row r="2692" spans="89:111" ht="11.25" customHeight="1">
      <c r="CK2692" s="1"/>
      <c r="CW2692" s="144"/>
      <c r="DG2692" s="143"/>
    </row>
    <row r="2693" spans="89:111" ht="11.25" customHeight="1">
      <c r="CK2693" s="1"/>
      <c r="CW2693" s="144"/>
      <c r="DG2693" s="143"/>
    </row>
    <row r="2694" spans="89:111" ht="11.25" customHeight="1">
      <c r="CK2694" s="1"/>
      <c r="CW2694" s="144"/>
      <c r="DG2694" s="143"/>
    </row>
    <row r="2695" spans="89:111" ht="11.25" customHeight="1">
      <c r="CK2695" s="1"/>
      <c r="CW2695" s="144"/>
      <c r="DG2695" s="143"/>
    </row>
    <row r="2696" spans="89:111" ht="11.25" customHeight="1">
      <c r="CK2696" s="1"/>
      <c r="CW2696" s="144"/>
      <c r="DG2696" s="143"/>
    </row>
    <row r="2697" spans="89:111" ht="11.25" customHeight="1">
      <c r="CK2697" s="1"/>
      <c r="CW2697" s="144"/>
      <c r="DG2697" s="143"/>
    </row>
    <row r="2698" spans="89:111" ht="11.25" customHeight="1">
      <c r="CK2698" s="1"/>
      <c r="CW2698" s="144"/>
      <c r="DG2698" s="143"/>
    </row>
    <row r="2699" spans="89:111" ht="11.25" customHeight="1">
      <c r="CK2699" s="1"/>
      <c r="CW2699" s="144"/>
      <c r="DG2699" s="143"/>
    </row>
    <row r="2700" spans="89:111" ht="11.25" customHeight="1">
      <c r="CK2700" s="1"/>
      <c r="CW2700" s="144"/>
      <c r="DG2700" s="143"/>
    </row>
    <row r="2701" spans="89:111" ht="11.25" customHeight="1">
      <c r="CK2701" s="1"/>
      <c r="CW2701" s="144"/>
      <c r="DG2701" s="143"/>
    </row>
    <row r="2702" spans="89:111" ht="11.25" customHeight="1">
      <c r="CK2702" s="1"/>
      <c r="CW2702" s="144"/>
      <c r="DG2702" s="143"/>
    </row>
    <row r="2703" spans="89:111" ht="11.25" customHeight="1">
      <c r="CK2703" s="1"/>
      <c r="CW2703" s="144"/>
      <c r="DG2703" s="143"/>
    </row>
    <row r="2704" spans="89:111" ht="11.25" customHeight="1">
      <c r="CK2704" s="1"/>
      <c r="CW2704" s="144"/>
      <c r="DG2704" s="143"/>
    </row>
    <row r="2705" spans="89:111" ht="11.25" customHeight="1">
      <c r="CK2705" s="1"/>
      <c r="CW2705" s="144"/>
      <c r="DG2705" s="143"/>
    </row>
    <row r="2706" spans="89:111" ht="11.25" customHeight="1">
      <c r="CK2706" s="1"/>
      <c r="CW2706" s="144"/>
      <c r="DG2706" s="143"/>
    </row>
    <row r="2707" spans="89:111" ht="11.25" customHeight="1">
      <c r="CK2707" s="1"/>
      <c r="CW2707" s="144"/>
      <c r="DG2707" s="143"/>
    </row>
    <row r="2708" spans="89:111" ht="11.25" customHeight="1">
      <c r="CK2708" s="1"/>
      <c r="CW2708" s="144"/>
      <c r="DG2708" s="143"/>
    </row>
    <row r="2709" spans="89:111" ht="11.25" customHeight="1">
      <c r="CK2709" s="1"/>
      <c r="CW2709" s="144"/>
      <c r="DG2709" s="143"/>
    </row>
    <row r="2710" spans="89:111" ht="11.25" customHeight="1">
      <c r="CK2710" s="1"/>
      <c r="CW2710" s="144"/>
      <c r="DG2710" s="143"/>
    </row>
    <row r="2711" spans="89:111" ht="11.25" customHeight="1">
      <c r="CK2711" s="1"/>
      <c r="CW2711" s="144"/>
      <c r="DG2711" s="143"/>
    </row>
    <row r="2712" spans="89:111" ht="11.25" customHeight="1">
      <c r="CK2712" s="1"/>
      <c r="CW2712" s="144"/>
      <c r="DG2712" s="143"/>
    </row>
    <row r="2713" spans="89:111" ht="11.25" customHeight="1">
      <c r="CK2713" s="1"/>
      <c r="CW2713" s="144"/>
      <c r="DG2713" s="143"/>
    </row>
    <row r="2714" spans="89:111" ht="11.25" customHeight="1">
      <c r="CK2714" s="1"/>
      <c r="CW2714" s="144"/>
      <c r="DG2714" s="143"/>
    </row>
    <row r="2715" spans="89:111" ht="11.25" customHeight="1">
      <c r="CK2715" s="1"/>
      <c r="CW2715" s="144"/>
      <c r="DG2715" s="143"/>
    </row>
    <row r="2716" spans="89:111" ht="11.25" customHeight="1">
      <c r="CK2716" s="1"/>
      <c r="CW2716" s="144"/>
      <c r="DG2716" s="143"/>
    </row>
    <row r="2717" spans="89:111" ht="11.25" customHeight="1">
      <c r="CK2717" s="1"/>
      <c r="CW2717" s="144"/>
      <c r="DG2717" s="143"/>
    </row>
    <row r="2718" spans="89:111" ht="11.25" customHeight="1">
      <c r="CK2718" s="1"/>
      <c r="CW2718" s="144"/>
      <c r="DG2718" s="143"/>
    </row>
    <row r="2719" spans="89:111" ht="11.25" customHeight="1">
      <c r="CK2719" s="1"/>
      <c r="CW2719" s="144"/>
      <c r="DG2719" s="143"/>
    </row>
    <row r="2720" spans="89:111" ht="11.25" customHeight="1">
      <c r="CK2720" s="1"/>
      <c r="CW2720" s="144"/>
      <c r="DG2720" s="143"/>
    </row>
    <row r="2721" spans="89:111" ht="11.25" customHeight="1">
      <c r="CK2721" s="1"/>
      <c r="CW2721" s="144"/>
      <c r="DG2721" s="143"/>
    </row>
    <row r="2722" spans="89:111" ht="11.25" customHeight="1">
      <c r="CK2722" s="1"/>
      <c r="CW2722" s="144"/>
      <c r="DG2722" s="143"/>
    </row>
    <row r="2723" spans="89:111" ht="11.25" customHeight="1">
      <c r="CK2723" s="1"/>
      <c r="CW2723" s="144"/>
      <c r="DG2723" s="143"/>
    </row>
    <row r="2724" spans="89:111" ht="11.25" customHeight="1">
      <c r="CK2724" s="1"/>
      <c r="CW2724" s="144"/>
      <c r="DG2724" s="143"/>
    </row>
    <row r="2725" spans="89:111" ht="11.25" customHeight="1">
      <c r="CK2725" s="1"/>
      <c r="CW2725" s="144"/>
      <c r="DG2725" s="143"/>
    </row>
    <row r="2726" spans="89:111" ht="11.25" customHeight="1">
      <c r="CK2726" s="1"/>
      <c r="CW2726" s="144"/>
      <c r="DG2726" s="143"/>
    </row>
    <row r="2727" spans="89:111" ht="11.25" customHeight="1">
      <c r="CK2727" s="1"/>
      <c r="CW2727" s="144"/>
      <c r="DG2727" s="143"/>
    </row>
    <row r="2728" spans="89:111" ht="11.25" customHeight="1">
      <c r="CK2728" s="1"/>
      <c r="CW2728" s="144"/>
      <c r="DG2728" s="143"/>
    </row>
    <row r="2729" spans="89:111" ht="11.25" customHeight="1">
      <c r="CK2729" s="1"/>
      <c r="CW2729" s="144"/>
      <c r="DG2729" s="143"/>
    </row>
    <row r="2730" spans="89:111" ht="11.25" customHeight="1">
      <c r="CK2730" s="1"/>
      <c r="CW2730" s="144"/>
      <c r="DG2730" s="143"/>
    </row>
    <row r="2731" spans="89:111" ht="11.25" customHeight="1">
      <c r="CK2731" s="1"/>
      <c r="CW2731" s="144"/>
      <c r="DG2731" s="143"/>
    </row>
    <row r="2732" spans="89:111" ht="11.25" customHeight="1">
      <c r="CK2732" s="1"/>
      <c r="CW2732" s="144"/>
      <c r="DG2732" s="143"/>
    </row>
    <row r="2733" spans="89:111" ht="11.25" customHeight="1">
      <c r="CK2733" s="1"/>
      <c r="CW2733" s="144"/>
      <c r="DG2733" s="143"/>
    </row>
    <row r="2734" spans="89:111" ht="11.25" customHeight="1">
      <c r="CK2734" s="1"/>
      <c r="CW2734" s="144"/>
      <c r="DG2734" s="143"/>
    </row>
    <row r="2735" spans="89:111" ht="11.25" customHeight="1">
      <c r="CK2735" s="1"/>
      <c r="CW2735" s="144"/>
      <c r="DG2735" s="143"/>
    </row>
    <row r="2736" spans="89:111" ht="11.25" customHeight="1">
      <c r="CK2736" s="1"/>
      <c r="CW2736" s="144"/>
      <c r="DG2736" s="143"/>
    </row>
    <row r="2737" spans="89:111" ht="11.25" customHeight="1">
      <c r="CK2737" s="1"/>
      <c r="CW2737" s="144"/>
      <c r="DG2737" s="143"/>
    </row>
    <row r="2738" spans="89:111" ht="11.25" customHeight="1">
      <c r="CK2738" s="1"/>
      <c r="CW2738" s="144"/>
      <c r="DG2738" s="143"/>
    </row>
    <row r="2739" spans="89:111" ht="11.25" customHeight="1">
      <c r="CK2739" s="1"/>
      <c r="CW2739" s="144"/>
      <c r="DG2739" s="143"/>
    </row>
    <row r="2740" spans="89:111" ht="11.25" customHeight="1">
      <c r="CK2740" s="1"/>
      <c r="CW2740" s="144"/>
      <c r="DG2740" s="143"/>
    </row>
    <row r="2741" spans="89:111" ht="11.25" customHeight="1">
      <c r="CK2741" s="1"/>
      <c r="CW2741" s="144"/>
      <c r="DG2741" s="143"/>
    </row>
    <row r="2742" spans="89:111" ht="11.25" customHeight="1">
      <c r="CK2742" s="1"/>
      <c r="CW2742" s="144"/>
      <c r="DG2742" s="143"/>
    </row>
    <row r="2743" spans="89:111" ht="11.25" customHeight="1">
      <c r="CK2743" s="1"/>
      <c r="CW2743" s="144"/>
      <c r="DG2743" s="143"/>
    </row>
    <row r="2744" spans="89:111" ht="11.25" customHeight="1">
      <c r="CK2744" s="1"/>
      <c r="CW2744" s="144"/>
      <c r="DG2744" s="143"/>
    </row>
    <row r="2745" spans="89:111" ht="11.25" customHeight="1">
      <c r="CK2745" s="1"/>
      <c r="CW2745" s="144"/>
      <c r="DG2745" s="143"/>
    </row>
    <row r="2746" spans="89:111" ht="11.25" customHeight="1">
      <c r="CK2746" s="1"/>
      <c r="CW2746" s="144"/>
      <c r="DG2746" s="143"/>
    </row>
    <row r="2747" spans="89:111" ht="11.25" customHeight="1">
      <c r="CK2747" s="1"/>
      <c r="CW2747" s="144"/>
      <c r="DG2747" s="143"/>
    </row>
    <row r="2748" spans="89:111" ht="11.25" customHeight="1">
      <c r="CK2748" s="1"/>
      <c r="CW2748" s="144"/>
      <c r="DG2748" s="143"/>
    </row>
    <row r="2749" spans="89:111" ht="11.25" customHeight="1">
      <c r="CK2749" s="1"/>
      <c r="CW2749" s="144"/>
      <c r="DG2749" s="143"/>
    </row>
    <row r="2750" spans="89:111" ht="11.25" customHeight="1">
      <c r="CK2750" s="1"/>
      <c r="CW2750" s="144"/>
      <c r="DG2750" s="143"/>
    </row>
    <row r="2751" spans="89:111" ht="11.25" customHeight="1">
      <c r="CK2751" s="1"/>
      <c r="CW2751" s="144"/>
      <c r="DG2751" s="143"/>
    </row>
    <row r="2752" spans="89:111" ht="11.25" customHeight="1">
      <c r="CK2752" s="1"/>
      <c r="CW2752" s="144"/>
      <c r="DG2752" s="143"/>
    </row>
    <row r="2753" spans="89:111" ht="11.25" customHeight="1">
      <c r="CK2753" s="1"/>
      <c r="CW2753" s="144"/>
      <c r="DG2753" s="143"/>
    </row>
    <row r="2754" spans="89:111" ht="11.25" customHeight="1">
      <c r="CK2754" s="1"/>
      <c r="CW2754" s="144"/>
      <c r="DG2754" s="143"/>
    </row>
    <row r="2755" spans="89:111" ht="11.25" customHeight="1">
      <c r="CK2755" s="1"/>
      <c r="CW2755" s="144"/>
      <c r="DG2755" s="143"/>
    </row>
    <row r="2756" spans="89:111" ht="11.25" customHeight="1">
      <c r="CK2756" s="1"/>
      <c r="CW2756" s="144"/>
      <c r="DG2756" s="143"/>
    </row>
    <row r="2757" spans="89:111" ht="11.25" customHeight="1">
      <c r="CK2757" s="1"/>
      <c r="CW2757" s="144"/>
      <c r="DG2757" s="143"/>
    </row>
    <row r="2758" spans="89:111" ht="11.25" customHeight="1">
      <c r="CK2758" s="1"/>
      <c r="CW2758" s="144"/>
      <c r="DG2758" s="143"/>
    </row>
    <row r="2759" spans="89:111" ht="11.25" customHeight="1">
      <c r="CK2759" s="1"/>
      <c r="CW2759" s="144"/>
      <c r="DG2759" s="143"/>
    </row>
    <row r="2760" spans="89:111" ht="11.25" customHeight="1">
      <c r="CK2760" s="1"/>
      <c r="CW2760" s="144"/>
      <c r="DG2760" s="143"/>
    </row>
    <row r="2761" spans="89:111" ht="11.25" customHeight="1">
      <c r="CK2761" s="1"/>
      <c r="CW2761" s="144"/>
      <c r="DG2761" s="143"/>
    </row>
    <row r="2762" spans="89:111" ht="11.25" customHeight="1">
      <c r="CK2762" s="1"/>
      <c r="CW2762" s="144"/>
      <c r="DG2762" s="143"/>
    </row>
    <row r="2763" spans="89:111" ht="11.25" customHeight="1">
      <c r="CK2763" s="1"/>
      <c r="CW2763" s="144"/>
      <c r="DG2763" s="143"/>
    </row>
    <row r="2764" spans="89:111" ht="11.25" customHeight="1">
      <c r="CK2764" s="1"/>
      <c r="CW2764" s="144"/>
      <c r="DG2764" s="143"/>
    </row>
    <row r="2765" spans="89:111" ht="11.25" customHeight="1">
      <c r="CK2765" s="1"/>
      <c r="CW2765" s="144"/>
      <c r="DG2765" s="143"/>
    </row>
    <row r="2766" spans="89:111" ht="11.25" customHeight="1">
      <c r="CK2766" s="1"/>
      <c r="CW2766" s="144"/>
      <c r="DG2766" s="143"/>
    </row>
    <row r="2767" spans="89:111" ht="11.25" customHeight="1">
      <c r="CK2767" s="1"/>
      <c r="CW2767" s="144"/>
      <c r="DG2767" s="143"/>
    </row>
    <row r="2768" spans="89:111" ht="11.25" customHeight="1">
      <c r="CK2768" s="1"/>
      <c r="CW2768" s="144"/>
      <c r="DG2768" s="143"/>
    </row>
    <row r="2769" spans="89:111" ht="11.25" customHeight="1">
      <c r="CK2769" s="1"/>
      <c r="CW2769" s="144"/>
      <c r="DG2769" s="143"/>
    </row>
    <row r="2770" spans="89:111" ht="11.25" customHeight="1">
      <c r="CK2770" s="1"/>
      <c r="CW2770" s="144"/>
      <c r="DG2770" s="143"/>
    </row>
    <row r="2771" spans="89:111" ht="11.25" customHeight="1">
      <c r="CK2771" s="1"/>
      <c r="CW2771" s="144"/>
      <c r="DG2771" s="143"/>
    </row>
    <row r="2772" spans="89:111" ht="11.25" customHeight="1">
      <c r="CK2772" s="1"/>
      <c r="CW2772" s="144"/>
      <c r="DG2772" s="143"/>
    </row>
    <row r="2773" spans="89:111" ht="11.25" customHeight="1">
      <c r="CK2773" s="1"/>
      <c r="CW2773" s="144"/>
      <c r="DG2773" s="143"/>
    </row>
    <row r="2774" spans="89:111" ht="11.25" customHeight="1">
      <c r="CK2774" s="1"/>
      <c r="CW2774" s="144"/>
      <c r="DG2774" s="143"/>
    </row>
    <row r="2775" spans="89:111" ht="11.25" customHeight="1">
      <c r="CK2775" s="1"/>
      <c r="CW2775" s="144"/>
      <c r="DG2775" s="143"/>
    </row>
    <row r="2776" spans="89:111" ht="11.25" customHeight="1">
      <c r="CK2776" s="1"/>
      <c r="CW2776" s="144"/>
      <c r="DG2776" s="143"/>
    </row>
    <row r="2777" spans="89:111" ht="11.25" customHeight="1">
      <c r="CK2777" s="1"/>
      <c r="CW2777" s="144"/>
      <c r="DG2777" s="143"/>
    </row>
    <row r="2778" spans="89:111" ht="11.25" customHeight="1">
      <c r="CK2778" s="1"/>
      <c r="CW2778" s="144"/>
      <c r="DG2778" s="143"/>
    </row>
    <row r="2779" spans="89:111" ht="11.25" customHeight="1">
      <c r="CK2779" s="1"/>
      <c r="CW2779" s="144"/>
      <c r="DG2779" s="143"/>
    </row>
    <row r="2780" spans="89:111" ht="11.25" customHeight="1">
      <c r="CK2780" s="1"/>
      <c r="CW2780" s="144"/>
      <c r="DG2780" s="143"/>
    </row>
    <row r="2781" spans="89:111" ht="11.25" customHeight="1">
      <c r="CK2781" s="1"/>
      <c r="CW2781" s="144"/>
      <c r="DG2781" s="143"/>
    </row>
    <row r="2782" spans="89:111" ht="11.25" customHeight="1">
      <c r="CK2782" s="1"/>
      <c r="CW2782" s="144"/>
      <c r="DG2782" s="143"/>
    </row>
    <row r="2783" spans="89:111" ht="11.25" customHeight="1">
      <c r="CK2783" s="1"/>
      <c r="CW2783" s="144"/>
      <c r="DG2783" s="143"/>
    </row>
    <row r="2784" spans="89:111" ht="11.25" customHeight="1">
      <c r="CK2784" s="1"/>
      <c r="CW2784" s="144"/>
      <c r="DG2784" s="143"/>
    </row>
    <row r="2785" spans="89:111" ht="11.25" customHeight="1">
      <c r="CK2785" s="1"/>
      <c r="CW2785" s="144"/>
      <c r="DG2785" s="143"/>
    </row>
    <row r="2786" spans="89:111" ht="11.25" customHeight="1">
      <c r="CK2786" s="1"/>
      <c r="CW2786" s="144"/>
      <c r="DG2786" s="143"/>
    </row>
    <row r="2787" spans="89:111" ht="11.25" customHeight="1">
      <c r="CK2787" s="1"/>
      <c r="CW2787" s="144"/>
      <c r="DG2787" s="143"/>
    </row>
    <row r="2788" spans="89:111" ht="11.25" customHeight="1">
      <c r="CK2788" s="1"/>
      <c r="CW2788" s="144"/>
      <c r="DG2788" s="143"/>
    </row>
    <row r="2789" spans="89:111" ht="11.25" customHeight="1">
      <c r="CK2789" s="1"/>
      <c r="CW2789" s="144"/>
      <c r="DG2789" s="143"/>
    </row>
    <row r="2790" spans="89:111" ht="11.25" customHeight="1">
      <c r="CK2790" s="1"/>
      <c r="CW2790" s="144"/>
      <c r="DG2790" s="143"/>
    </row>
    <row r="2791" spans="89:111" ht="11.25" customHeight="1">
      <c r="CK2791" s="1"/>
      <c r="CW2791" s="144"/>
      <c r="DG2791" s="143"/>
    </row>
    <row r="2792" spans="89:111" ht="11.25" customHeight="1">
      <c r="CK2792" s="1"/>
      <c r="CW2792" s="144"/>
      <c r="DG2792" s="143"/>
    </row>
    <row r="2793" spans="89:111" ht="11.25" customHeight="1">
      <c r="CK2793" s="1"/>
      <c r="CW2793" s="144"/>
      <c r="DG2793" s="143"/>
    </row>
    <row r="2794" spans="89:111" ht="11.25" customHeight="1">
      <c r="CK2794" s="1"/>
      <c r="CW2794" s="144"/>
      <c r="DG2794" s="143"/>
    </row>
    <row r="2795" spans="89:111" ht="11.25" customHeight="1">
      <c r="CK2795" s="1"/>
      <c r="CW2795" s="144"/>
      <c r="DG2795" s="143"/>
    </row>
    <row r="2796" spans="89:111" ht="11.25" customHeight="1">
      <c r="CK2796" s="1"/>
      <c r="CW2796" s="144"/>
      <c r="DG2796" s="143"/>
    </row>
    <row r="2797" spans="89:111" ht="11.25" customHeight="1">
      <c r="CK2797" s="1"/>
      <c r="CW2797" s="144"/>
      <c r="DG2797" s="143"/>
    </row>
    <row r="2798" spans="89:111" ht="11.25" customHeight="1">
      <c r="CK2798" s="1"/>
      <c r="CW2798" s="144"/>
      <c r="DG2798" s="143"/>
    </row>
    <row r="2799" spans="89:111" ht="11.25" customHeight="1">
      <c r="CK2799" s="1"/>
      <c r="CW2799" s="144"/>
      <c r="DG2799" s="143"/>
    </row>
    <row r="2800" spans="89:111" ht="11.25" customHeight="1">
      <c r="CK2800" s="1"/>
      <c r="CW2800" s="144"/>
      <c r="DG2800" s="143"/>
    </row>
    <row r="2801" spans="89:111" ht="11.25" customHeight="1">
      <c r="CK2801" s="1"/>
      <c r="CW2801" s="144"/>
      <c r="DG2801" s="143"/>
    </row>
    <row r="2802" spans="89:111" ht="11.25" customHeight="1">
      <c r="CK2802" s="1"/>
      <c r="CW2802" s="144"/>
      <c r="DG2802" s="143"/>
    </row>
    <row r="2803" spans="89:111" ht="11.25" customHeight="1">
      <c r="CK2803" s="1"/>
      <c r="CW2803" s="144"/>
      <c r="DG2803" s="143"/>
    </row>
    <row r="2804" spans="89:111" ht="11.25" customHeight="1">
      <c r="CK2804" s="1"/>
      <c r="CW2804" s="144"/>
      <c r="DG2804" s="143"/>
    </row>
    <row r="2805" spans="89:111" ht="11.25" customHeight="1">
      <c r="CK2805" s="1"/>
      <c r="CW2805" s="144"/>
      <c r="DG2805" s="143"/>
    </row>
    <row r="2806" spans="89:111" ht="11.25" customHeight="1">
      <c r="CK2806" s="1"/>
      <c r="CW2806" s="144"/>
      <c r="DG2806" s="143"/>
    </row>
    <row r="2807" spans="89:111" ht="11.25" customHeight="1">
      <c r="CK2807" s="1"/>
      <c r="CW2807" s="144"/>
      <c r="DG2807" s="143"/>
    </row>
    <row r="2808" spans="89:111" ht="11.25" customHeight="1">
      <c r="CK2808" s="1"/>
      <c r="CW2808" s="144"/>
      <c r="DG2808" s="143"/>
    </row>
    <row r="2809" spans="89:111" ht="11.25" customHeight="1">
      <c r="CK2809" s="1"/>
      <c r="CW2809" s="144"/>
      <c r="DG2809" s="143"/>
    </row>
    <row r="2810" spans="89:111" ht="11.25" customHeight="1">
      <c r="CK2810" s="1"/>
      <c r="CW2810" s="144"/>
      <c r="DG2810" s="143"/>
    </row>
    <row r="2811" spans="89:111" ht="11.25" customHeight="1">
      <c r="CK2811" s="1"/>
      <c r="CW2811" s="144"/>
      <c r="DG2811" s="143"/>
    </row>
    <row r="2812" spans="89:111" ht="11.25" customHeight="1">
      <c r="CK2812" s="1"/>
      <c r="CW2812" s="144"/>
      <c r="DG2812" s="143"/>
    </row>
    <row r="2813" spans="89:111" ht="11.25" customHeight="1">
      <c r="CK2813" s="1"/>
      <c r="CW2813" s="144"/>
      <c r="DG2813" s="143"/>
    </row>
    <row r="2814" spans="89:111" ht="11.25" customHeight="1">
      <c r="CK2814" s="1"/>
      <c r="CW2814" s="144"/>
      <c r="DG2814" s="143"/>
    </row>
    <row r="2815" spans="89:111" ht="11.25" customHeight="1">
      <c r="CK2815" s="1"/>
      <c r="CW2815" s="144"/>
      <c r="DG2815" s="143"/>
    </row>
    <row r="2816" spans="89:111" ht="11.25" customHeight="1">
      <c r="CK2816" s="1"/>
      <c r="CW2816" s="144"/>
      <c r="DG2816" s="143"/>
    </row>
    <row r="2817" spans="89:111" ht="11.25" customHeight="1">
      <c r="CK2817" s="1"/>
      <c r="CW2817" s="144"/>
      <c r="DG2817" s="143"/>
    </row>
    <row r="2818" spans="89:111" ht="11.25" customHeight="1">
      <c r="CK2818" s="1"/>
      <c r="CW2818" s="144"/>
      <c r="DG2818" s="143"/>
    </row>
    <row r="2819" spans="89:111" ht="11.25" customHeight="1">
      <c r="CK2819" s="1"/>
      <c r="CW2819" s="144"/>
      <c r="DG2819" s="143"/>
    </row>
    <row r="2820" spans="89:111" ht="11.25" customHeight="1">
      <c r="CK2820" s="1"/>
      <c r="CW2820" s="144"/>
      <c r="DG2820" s="143"/>
    </row>
    <row r="2821" spans="89:111" ht="11.25" customHeight="1">
      <c r="CK2821" s="1"/>
      <c r="CW2821" s="144"/>
      <c r="DG2821" s="143"/>
    </row>
    <row r="2822" spans="89:111" ht="11.25" customHeight="1">
      <c r="CK2822" s="1"/>
      <c r="CW2822" s="144"/>
      <c r="DG2822" s="143"/>
    </row>
    <row r="2823" spans="89:111" ht="11.25" customHeight="1">
      <c r="CK2823" s="1"/>
      <c r="CW2823" s="144"/>
      <c r="DG2823" s="143"/>
    </row>
    <row r="2824" spans="89:111" ht="11.25" customHeight="1">
      <c r="CK2824" s="1"/>
      <c r="CW2824" s="144"/>
      <c r="DG2824" s="143"/>
    </row>
    <row r="2825" spans="89:111" ht="11.25" customHeight="1">
      <c r="CK2825" s="1"/>
      <c r="CW2825" s="144"/>
      <c r="DG2825" s="143"/>
    </row>
    <row r="2826" spans="89:111" ht="11.25" customHeight="1">
      <c r="CK2826" s="1"/>
      <c r="CW2826" s="144"/>
      <c r="DG2826" s="143"/>
    </row>
    <row r="2827" spans="89:111" ht="11.25" customHeight="1">
      <c r="CK2827" s="1"/>
      <c r="CW2827" s="144"/>
      <c r="DG2827" s="143"/>
    </row>
    <row r="2828" spans="89:111" ht="11.25" customHeight="1">
      <c r="CK2828" s="1"/>
      <c r="CW2828" s="144"/>
      <c r="DG2828" s="143"/>
    </row>
    <row r="2829" spans="89:111" ht="11.25" customHeight="1">
      <c r="CK2829" s="1"/>
      <c r="CW2829" s="144"/>
      <c r="DG2829" s="143"/>
    </row>
    <row r="2830" spans="89:111" ht="11.25" customHeight="1">
      <c r="CK2830" s="1"/>
      <c r="CW2830" s="144"/>
      <c r="DG2830" s="143"/>
    </row>
    <row r="2831" spans="89:111" ht="11.25" customHeight="1">
      <c r="CK2831" s="1"/>
      <c r="CW2831" s="144"/>
      <c r="DG2831" s="143"/>
    </row>
    <row r="2832" spans="89:111" ht="11.25" customHeight="1">
      <c r="CK2832" s="1"/>
      <c r="CW2832" s="144"/>
      <c r="DG2832" s="143"/>
    </row>
    <row r="2833" spans="89:111" ht="11.25" customHeight="1">
      <c r="CK2833" s="1"/>
      <c r="CW2833" s="144"/>
      <c r="DG2833" s="143"/>
    </row>
    <row r="2834" spans="89:111" ht="11.25" customHeight="1">
      <c r="CK2834" s="1"/>
      <c r="CW2834" s="144"/>
      <c r="DG2834" s="143"/>
    </row>
    <row r="2835" spans="89:111" ht="11.25" customHeight="1">
      <c r="CK2835" s="1"/>
      <c r="CW2835" s="144"/>
      <c r="DG2835" s="143"/>
    </row>
    <row r="2836" spans="89:111" ht="11.25" customHeight="1">
      <c r="CK2836" s="1"/>
      <c r="CW2836" s="144"/>
      <c r="DG2836" s="143"/>
    </row>
    <row r="2837" spans="89:111" ht="11.25" customHeight="1">
      <c r="CK2837" s="1"/>
      <c r="CW2837" s="144"/>
      <c r="DG2837" s="143"/>
    </row>
    <row r="2838" spans="89:111" ht="11.25" customHeight="1">
      <c r="CK2838" s="1"/>
      <c r="CW2838" s="144"/>
      <c r="DG2838" s="143"/>
    </row>
    <row r="2839" spans="89:111" ht="11.25" customHeight="1">
      <c r="CK2839" s="1"/>
      <c r="CW2839" s="144"/>
      <c r="DG2839" s="143"/>
    </row>
    <row r="2840" spans="89:111" ht="11.25" customHeight="1">
      <c r="CK2840" s="1"/>
      <c r="CW2840" s="144"/>
      <c r="DG2840" s="143"/>
    </row>
    <row r="2841" spans="89:111" ht="11.25" customHeight="1">
      <c r="CK2841" s="1"/>
      <c r="CW2841" s="144"/>
      <c r="DG2841" s="143"/>
    </row>
    <row r="2842" spans="89:111" ht="11.25" customHeight="1">
      <c r="CK2842" s="1"/>
      <c r="CW2842" s="144"/>
      <c r="DG2842" s="143"/>
    </row>
    <row r="2843" spans="89:111" ht="11.25" customHeight="1">
      <c r="CK2843" s="1"/>
      <c r="CW2843" s="144"/>
      <c r="DG2843" s="143"/>
    </row>
    <row r="2844" spans="89:111" ht="11.25" customHeight="1">
      <c r="CK2844" s="1"/>
      <c r="CW2844" s="144"/>
      <c r="DG2844" s="143"/>
    </row>
    <row r="2845" spans="89:111" ht="11.25" customHeight="1">
      <c r="CK2845" s="1"/>
      <c r="CW2845" s="144"/>
      <c r="DG2845" s="143"/>
    </row>
    <row r="2846" spans="89:111" ht="11.25" customHeight="1">
      <c r="CK2846" s="1"/>
      <c r="CW2846" s="144"/>
      <c r="DG2846" s="143"/>
    </row>
    <row r="2847" spans="89:111" ht="11.25" customHeight="1">
      <c r="CK2847" s="1"/>
      <c r="CW2847" s="144"/>
      <c r="DG2847" s="143"/>
    </row>
    <row r="2848" spans="89:111" ht="11.25" customHeight="1">
      <c r="CK2848" s="1"/>
      <c r="CW2848" s="144"/>
      <c r="DG2848" s="143"/>
    </row>
    <row r="2849" spans="89:111" ht="11.25" customHeight="1">
      <c r="CK2849" s="1"/>
      <c r="CW2849" s="144"/>
      <c r="DG2849" s="143"/>
    </row>
    <row r="2850" spans="89:111" ht="11.25" customHeight="1">
      <c r="CK2850" s="1"/>
      <c r="CW2850" s="144"/>
      <c r="DG2850" s="143"/>
    </row>
    <row r="2851" spans="89:111" ht="11.25" customHeight="1">
      <c r="CK2851" s="1"/>
      <c r="CW2851" s="144"/>
      <c r="DG2851" s="143"/>
    </row>
    <row r="2852" spans="89:111" ht="11.25" customHeight="1">
      <c r="CK2852" s="1"/>
      <c r="CW2852" s="144"/>
      <c r="DG2852" s="143"/>
    </row>
    <row r="2853" spans="89:111" ht="11.25" customHeight="1">
      <c r="CK2853" s="1"/>
      <c r="CW2853" s="144"/>
      <c r="DG2853" s="143"/>
    </row>
    <row r="2854" spans="89:111" ht="11.25" customHeight="1">
      <c r="CK2854" s="1"/>
      <c r="CW2854" s="144"/>
      <c r="DG2854" s="143"/>
    </row>
    <row r="2855" spans="89:111" ht="11.25" customHeight="1">
      <c r="CK2855" s="1"/>
      <c r="CW2855" s="144"/>
      <c r="DG2855" s="143"/>
    </row>
    <row r="2856" spans="89:111" ht="11.25" customHeight="1">
      <c r="CK2856" s="1"/>
      <c r="CW2856" s="144"/>
      <c r="DG2856" s="143"/>
    </row>
    <row r="2857" spans="89:111" ht="11.25" customHeight="1">
      <c r="CK2857" s="1"/>
      <c r="CW2857" s="144"/>
      <c r="DG2857" s="143"/>
    </row>
    <row r="2858" spans="89:111" ht="11.25" customHeight="1">
      <c r="CK2858" s="1"/>
      <c r="CW2858" s="144"/>
      <c r="DG2858" s="143"/>
    </row>
    <row r="2859" spans="89:111" ht="11.25" customHeight="1">
      <c r="CK2859" s="1"/>
      <c r="CW2859" s="144"/>
      <c r="DG2859" s="143"/>
    </row>
    <row r="2860" spans="89:111" ht="11.25" customHeight="1">
      <c r="CK2860" s="1"/>
      <c r="CW2860" s="144"/>
      <c r="DG2860" s="143"/>
    </row>
    <row r="2861" spans="89:111" ht="11.25" customHeight="1">
      <c r="CK2861" s="1"/>
      <c r="CW2861" s="144"/>
      <c r="DG2861" s="143"/>
    </row>
    <row r="2862" spans="89:111" ht="11.25" customHeight="1">
      <c r="CK2862" s="1"/>
      <c r="CW2862" s="144"/>
      <c r="DG2862" s="143"/>
    </row>
    <row r="2863" spans="89:111" ht="11.25" customHeight="1">
      <c r="CK2863" s="1"/>
      <c r="CW2863" s="144"/>
      <c r="DG2863" s="143"/>
    </row>
    <row r="2864" spans="89:111" ht="11.25" customHeight="1">
      <c r="CK2864" s="1"/>
      <c r="CW2864" s="144"/>
      <c r="DG2864" s="143"/>
    </row>
    <row r="2865" spans="89:111" ht="11.25" customHeight="1">
      <c r="CK2865" s="1"/>
      <c r="CW2865" s="144"/>
      <c r="DG2865" s="143"/>
    </row>
    <row r="2866" spans="89:111" ht="11.25" customHeight="1">
      <c r="CK2866" s="1"/>
      <c r="CW2866" s="144"/>
      <c r="DG2866" s="143"/>
    </row>
    <row r="2867" spans="89:111" ht="11.25" customHeight="1">
      <c r="CK2867" s="1"/>
      <c r="CW2867" s="144"/>
      <c r="DG2867" s="143"/>
    </row>
    <row r="2868" spans="89:111" ht="11.25" customHeight="1">
      <c r="CK2868" s="1"/>
      <c r="CW2868" s="144"/>
      <c r="DG2868" s="143"/>
    </row>
    <row r="2869" spans="89:111" ht="11.25" customHeight="1">
      <c r="CK2869" s="1"/>
      <c r="CW2869" s="144"/>
      <c r="DG2869" s="143"/>
    </row>
    <row r="2870" spans="89:111" ht="11.25" customHeight="1">
      <c r="CK2870" s="1"/>
      <c r="CW2870" s="144"/>
      <c r="DG2870" s="143"/>
    </row>
    <row r="2871" spans="89:111" ht="11.25" customHeight="1">
      <c r="CK2871" s="1"/>
      <c r="CW2871" s="144"/>
      <c r="DG2871" s="143"/>
    </row>
    <row r="2872" spans="89:111" ht="11.25" customHeight="1">
      <c r="CK2872" s="1"/>
      <c r="CW2872" s="144"/>
      <c r="DG2872" s="143"/>
    </row>
    <row r="2873" spans="89:111" ht="11.25" customHeight="1">
      <c r="CK2873" s="1"/>
      <c r="CW2873" s="144"/>
      <c r="DG2873" s="143"/>
    </row>
    <row r="2874" spans="89:111" ht="11.25" customHeight="1">
      <c r="CK2874" s="1"/>
      <c r="CW2874" s="144"/>
      <c r="DG2874" s="143"/>
    </row>
    <row r="2875" spans="89:111" ht="11.25" customHeight="1">
      <c r="CK2875" s="1"/>
      <c r="CW2875" s="144"/>
      <c r="DG2875" s="143"/>
    </row>
    <row r="2876" spans="89:111" ht="11.25" customHeight="1">
      <c r="CK2876" s="1"/>
      <c r="CW2876" s="144"/>
      <c r="DG2876" s="143"/>
    </row>
    <row r="2877" spans="89:111" ht="11.25" customHeight="1">
      <c r="CK2877" s="1"/>
      <c r="CW2877" s="144"/>
      <c r="DG2877" s="143"/>
    </row>
    <row r="2878" spans="89:111" ht="11.25" customHeight="1">
      <c r="CK2878" s="1"/>
      <c r="CW2878" s="144"/>
      <c r="DG2878" s="143"/>
    </row>
    <row r="2879" spans="89:111" ht="11.25" customHeight="1">
      <c r="CK2879" s="1"/>
      <c r="CW2879" s="144"/>
      <c r="DG2879" s="143"/>
    </row>
    <row r="2880" spans="89:111" ht="11.25" customHeight="1">
      <c r="CK2880" s="1"/>
      <c r="CW2880" s="144"/>
      <c r="DG2880" s="143"/>
    </row>
    <row r="2881" spans="89:111" ht="11.25" customHeight="1">
      <c r="CK2881" s="1"/>
      <c r="CW2881" s="144"/>
      <c r="DG2881" s="143"/>
    </row>
    <row r="2882" spans="89:111" ht="11.25" customHeight="1">
      <c r="CK2882" s="1"/>
      <c r="CW2882" s="144"/>
      <c r="DG2882" s="143"/>
    </row>
    <row r="2883" spans="89:111" ht="11.25" customHeight="1">
      <c r="CK2883" s="1"/>
      <c r="CW2883" s="144"/>
      <c r="DG2883" s="143"/>
    </row>
    <row r="2884" spans="89:111" ht="11.25" customHeight="1">
      <c r="CK2884" s="1"/>
      <c r="CW2884" s="144"/>
      <c r="DG2884" s="143"/>
    </row>
    <row r="2885" spans="89:111" ht="11.25" customHeight="1">
      <c r="CK2885" s="1"/>
      <c r="CW2885" s="144"/>
      <c r="DG2885" s="143"/>
    </row>
    <row r="2886" spans="89:111" ht="11.25" customHeight="1">
      <c r="CK2886" s="1"/>
      <c r="CW2886" s="144"/>
      <c r="DG2886" s="143"/>
    </row>
    <row r="2887" spans="89:111" ht="11.25" customHeight="1">
      <c r="CK2887" s="1"/>
      <c r="CW2887" s="144"/>
      <c r="DG2887" s="143"/>
    </row>
    <row r="2888" spans="89:111" ht="11.25" customHeight="1">
      <c r="CK2888" s="1"/>
      <c r="CW2888" s="144"/>
      <c r="DG2888" s="143"/>
    </row>
    <row r="2889" spans="89:111" ht="11.25" customHeight="1">
      <c r="CK2889" s="1"/>
      <c r="CW2889" s="144"/>
      <c r="DG2889" s="143"/>
    </row>
    <row r="2890" spans="89:111" ht="11.25" customHeight="1">
      <c r="CK2890" s="1"/>
      <c r="CW2890" s="144"/>
      <c r="DG2890" s="143"/>
    </row>
    <row r="2891" spans="89:111" ht="11.25" customHeight="1">
      <c r="CK2891" s="1"/>
      <c r="CW2891" s="144"/>
      <c r="DG2891" s="143"/>
    </row>
    <row r="2892" spans="89:111" ht="11.25" customHeight="1">
      <c r="CK2892" s="1"/>
      <c r="CW2892" s="144"/>
      <c r="DG2892" s="143"/>
    </row>
    <row r="2893" spans="89:111" ht="11.25" customHeight="1">
      <c r="CK2893" s="1"/>
      <c r="CW2893" s="144"/>
      <c r="DG2893" s="143"/>
    </row>
    <row r="2894" spans="89:111" ht="11.25" customHeight="1">
      <c r="CK2894" s="1"/>
      <c r="CW2894" s="144"/>
      <c r="DG2894" s="143"/>
    </row>
    <row r="2895" spans="89:111" ht="11.25" customHeight="1">
      <c r="CK2895" s="1"/>
      <c r="CW2895" s="144"/>
      <c r="DG2895" s="143"/>
    </row>
    <row r="2896" spans="89:111" ht="11.25" customHeight="1">
      <c r="CK2896" s="1"/>
      <c r="CW2896" s="144"/>
      <c r="DG2896" s="143"/>
    </row>
    <row r="2897" spans="89:111" ht="11.25" customHeight="1">
      <c r="CK2897" s="1"/>
      <c r="CW2897" s="144"/>
      <c r="DG2897" s="143"/>
    </row>
    <row r="2898" spans="89:111" ht="11.25" customHeight="1">
      <c r="CK2898" s="1"/>
      <c r="CW2898" s="144"/>
      <c r="DG2898" s="143"/>
    </row>
    <row r="2899" spans="89:111" ht="11.25" customHeight="1">
      <c r="CK2899" s="1"/>
      <c r="CW2899" s="144"/>
      <c r="DG2899" s="143"/>
    </row>
    <row r="2900" spans="89:111" ht="11.25" customHeight="1">
      <c r="CK2900" s="1"/>
      <c r="CW2900" s="144"/>
      <c r="DG2900" s="143"/>
    </row>
    <row r="2901" spans="89:111" ht="11.25" customHeight="1">
      <c r="CK2901" s="1"/>
      <c r="CW2901" s="144"/>
      <c r="DG2901" s="143"/>
    </row>
    <row r="2902" spans="89:111" ht="11.25" customHeight="1">
      <c r="CK2902" s="1"/>
      <c r="CW2902" s="144"/>
      <c r="DG2902" s="143"/>
    </row>
    <row r="2903" spans="89:111" ht="11.25" customHeight="1">
      <c r="CK2903" s="1"/>
      <c r="CW2903" s="144"/>
      <c r="DG2903" s="143"/>
    </row>
    <row r="2904" spans="89:111" ht="11.25" customHeight="1">
      <c r="CK2904" s="1"/>
      <c r="CW2904" s="144"/>
      <c r="DG2904" s="143"/>
    </row>
    <row r="2905" spans="89:111" ht="11.25" customHeight="1">
      <c r="CK2905" s="1"/>
      <c r="CW2905" s="144"/>
      <c r="DG2905" s="143"/>
    </row>
    <row r="2906" spans="89:111" ht="11.25" customHeight="1">
      <c r="CK2906" s="1"/>
      <c r="CW2906" s="144"/>
      <c r="DG2906" s="143"/>
    </row>
    <row r="2907" spans="89:111" ht="11.25" customHeight="1">
      <c r="CK2907" s="1"/>
      <c r="CW2907" s="144"/>
      <c r="DG2907" s="143"/>
    </row>
    <row r="2908" spans="89:111" ht="11.25" customHeight="1">
      <c r="CK2908" s="1"/>
      <c r="CW2908" s="144"/>
      <c r="DG2908" s="143"/>
    </row>
    <row r="2909" spans="89:111" ht="11.25" customHeight="1">
      <c r="CK2909" s="1"/>
      <c r="CW2909" s="144"/>
      <c r="DG2909" s="143"/>
    </row>
    <row r="2910" spans="89:111" ht="11.25" customHeight="1">
      <c r="CK2910" s="1"/>
      <c r="CW2910" s="144"/>
      <c r="DG2910" s="143"/>
    </row>
    <row r="2911" spans="89:111" ht="11.25" customHeight="1">
      <c r="CK2911" s="1"/>
      <c r="CW2911" s="144"/>
      <c r="DG2911" s="143"/>
    </row>
    <row r="2912" spans="89:111" ht="11.25" customHeight="1">
      <c r="CK2912" s="1"/>
      <c r="CW2912" s="144"/>
      <c r="DG2912" s="143"/>
    </row>
    <row r="2913" spans="89:111" ht="11.25" customHeight="1">
      <c r="CK2913" s="1"/>
      <c r="CW2913" s="144"/>
      <c r="DG2913" s="143"/>
    </row>
    <row r="2914" spans="89:111" ht="11.25" customHeight="1">
      <c r="CK2914" s="1"/>
      <c r="CW2914" s="144"/>
      <c r="DG2914" s="143"/>
    </row>
    <row r="2915" spans="89:111" ht="11.25" customHeight="1">
      <c r="CK2915" s="1"/>
      <c r="CW2915" s="144"/>
      <c r="DG2915" s="143"/>
    </row>
    <row r="2916" spans="89:111" ht="11.25" customHeight="1">
      <c r="CK2916" s="1"/>
      <c r="CW2916" s="144"/>
      <c r="DG2916" s="143"/>
    </row>
    <row r="2917" spans="89:111" ht="11.25" customHeight="1">
      <c r="CK2917" s="1"/>
      <c r="CW2917" s="144"/>
      <c r="DG2917" s="143"/>
    </row>
    <row r="2918" spans="89:111" ht="11.25" customHeight="1">
      <c r="CK2918" s="1"/>
      <c r="CW2918" s="144"/>
      <c r="DG2918" s="143"/>
    </row>
    <row r="2919" spans="89:111" ht="11.25" customHeight="1">
      <c r="CK2919" s="1"/>
      <c r="CW2919" s="144"/>
      <c r="DG2919" s="143"/>
    </row>
    <row r="2920" spans="89:111" ht="11.25" customHeight="1">
      <c r="CK2920" s="1"/>
      <c r="CW2920" s="144"/>
      <c r="DG2920" s="143"/>
    </row>
    <row r="2921" spans="89:111" ht="11.25" customHeight="1">
      <c r="CK2921" s="1"/>
      <c r="CW2921" s="144"/>
      <c r="DG2921" s="143"/>
    </row>
    <row r="2922" spans="89:111" ht="11.25" customHeight="1">
      <c r="CK2922" s="1"/>
      <c r="CW2922" s="144"/>
      <c r="DG2922" s="143"/>
    </row>
    <row r="2923" spans="89:111" ht="11.25" customHeight="1">
      <c r="CK2923" s="1"/>
      <c r="CW2923" s="144"/>
      <c r="DG2923" s="143"/>
    </row>
    <row r="2924" spans="89:111" ht="11.25" customHeight="1">
      <c r="CK2924" s="1"/>
      <c r="CW2924" s="144"/>
      <c r="DG2924" s="143"/>
    </row>
    <row r="2925" spans="89:111" ht="11.25" customHeight="1">
      <c r="CK2925" s="1"/>
      <c r="CW2925" s="144"/>
      <c r="DG2925" s="143"/>
    </row>
    <row r="2926" spans="89:111" ht="11.25" customHeight="1">
      <c r="CK2926" s="1"/>
      <c r="CW2926" s="144"/>
      <c r="DG2926" s="143"/>
    </row>
    <row r="2927" spans="89:111" ht="11.25" customHeight="1">
      <c r="CK2927" s="1"/>
      <c r="CW2927" s="144"/>
      <c r="DG2927" s="143"/>
    </row>
    <row r="2928" spans="89:111" ht="11.25" customHeight="1">
      <c r="CK2928" s="1"/>
      <c r="CW2928" s="144"/>
      <c r="DG2928" s="143"/>
    </row>
    <row r="2929" spans="89:111" ht="11.25" customHeight="1">
      <c r="CK2929" s="1"/>
      <c r="CW2929" s="144"/>
      <c r="DG2929" s="143"/>
    </row>
    <row r="2930" spans="89:111" ht="11.25" customHeight="1">
      <c r="CK2930" s="1"/>
      <c r="CW2930" s="144"/>
      <c r="DG2930" s="143"/>
    </row>
    <row r="2931" spans="89:111" ht="11.25" customHeight="1">
      <c r="CK2931" s="1"/>
      <c r="CW2931" s="144"/>
      <c r="DG2931" s="143"/>
    </row>
    <row r="2932" spans="89:111" ht="11.25" customHeight="1">
      <c r="CK2932" s="1"/>
      <c r="CW2932" s="144"/>
      <c r="DG2932" s="143"/>
    </row>
    <row r="2933" spans="89:111" ht="11.25" customHeight="1">
      <c r="CK2933" s="1"/>
      <c r="CW2933" s="144"/>
      <c r="DG2933" s="143"/>
    </row>
    <row r="2934" spans="89:111" ht="11.25" customHeight="1">
      <c r="CK2934" s="1"/>
      <c r="CW2934" s="144"/>
      <c r="DG2934" s="143"/>
    </row>
    <row r="2935" spans="89:111" ht="11.25" customHeight="1">
      <c r="CK2935" s="1"/>
      <c r="CW2935" s="144"/>
      <c r="DG2935" s="143"/>
    </row>
    <row r="2936" spans="89:111" ht="11.25" customHeight="1">
      <c r="CK2936" s="1"/>
      <c r="CW2936" s="144"/>
      <c r="DG2936" s="143"/>
    </row>
    <row r="2937" spans="89:111" ht="11.25" customHeight="1">
      <c r="CK2937" s="1"/>
      <c r="CW2937" s="144"/>
      <c r="DG2937" s="143"/>
    </row>
    <row r="2938" spans="89:111" ht="11.25" customHeight="1">
      <c r="CK2938" s="1"/>
      <c r="CW2938" s="144"/>
      <c r="DG2938" s="143"/>
    </row>
    <row r="2939" spans="89:111" ht="11.25" customHeight="1">
      <c r="CK2939" s="1"/>
      <c r="CW2939" s="144"/>
      <c r="DG2939" s="143"/>
    </row>
    <row r="2940" spans="89:111" ht="11.25" customHeight="1">
      <c r="CK2940" s="1"/>
      <c r="CW2940" s="144"/>
      <c r="DG2940" s="143"/>
    </row>
    <row r="2941" spans="89:111" ht="11.25" customHeight="1">
      <c r="CK2941" s="1"/>
      <c r="CW2941" s="144"/>
      <c r="DG2941" s="143"/>
    </row>
    <row r="2942" spans="89:111" ht="11.25" customHeight="1">
      <c r="CK2942" s="1"/>
      <c r="CW2942" s="144"/>
      <c r="DG2942" s="143"/>
    </row>
    <row r="2943" spans="89:111" ht="11.25" customHeight="1">
      <c r="CK2943" s="1"/>
      <c r="CW2943" s="144"/>
      <c r="DG2943" s="143"/>
    </row>
    <row r="2944" spans="89:111" ht="11.25" customHeight="1">
      <c r="CK2944" s="1"/>
      <c r="CW2944" s="144"/>
      <c r="DG2944" s="143"/>
    </row>
    <row r="2945" spans="89:111" ht="11.25" customHeight="1">
      <c r="CK2945" s="1"/>
      <c r="CW2945" s="144"/>
      <c r="DG2945" s="143"/>
    </row>
    <row r="2946" spans="89:111" ht="11.25" customHeight="1">
      <c r="CK2946" s="1"/>
      <c r="CW2946" s="144"/>
      <c r="DG2946" s="143"/>
    </row>
    <row r="2947" spans="89:111" ht="11.25" customHeight="1">
      <c r="CK2947" s="1"/>
      <c r="CW2947" s="144"/>
      <c r="DG2947" s="143"/>
    </row>
    <row r="2948" spans="89:111" ht="11.25" customHeight="1">
      <c r="CK2948" s="1"/>
      <c r="CW2948" s="144"/>
      <c r="DG2948" s="143"/>
    </row>
    <row r="2949" spans="89:111" ht="11.25" customHeight="1">
      <c r="CK2949" s="1"/>
      <c r="CW2949" s="144"/>
      <c r="DG2949" s="143"/>
    </row>
    <row r="2950" spans="89:111" ht="11.25" customHeight="1">
      <c r="CK2950" s="1"/>
      <c r="CW2950" s="144"/>
      <c r="DG2950" s="143"/>
    </row>
    <row r="2951" spans="89:111" ht="11.25" customHeight="1">
      <c r="CK2951" s="1"/>
      <c r="CW2951" s="144"/>
      <c r="DG2951" s="143"/>
    </row>
    <row r="2952" spans="89:111" ht="11.25" customHeight="1">
      <c r="CK2952" s="1"/>
      <c r="CW2952" s="144"/>
      <c r="DG2952" s="143"/>
    </row>
    <row r="2953" spans="89:111" ht="11.25" customHeight="1">
      <c r="CK2953" s="1"/>
      <c r="CW2953" s="144"/>
      <c r="DG2953" s="143"/>
    </row>
    <row r="2954" spans="89:111" ht="11.25" customHeight="1">
      <c r="CK2954" s="1"/>
      <c r="CW2954" s="144"/>
      <c r="DG2954" s="143"/>
    </row>
    <row r="2955" spans="89:111" ht="11.25" customHeight="1">
      <c r="CK2955" s="1"/>
      <c r="CW2955" s="144"/>
      <c r="DG2955" s="143"/>
    </row>
    <row r="2956" spans="89:111" ht="11.25" customHeight="1">
      <c r="CK2956" s="1"/>
      <c r="CW2956" s="144"/>
      <c r="DG2956" s="143"/>
    </row>
    <row r="2957" spans="89:111" ht="11.25" customHeight="1">
      <c r="CK2957" s="1"/>
      <c r="CW2957" s="144"/>
      <c r="DG2957" s="143"/>
    </row>
    <row r="2958" spans="89:111" ht="11.25" customHeight="1">
      <c r="CK2958" s="1"/>
      <c r="CW2958" s="144"/>
      <c r="DG2958" s="143"/>
    </row>
    <row r="2959" spans="89:111" ht="11.25" customHeight="1">
      <c r="CK2959" s="1"/>
      <c r="CW2959" s="144"/>
      <c r="DG2959" s="143"/>
    </row>
    <row r="2960" spans="89:111" ht="11.25" customHeight="1">
      <c r="CK2960" s="1"/>
      <c r="CW2960" s="144"/>
      <c r="DG2960" s="143"/>
    </row>
    <row r="2961" spans="89:111" ht="11.25" customHeight="1">
      <c r="CK2961" s="1"/>
      <c r="CW2961" s="144"/>
      <c r="DG2961" s="143"/>
    </row>
    <row r="2962" spans="89:111" ht="11.25" customHeight="1">
      <c r="CK2962" s="1"/>
      <c r="CW2962" s="144"/>
      <c r="DG2962" s="143"/>
    </row>
    <row r="2963" spans="89:111" ht="11.25" customHeight="1">
      <c r="CK2963" s="1"/>
      <c r="CW2963" s="144"/>
      <c r="DG2963" s="143"/>
    </row>
    <row r="2964" spans="89:111" ht="11.25" customHeight="1">
      <c r="CK2964" s="1"/>
      <c r="CW2964" s="144"/>
      <c r="DG2964" s="143"/>
    </row>
    <row r="2965" spans="89:111" ht="11.25" customHeight="1">
      <c r="CK2965" s="1"/>
      <c r="CW2965" s="144"/>
      <c r="DG2965" s="143"/>
    </row>
    <row r="2966" spans="89:111" ht="11.25" customHeight="1">
      <c r="CK2966" s="1"/>
      <c r="CW2966" s="144"/>
      <c r="DG2966" s="143"/>
    </row>
    <row r="2967" spans="89:111" ht="11.25" customHeight="1">
      <c r="CK2967" s="1"/>
      <c r="CW2967" s="144"/>
      <c r="DG2967" s="143"/>
    </row>
    <row r="2968" spans="89:111" ht="11.25" customHeight="1">
      <c r="CK2968" s="1"/>
      <c r="CW2968" s="144"/>
      <c r="DG2968" s="143"/>
    </row>
    <row r="2969" spans="89:111" ht="11.25" customHeight="1">
      <c r="CK2969" s="1"/>
      <c r="CW2969" s="144"/>
      <c r="DG2969" s="143"/>
    </row>
    <row r="2970" spans="89:111" ht="11.25" customHeight="1">
      <c r="CK2970" s="1"/>
      <c r="CW2970" s="144"/>
      <c r="DG2970" s="143"/>
    </row>
    <row r="2971" spans="89:111" ht="11.25" customHeight="1">
      <c r="CK2971" s="1"/>
      <c r="CW2971" s="144"/>
      <c r="DG2971" s="143"/>
    </row>
    <row r="2972" spans="89:111" ht="11.25" customHeight="1">
      <c r="CK2972" s="1"/>
      <c r="CW2972" s="144"/>
      <c r="DG2972" s="143"/>
    </row>
    <row r="2973" spans="89:111" ht="11.25" customHeight="1">
      <c r="CK2973" s="1"/>
      <c r="CW2973" s="144"/>
      <c r="DG2973" s="143"/>
    </row>
    <row r="2974" spans="89:111" ht="11.25" customHeight="1">
      <c r="CK2974" s="1"/>
      <c r="CW2974" s="144"/>
      <c r="DG2974" s="143"/>
    </row>
    <row r="2975" spans="89:111" ht="11.25" customHeight="1">
      <c r="CK2975" s="1"/>
      <c r="CW2975" s="144"/>
      <c r="DG2975" s="143"/>
    </row>
    <row r="2976" spans="89:111" ht="11.25" customHeight="1">
      <c r="CK2976" s="1"/>
      <c r="CW2976" s="144"/>
      <c r="DG2976" s="143"/>
    </row>
    <row r="2977" spans="89:111" ht="11.25" customHeight="1">
      <c r="CK2977" s="1"/>
      <c r="CW2977" s="144"/>
      <c r="DG2977" s="143"/>
    </row>
    <row r="2978" spans="89:111" ht="11.25" customHeight="1">
      <c r="CK2978" s="1"/>
      <c r="CW2978" s="144"/>
      <c r="DG2978" s="143"/>
    </row>
    <row r="2979" spans="89:111" ht="11.25" customHeight="1">
      <c r="CK2979" s="1"/>
      <c r="CW2979" s="144"/>
      <c r="DG2979" s="143"/>
    </row>
    <row r="2980" spans="89:111" ht="11.25" customHeight="1">
      <c r="CK2980" s="1"/>
      <c r="CW2980" s="144"/>
      <c r="DG2980" s="143"/>
    </row>
    <row r="2981" spans="89:111" ht="11.25" customHeight="1">
      <c r="CK2981" s="1"/>
      <c r="CW2981" s="144"/>
      <c r="DG2981" s="143"/>
    </row>
    <row r="2982" spans="89:111" ht="11.25" customHeight="1">
      <c r="CK2982" s="1"/>
      <c r="CW2982" s="144"/>
      <c r="DG2982" s="143"/>
    </row>
    <row r="2983" spans="89:111" ht="11.25" customHeight="1">
      <c r="CK2983" s="1"/>
      <c r="CW2983" s="144"/>
      <c r="DG2983" s="143"/>
    </row>
    <row r="2984" spans="89:111" ht="11.25" customHeight="1">
      <c r="CK2984" s="1"/>
      <c r="CW2984" s="144"/>
      <c r="DG2984" s="143"/>
    </row>
    <row r="2985" spans="89:111" ht="11.25" customHeight="1">
      <c r="CK2985" s="1"/>
      <c r="CW2985" s="144"/>
      <c r="DG2985" s="143"/>
    </row>
    <row r="2986" spans="89:111" ht="11.25" customHeight="1">
      <c r="CK2986" s="1"/>
      <c r="CW2986" s="144"/>
      <c r="DG2986" s="143"/>
    </row>
    <row r="2987" spans="89:111" ht="11.25" customHeight="1">
      <c r="CK2987" s="1"/>
      <c r="CW2987" s="144"/>
      <c r="DG2987" s="143"/>
    </row>
    <row r="2988" spans="89:111" ht="11.25" customHeight="1">
      <c r="CK2988" s="1"/>
      <c r="CW2988" s="144"/>
      <c r="DG2988" s="143"/>
    </row>
    <row r="2989" spans="89:111" ht="11.25" customHeight="1">
      <c r="CK2989" s="1"/>
      <c r="CW2989" s="144"/>
      <c r="DG2989" s="143"/>
    </row>
    <row r="2990" spans="89:111" ht="11.25" customHeight="1">
      <c r="CK2990" s="1"/>
      <c r="CW2990" s="144"/>
      <c r="DG2990" s="143"/>
    </row>
    <row r="2991" spans="89:111" ht="11.25" customHeight="1">
      <c r="CK2991" s="1"/>
      <c r="CW2991" s="144"/>
      <c r="DG2991" s="143"/>
    </row>
    <row r="2992" spans="89:111" ht="11.25" customHeight="1">
      <c r="CK2992" s="1"/>
      <c r="CW2992" s="144"/>
      <c r="DG2992" s="143"/>
    </row>
    <row r="2993" spans="89:111" ht="11.25" customHeight="1">
      <c r="CK2993" s="1"/>
      <c r="CW2993" s="144"/>
      <c r="DG2993" s="143"/>
    </row>
    <row r="2994" spans="89:111" ht="11.25" customHeight="1">
      <c r="CK2994" s="1"/>
      <c r="CW2994" s="144"/>
      <c r="DG2994" s="143"/>
    </row>
    <row r="2995" spans="89:111" ht="11.25" customHeight="1">
      <c r="CK2995" s="1"/>
      <c r="CW2995" s="144"/>
      <c r="DG2995" s="143"/>
    </row>
    <row r="2996" spans="89:111" ht="11.25" customHeight="1">
      <c r="CK2996" s="1"/>
      <c r="CW2996" s="144"/>
      <c r="DG2996" s="143"/>
    </row>
    <row r="2997" spans="89:111" ht="11.25" customHeight="1">
      <c r="CK2997" s="1"/>
      <c r="CW2997" s="144"/>
      <c r="DG2997" s="143"/>
    </row>
    <row r="2998" spans="89:111" ht="11.25" customHeight="1">
      <c r="CK2998" s="1"/>
      <c r="CW2998" s="144"/>
      <c r="DG2998" s="143"/>
    </row>
    <row r="2999" spans="89:111" ht="11.25" customHeight="1">
      <c r="CK2999" s="1"/>
      <c r="CW2999" s="144"/>
      <c r="DG2999" s="143"/>
    </row>
    <row r="3000" spans="89:111" ht="11.25" customHeight="1">
      <c r="CK3000" s="1"/>
      <c r="CW3000" s="144"/>
      <c r="DG3000" s="143"/>
    </row>
    <row r="3001" spans="89:111" ht="11.25" customHeight="1">
      <c r="CK3001" s="1"/>
      <c r="CW3001" s="144"/>
      <c r="DG3001" s="143"/>
    </row>
    <row r="3002" spans="89:111" ht="11.25" customHeight="1">
      <c r="CK3002" s="1"/>
      <c r="CW3002" s="144"/>
      <c r="DG3002" s="143"/>
    </row>
    <row r="3003" spans="89:111" ht="11.25" customHeight="1">
      <c r="CK3003" s="1"/>
      <c r="CW3003" s="144"/>
      <c r="DG3003" s="143"/>
    </row>
    <row r="3004" spans="89:111" ht="11.25" customHeight="1">
      <c r="CK3004" s="1"/>
      <c r="CW3004" s="144"/>
      <c r="DG3004" s="143"/>
    </row>
    <row r="3005" spans="89:111" ht="11.25" customHeight="1">
      <c r="CK3005" s="1"/>
      <c r="CW3005" s="144"/>
      <c r="DG3005" s="143"/>
    </row>
    <row r="3006" spans="89:111" ht="11.25" customHeight="1">
      <c r="CK3006" s="1"/>
      <c r="CW3006" s="144"/>
      <c r="DG3006" s="143"/>
    </row>
    <row r="3007" spans="89:111" ht="11.25" customHeight="1">
      <c r="CK3007" s="1"/>
      <c r="CW3007" s="144"/>
      <c r="DG3007" s="143"/>
    </row>
    <row r="3008" spans="89:111" ht="11.25" customHeight="1">
      <c r="CK3008" s="1"/>
      <c r="CW3008" s="144"/>
      <c r="DG3008" s="143"/>
    </row>
    <row r="3009" spans="89:111" ht="11.25" customHeight="1">
      <c r="CK3009" s="1"/>
      <c r="CW3009" s="144"/>
      <c r="DG3009" s="143"/>
    </row>
    <row r="3010" spans="89:111" ht="11.25" customHeight="1">
      <c r="CK3010" s="1"/>
      <c r="CW3010" s="144"/>
      <c r="DG3010" s="143"/>
    </row>
    <row r="3011" spans="89:111" ht="11.25" customHeight="1">
      <c r="CK3011" s="1"/>
      <c r="CW3011" s="144"/>
      <c r="DG3011" s="143"/>
    </row>
    <row r="3012" spans="89:111" ht="11.25" customHeight="1">
      <c r="CK3012" s="1"/>
      <c r="CW3012" s="144"/>
      <c r="DG3012" s="143"/>
    </row>
    <row r="3013" spans="89:111" ht="11.25" customHeight="1">
      <c r="CK3013" s="1"/>
      <c r="CW3013" s="144"/>
      <c r="DG3013" s="143"/>
    </row>
    <row r="3014" spans="89:111" ht="11.25" customHeight="1">
      <c r="CK3014" s="1"/>
      <c r="CW3014" s="144"/>
      <c r="DG3014" s="143"/>
    </row>
    <row r="3015" spans="89:111" ht="11.25" customHeight="1">
      <c r="CK3015" s="1"/>
      <c r="CW3015" s="144"/>
      <c r="DG3015" s="143"/>
    </row>
    <row r="3016" spans="89:111" ht="11.25" customHeight="1">
      <c r="CK3016" s="1"/>
      <c r="CW3016" s="144"/>
      <c r="DG3016" s="143"/>
    </row>
    <row r="3017" spans="89:111" ht="11.25" customHeight="1">
      <c r="CK3017" s="1"/>
      <c r="CW3017" s="144"/>
      <c r="DG3017" s="143"/>
    </row>
    <row r="3018" spans="89:111" ht="11.25" customHeight="1">
      <c r="CK3018" s="1"/>
      <c r="CW3018" s="144"/>
      <c r="DG3018" s="143"/>
    </row>
    <row r="3019" spans="89:111" ht="11.25" customHeight="1">
      <c r="CK3019" s="1"/>
      <c r="CW3019" s="144"/>
      <c r="DG3019" s="143"/>
    </row>
    <row r="3020" spans="89:111" ht="11.25" customHeight="1">
      <c r="CK3020" s="1"/>
      <c r="CW3020" s="144"/>
      <c r="DG3020" s="143"/>
    </row>
    <row r="3021" spans="89:111" ht="11.25" customHeight="1">
      <c r="CK3021" s="1"/>
      <c r="CW3021" s="144"/>
      <c r="DG3021" s="143"/>
    </row>
    <row r="3022" spans="89:111" ht="11.25" customHeight="1">
      <c r="CK3022" s="1"/>
      <c r="CW3022" s="144"/>
      <c r="DG3022" s="143"/>
    </row>
    <row r="3023" spans="89:111" ht="11.25" customHeight="1">
      <c r="CK3023" s="1"/>
      <c r="CW3023" s="144"/>
      <c r="DG3023" s="143"/>
    </row>
    <row r="3024" spans="89:111" ht="11.25" customHeight="1">
      <c r="CK3024" s="1"/>
      <c r="CW3024" s="144"/>
      <c r="DG3024" s="143"/>
    </row>
    <row r="3025" spans="89:111" ht="11.25" customHeight="1">
      <c r="CK3025" s="1"/>
      <c r="CW3025" s="144"/>
      <c r="DG3025" s="143"/>
    </row>
    <row r="3026" spans="89:111" ht="11.25" customHeight="1">
      <c r="CK3026" s="1"/>
      <c r="CW3026" s="144"/>
      <c r="DG3026" s="143"/>
    </row>
    <row r="3027" spans="89:111" ht="11.25" customHeight="1">
      <c r="CK3027" s="1"/>
      <c r="CW3027" s="144"/>
      <c r="DG3027" s="143"/>
    </row>
    <row r="3028" spans="89:111" ht="11.25" customHeight="1">
      <c r="CK3028" s="1"/>
      <c r="CW3028" s="144"/>
      <c r="DG3028" s="143"/>
    </row>
    <row r="3029" spans="89:111" ht="11.25" customHeight="1">
      <c r="CK3029" s="1"/>
      <c r="CW3029" s="144"/>
      <c r="DG3029" s="143"/>
    </row>
    <row r="3030" spans="89:111" ht="11.25" customHeight="1">
      <c r="CK3030" s="1"/>
      <c r="CW3030" s="144"/>
      <c r="DG3030" s="143"/>
    </row>
    <row r="3031" spans="89:111" ht="11.25" customHeight="1">
      <c r="CK3031" s="1"/>
      <c r="CW3031" s="144"/>
      <c r="DG3031" s="143"/>
    </row>
    <row r="3032" spans="89:111" ht="11.25" customHeight="1">
      <c r="CK3032" s="1"/>
      <c r="CW3032" s="144"/>
      <c r="DG3032" s="143"/>
    </row>
    <row r="3033" spans="89:111" ht="11.25" customHeight="1">
      <c r="CK3033" s="1"/>
      <c r="CW3033" s="144"/>
      <c r="DG3033" s="143"/>
    </row>
    <row r="3034" spans="89:111" ht="11.25" customHeight="1">
      <c r="CK3034" s="1"/>
      <c r="CW3034" s="144"/>
      <c r="DG3034" s="143"/>
    </row>
    <row r="3035" spans="89:111" ht="11.25" customHeight="1">
      <c r="CK3035" s="1"/>
      <c r="CW3035" s="144"/>
      <c r="DG3035" s="143"/>
    </row>
    <row r="3036" spans="89:111" ht="11.25" customHeight="1">
      <c r="CK3036" s="1"/>
      <c r="CW3036" s="144"/>
      <c r="DG3036" s="143"/>
    </row>
    <row r="3037" spans="89:111" ht="11.25" customHeight="1">
      <c r="CK3037" s="1"/>
      <c r="CW3037" s="144"/>
      <c r="DG3037" s="143"/>
    </row>
    <row r="3038" spans="89:111" ht="11.25" customHeight="1">
      <c r="CK3038" s="1"/>
      <c r="CW3038" s="144"/>
      <c r="DG3038" s="143"/>
    </row>
    <row r="3039" spans="89:111" ht="11.25" customHeight="1">
      <c r="CK3039" s="1"/>
      <c r="CW3039" s="144"/>
      <c r="DG3039" s="143"/>
    </row>
    <row r="3040" spans="89:111" ht="11.25" customHeight="1">
      <c r="CK3040" s="1"/>
      <c r="CW3040" s="144"/>
      <c r="DG3040" s="143"/>
    </row>
    <row r="3041" spans="89:111" ht="11.25" customHeight="1">
      <c r="CK3041" s="1"/>
      <c r="CW3041" s="144"/>
      <c r="DG3041" s="143"/>
    </row>
    <row r="3042" spans="89:111" ht="11.25" customHeight="1">
      <c r="CK3042" s="1"/>
      <c r="CW3042" s="144"/>
      <c r="DG3042" s="143"/>
    </row>
    <row r="3043" spans="89:111" ht="11.25" customHeight="1">
      <c r="CK3043" s="1"/>
      <c r="CW3043" s="144"/>
      <c r="DG3043" s="143"/>
    </row>
    <row r="3044" spans="89:111" ht="11.25" customHeight="1">
      <c r="CK3044" s="1"/>
      <c r="CW3044" s="144"/>
      <c r="DG3044" s="143"/>
    </row>
    <row r="3045" spans="89:111" ht="11.25" customHeight="1">
      <c r="CK3045" s="1"/>
      <c r="CW3045" s="144"/>
      <c r="DG3045" s="143"/>
    </row>
    <row r="3046" spans="89:111" ht="11.25" customHeight="1">
      <c r="CK3046" s="1"/>
      <c r="CW3046" s="144"/>
      <c r="DG3046" s="143"/>
    </row>
    <row r="3047" spans="89:111" ht="11.25" customHeight="1">
      <c r="CK3047" s="1"/>
      <c r="CW3047" s="144"/>
      <c r="DG3047" s="143"/>
    </row>
    <row r="3048" spans="89:111" ht="11.25" customHeight="1">
      <c r="CK3048" s="1"/>
      <c r="CW3048" s="144"/>
      <c r="DG3048" s="143"/>
    </row>
    <row r="3049" spans="89:111" ht="11.25" customHeight="1">
      <c r="CK3049" s="1"/>
      <c r="CW3049" s="144"/>
      <c r="DG3049" s="143"/>
    </row>
    <row r="3050" spans="89:111" ht="11.25" customHeight="1">
      <c r="CK3050" s="1"/>
      <c r="CW3050" s="144"/>
      <c r="DG3050" s="143"/>
    </row>
    <row r="3051" spans="89:111" ht="11.25" customHeight="1">
      <c r="CK3051" s="1"/>
      <c r="CW3051" s="144"/>
      <c r="DG3051" s="143"/>
    </row>
    <row r="3052" spans="89:111" ht="11.25" customHeight="1">
      <c r="CK3052" s="1"/>
      <c r="CW3052" s="144"/>
      <c r="DG3052" s="143"/>
    </row>
    <row r="3053" spans="89:111" ht="11.25" customHeight="1">
      <c r="CK3053" s="1"/>
      <c r="CW3053" s="144"/>
      <c r="DG3053" s="143"/>
    </row>
    <row r="3054" spans="89:111" ht="11.25" customHeight="1">
      <c r="CK3054" s="1"/>
      <c r="CW3054" s="144"/>
      <c r="DG3054" s="143"/>
    </row>
    <row r="3055" spans="89:111" ht="11.25" customHeight="1">
      <c r="CK3055" s="1"/>
      <c r="CW3055" s="144"/>
      <c r="DG3055" s="143"/>
    </row>
    <row r="3056" spans="89:111" ht="11.25" customHeight="1">
      <c r="CK3056" s="1"/>
      <c r="CW3056" s="144"/>
      <c r="DG3056" s="143"/>
    </row>
    <row r="3057" spans="89:111" ht="11.25" customHeight="1">
      <c r="CK3057" s="1"/>
      <c r="CW3057" s="144"/>
      <c r="DG3057" s="143"/>
    </row>
    <row r="3058" spans="89:111" ht="11.25" customHeight="1">
      <c r="CK3058" s="1"/>
      <c r="CW3058" s="144"/>
      <c r="DG3058" s="143"/>
    </row>
    <row r="3059" spans="89:111" ht="11.25" customHeight="1">
      <c r="CK3059" s="1"/>
      <c r="CW3059" s="144"/>
      <c r="DG3059" s="143"/>
    </row>
    <row r="3060" spans="89:111" ht="11.25" customHeight="1">
      <c r="CK3060" s="1"/>
      <c r="CW3060" s="144"/>
      <c r="DG3060" s="143"/>
    </row>
    <row r="3061" spans="89:111" ht="11.25" customHeight="1">
      <c r="CK3061" s="1"/>
      <c r="CW3061" s="144"/>
      <c r="DG3061" s="143"/>
    </row>
    <row r="3062" spans="89:111" ht="11.25" customHeight="1">
      <c r="CK3062" s="1"/>
      <c r="CW3062" s="144"/>
      <c r="DG3062" s="143"/>
    </row>
    <row r="3063" spans="89:111" ht="11.25" customHeight="1">
      <c r="CK3063" s="1"/>
      <c r="CW3063" s="144"/>
      <c r="DG3063" s="143"/>
    </row>
    <row r="3064" spans="89:111" ht="11.25" customHeight="1">
      <c r="CK3064" s="1"/>
      <c r="CW3064" s="144"/>
      <c r="DG3064" s="143"/>
    </row>
    <row r="3065" spans="89:111" ht="11.25" customHeight="1">
      <c r="CK3065" s="1"/>
      <c r="CW3065" s="144"/>
      <c r="DG3065" s="143"/>
    </row>
    <row r="3066" spans="89:111" ht="11.25" customHeight="1">
      <c r="CK3066" s="1"/>
      <c r="CW3066" s="144"/>
      <c r="DG3066" s="143"/>
    </row>
    <row r="3067" spans="89:111" ht="11.25" customHeight="1">
      <c r="CK3067" s="1"/>
      <c r="CW3067" s="144"/>
      <c r="DG3067" s="143"/>
    </row>
    <row r="3068" spans="89:111" ht="11.25" customHeight="1">
      <c r="CK3068" s="1"/>
      <c r="CW3068" s="144"/>
      <c r="DG3068" s="143"/>
    </row>
    <row r="3069" spans="89:111" ht="11.25" customHeight="1">
      <c r="CK3069" s="1"/>
      <c r="CW3069" s="144"/>
      <c r="DG3069" s="143"/>
    </row>
    <row r="3070" spans="89:111" ht="11.25" customHeight="1">
      <c r="CK3070" s="1"/>
      <c r="CW3070" s="144"/>
      <c r="DG3070" s="143"/>
    </row>
    <row r="3071" spans="89:111" ht="11.25" customHeight="1">
      <c r="CK3071" s="1"/>
      <c r="CW3071" s="144"/>
      <c r="DG3071" s="143"/>
    </row>
    <row r="3072" spans="89:111" ht="11.25" customHeight="1">
      <c r="CK3072" s="1"/>
      <c r="CW3072" s="144"/>
      <c r="DG3072" s="143"/>
    </row>
    <row r="3073" spans="89:111" ht="11.25" customHeight="1">
      <c r="CK3073" s="1"/>
      <c r="CW3073" s="144"/>
      <c r="DG3073" s="143"/>
    </row>
    <row r="3074" spans="89:111" ht="11.25" customHeight="1">
      <c r="CK3074" s="1"/>
      <c r="CW3074" s="144"/>
      <c r="DG3074" s="143"/>
    </row>
    <row r="3075" spans="89:111" ht="11.25" customHeight="1">
      <c r="CK3075" s="1"/>
      <c r="CW3075" s="144"/>
      <c r="DG3075" s="143"/>
    </row>
    <row r="3076" spans="89:111" ht="11.25" customHeight="1">
      <c r="CK3076" s="1"/>
      <c r="CW3076" s="144"/>
      <c r="DG3076" s="143"/>
    </row>
    <row r="3077" spans="89:111" ht="11.25" customHeight="1">
      <c r="CK3077" s="1"/>
      <c r="CW3077" s="144"/>
      <c r="DG3077" s="143"/>
    </row>
    <row r="3078" spans="89:111" ht="11.25" customHeight="1">
      <c r="CK3078" s="1"/>
      <c r="CW3078" s="144"/>
      <c r="DG3078" s="143"/>
    </row>
    <row r="3079" spans="89:111" ht="11.25" customHeight="1">
      <c r="CK3079" s="1"/>
      <c r="CW3079" s="144"/>
      <c r="DG3079" s="143"/>
    </row>
    <row r="3080" spans="89:111" ht="11.25" customHeight="1">
      <c r="CK3080" s="1"/>
      <c r="CW3080" s="144"/>
      <c r="DG3080" s="143"/>
    </row>
    <row r="3081" spans="89:111" ht="11.25" customHeight="1">
      <c r="CK3081" s="1"/>
      <c r="CW3081" s="144"/>
      <c r="DG3081" s="143"/>
    </row>
    <row r="3082" spans="89:111" ht="11.25" customHeight="1">
      <c r="CK3082" s="1"/>
      <c r="CW3082" s="144"/>
      <c r="DG3082" s="143"/>
    </row>
    <row r="3083" spans="89:111" ht="11.25" customHeight="1">
      <c r="CK3083" s="1"/>
      <c r="CW3083" s="144"/>
      <c r="DG3083" s="143"/>
    </row>
    <row r="3084" spans="89:111" ht="11.25" customHeight="1">
      <c r="CK3084" s="1"/>
      <c r="CW3084" s="144"/>
      <c r="DG3084" s="143"/>
    </row>
    <row r="3085" spans="89:111" ht="11.25" customHeight="1">
      <c r="CK3085" s="1"/>
      <c r="CW3085" s="144"/>
      <c r="DG3085" s="143"/>
    </row>
    <row r="3086" spans="89:111" ht="11.25" customHeight="1">
      <c r="CK3086" s="1"/>
      <c r="CW3086" s="144"/>
      <c r="DG3086" s="143"/>
    </row>
    <row r="3087" spans="89:111" ht="11.25" customHeight="1">
      <c r="CK3087" s="1"/>
      <c r="CW3087" s="144"/>
      <c r="DG3087" s="143"/>
    </row>
    <row r="3088" spans="89:111" ht="11.25" customHeight="1">
      <c r="CK3088" s="1"/>
      <c r="CW3088" s="144"/>
      <c r="DG3088" s="143"/>
    </row>
    <row r="3089" spans="89:111" ht="11.25" customHeight="1">
      <c r="CK3089" s="1"/>
      <c r="CW3089" s="144"/>
      <c r="DG3089" s="143"/>
    </row>
    <row r="3090" spans="89:111" ht="11.25" customHeight="1">
      <c r="CK3090" s="1"/>
      <c r="CW3090" s="144"/>
      <c r="DG3090" s="143"/>
    </row>
    <row r="3091" spans="89:111" ht="11.25" customHeight="1">
      <c r="CK3091" s="1"/>
      <c r="CW3091" s="144"/>
      <c r="DG3091" s="143"/>
    </row>
    <row r="3092" spans="89:111" ht="11.25" customHeight="1">
      <c r="CK3092" s="1"/>
      <c r="CW3092" s="144"/>
      <c r="DG3092" s="143"/>
    </row>
    <row r="3093" spans="89:111" ht="11.25" customHeight="1">
      <c r="CK3093" s="1"/>
      <c r="CW3093" s="144"/>
      <c r="DG3093" s="143"/>
    </row>
    <row r="3094" spans="89:111" ht="11.25" customHeight="1">
      <c r="CK3094" s="1"/>
      <c r="CW3094" s="144"/>
      <c r="DG3094" s="143"/>
    </row>
    <row r="3095" spans="89:111" ht="11.25" customHeight="1">
      <c r="CK3095" s="1"/>
      <c r="CW3095" s="144"/>
      <c r="DG3095" s="143"/>
    </row>
    <row r="3096" spans="89:111" ht="11.25" customHeight="1">
      <c r="CK3096" s="1"/>
      <c r="CW3096" s="144"/>
      <c r="DG3096" s="143"/>
    </row>
    <row r="3097" spans="89:111" ht="11.25" customHeight="1">
      <c r="CK3097" s="1"/>
      <c r="CW3097" s="144"/>
      <c r="DG3097" s="143"/>
    </row>
    <row r="3098" spans="89:111" ht="11.25" customHeight="1">
      <c r="CK3098" s="1"/>
      <c r="CW3098" s="144"/>
      <c r="DG3098" s="143"/>
    </row>
    <row r="3099" spans="89:111" ht="11.25" customHeight="1">
      <c r="CK3099" s="1"/>
      <c r="CW3099" s="144"/>
      <c r="DG3099" s="143"/>
    </row>
    <row r="3100" spans="89:111" ht="11.25" customHeight="1">
      <c r="CK3100" s="1"/>
      <c r="CW3100" s="144"/>
      <c r="DG3100" s="143"/>
    </row>
    <row r="3101" spans="89:111" ht="11.25" customHeight="1">
      <c r="CK3101" s="1"/>
      <c r="CW3101" s="144"/>
      <c r="DG3101" s="143"/>
    </row>
    <row r="3102" spans="89:111" ht="11.25" customHeight="1">
      <c r="CK3102" s="1"/>
      <c r="CW3102" s="144"/>
      <c r="DG3102" s="143"/>
    </row>
    <row r="3103" spans="89:111" ht="11.25" customHeight="1">
      <c r="CK3103" s="1"/>
      <c r="CW3103" s="144"/>
      <c r="DG3103" s="143"/>
    </row>
    <row r="3104" spans="89:111" ht="11.25" customHeight="1">
      <c r="CK3104" s="1"/>
      <c r="CW3104" s="144"/>
      <c r="DG3104" s="143"/>
    </row>
    <row r="3105" spans="89:111" ht="11.25" customHeight="1">
      <c r="CK3105" s="1"/>
      <c r="CW3105" s="144"/>
      <c r="DG3105" s="143"/>
    </row>
    <row r="3106" spans="89:111" ht="11.25" customHeight="1">
      <c r="CK3106" s="1"/>
      <c r="CW3106" s="144"/>
      <c r="DG3106" s="143"/>
    </row>
    <row r="3107" spans="89:111" ht="11.25" customHeight="1">
      <c r="CK3107" s="1"/>
      <c r="CW3107" s="144"/>
      <c r="DG3107" s="143"/>
    </row>
    <row r="3108" spans="89:111" ht="11.25" customHeight="1">
      <c r="CK3108" s="1"/>
      <c r="CW3108" s="144"/>
      <c r="DG3108" s="143"/>
    </row>
    <row r="3109" spans="89:111" ht="11.25" customHeight="1">
      <c r="CK3109" s="1"/>
      <c r="CW3109" s="144"/>
      <c r="DG3109" s="143"/>
    </row>
    <row r="3110" spans="89:111" ht="11.25" customHeight="1">
      <c r="CK3110" s="1"/>
      <c r="CW3110" s="144"/>
      <c r="DG3110" s="143"/>
    </row>
    <row r="3111" spans="89:111" ht="11.25" customHeight="1">
      <c r="CK3111" s="1"/>
      <c r="CW3111" s="144"/>
      <c r="DG3111" s="143"/>
    </row>
    <row r="3112" spans="89:111" ht="11.25" customHeight="1">
      <c r="CK3112" s="1"/>
      <c r="CW3112" s="144"/>
      <c r="DG3112" s="143"/>
    </row>
    <row r="3113" spans="89:111" ht="11.25" customHeight="1">
      <c r="CK3113" s="1"/>
      <c r="CW3113" s="144"/>
      <c r="DG3113" s="143"/>
    </row>
    <row r="3114" spans="89:111" ht="11.25" customHeight="1">
      <c r="CK3114" s="1"/>
      <c r="CW3114" s="144"/>
      <c r="DG3114" s="143"/>
    </row>
    <row r="3115" spans="89:111" ht="11.25" customHeight="1">
      <c r="CK3115" s="1"/>
      <c r="CW3115" s="144"/>
      <c r="DG3115" s="143"/>
    </row>
    <row r="3116" spans="89:111" ht="11.25" customHeight="1">
      <c r="CK3116" s="1"/>
      <c r="CW3116" s="144"/>
      <c r="DG3116" s="143"/>
    </row>
    <row r="3117" spans="89:111" ht="11.25" customHeight="1">
      <c r="CK3117" s="1"/>
      <c r="CW3117" s="144"/>
      <c r="DG3117" s="143"/>
    </row>
    <row r="3118" spans="89:111" ht="11.25" customHeight="1">
      <c r="CK3118" s="1"/>
      <c r="CW3118" s="144"/>
      <c r="DG3118" s="143"/>
    </row>
    <row r="3119" spans="89:111" ht="11.25" customHeight="1">
      <c r="CK3119" s="1"/>
      <c r="CW3119" s="144"/>
      <c r="DG3119" s="143"/>
    </row>
    <row r="3120" spans="89:111" ht="11.25" customHeight="1">
      <c r="CK3120" s="1"/>
      <c r="CW3120" s="144"/>
      <c r="DG3120" s="143"/>
    </row>
    <row r="3121" spans="89:111" ht="11.25" customHeight="1">
      <c r="CK3121" s="1"/>
      <c r="CW3121" s="144"/>
      <c r="DG3121" s="143"/>
    </row>
    <row r="3122" spans="89:111" ht="11.25" customHeight="1">
      <c r="CK3122" s="1"/>
      <c r="CW3122" s="144"/>
      <c r="DG3122" s="143"/>
    </row>
    <row r="3123" spans="89:111" ht="11.25" customHeight="1">
      <c r="CK3123" s="1"/>
      <c r="CW3123" s="144"/>
      <c r="DG3123" s="143"/>
    </row>
    <row r="3124" spans="89:111" ht="11.25" customHeight="1">
      <c r="CK3124" s="1"/>
      <c r="CW3124" s="144"/>
      <c r="DG3124" s="143"/>
    </row>
    <row r="3125" spans="89:111" ht="11.25" customHeight="1">
      <c r="CK3125" s="1"/>
      <c r="CW3125" s="144"/>
      <c r="DG3125" s="143"/>
    </row>
    <row r="3126" spans="89:111" ht="11.25" customHeight="1">
      <c r="CK3126" s="1"/>
      <c r="CW3126" s="144"/>
      <c r="DG3126" s="143"/>
    </row>
    <row r="3127" spans="89:111" ht="11.25" customHeight="1">
      <c r="CK3127" s="1"/>
      <c r="CW3127" s="144"/>
      <c r="DG3127" s="143"/>
    </row>
    <row r="3128" spans="89:111" ht="11.25" customHeight="1">
      <c r="CK3128" s="1"/>
      <c r="CW3128" s="144"/>
      <c r="DG3128" s="143"/>
    </row>
    <row r="3129" spans="89:111" ht="11.25" customHeight="1">
      <c r="CK3129" s="1"/>
      <c r="CW3129" s="144"/>
      <c r="DG3129" s="143"/>
    </row>
    <row r="3130" spans="89:111" ht="11.25" customHeight="1">
      <c r="CK3130" s="1"/>
      <c r="CW3130" s="144"/>
      <c r="DG3130" s="143"/>
    </row>
    <row r="3131" spans="89:111" ht="11.25" customHeight="1">
      <c r="CK3131" s="1"/>
      <c r="CW3131" s="144"/>
      <c r="DG3131" s="143"/>
    </row>
    <row r="3132" spans="89:111" ht="11.25" customHeight="1">
      <c r="CK3132" s="1"/>
      <c r="CW3132" s="144"/>
      <c r="DG3132" s="143"/>
    </row>
    <row r="3133" spans="89:111" ht="11.25" customHeight="1">
      <c r="CK3133" s="1"/>
      <c r="CW3133" s="144"/>
      <c r="DG3133" s="143"/>
    </row>
    <row r="3134" spans="89:111" ht="11.25" customHeight="1">
      <c r="CK3134" s="1"/>
      <c r="CW3134" s="144"/>
      <c r="DG3134" s="143"/>
    </row>
    <row r="3135" spans="89:111" ht="11.25" customHeight="1">
      <c r="CK3135" s="1"/>
      <c r="CW3135" s="144"/>
      <c r="DG3135" s="143"/>
    </row>
    <row r="3136" spans="89:111" ht="11.25" customHeight="1">
      <c r="CK3136" s="1"/>
      <c r="CW3136" s="144"/>
      <c r="DG3136" s="143"/>
    </row>
    <row r="3137" spans="89:111" ht="11.25" customHeight="1">
      <c r="CK3137" s="1"/>
      <c r="CW3137" s="144"/>
      <c r="DG3137" s="143"/>
    </row>
    <row r="3138" spans="89:111" ht="11.25" customHeight="1">
      <c r="CK3138" s="1"/>
      <c r="CW3138" s="144"/>
      <c r="DG3138" s="143"/>
    </row>
    <row r="3139" spans="89:111" ht="11.25" customHeight="1">
      <c r="CK3139" s="1"/>
      <c r="CW3139" s="144"/>
      <c r="DG3139" s="143"/>
    </row>
    <row r="3140" spans="89:111" ht="11.25" customHeight="1">
      <c r="CK3140" s="1"/>
      <c r="CW3140" s="144"/>
      <c r="DG3140" s="143"/>
    </row>
    <row r="3141" spans="89:111" ht="11.25" customHeight="1">
      <c r="CK3141" s="1"/>
      <c r="CW3141" s="144"/>
      <c r="DG3141" s="143"/>
    </row>
    <row r="3142" spans="89:111" ht="11.25" customHeight="1">
      <c r="CK3142" s="1"/>
      <c r="CW3142" s="144"/>
      <c r="DG3142" s="143"/>
    </row>
    <row r="3143" spans="89:111" ht="11.25" customHeight="1">
      <c r="CK3143" s="1"/>
      <c r="CW3143" s="144"/>
      <c r="DG3143" s="143"/>
    </row>
    <row r="3144" spans="89:111" ht="11.25" customHeight="1">
      <c r="CK3144" s="1"/>
      <c r="CW3144" s="144"/>
      <c r="DG3144" s="143"/>
    </row>
    <row r="3145" spans="89:111" ht="11.25" customHeight="1">
      <c r="CK3145" s="1"/>
      <c r="CW3145" s="144"/>
      <c r="DG3145" s="143"/>
    </row>
    <row r="3146" spans="89:111" ht="11.25" customHeight="1">
      <c r="CK3146" s="1"/>
      <c r="CW3146" s="144"/>
      <c r="DG3146" s="143"/>
    </row>
    <row r="3147" spans="89:111" ht="11.25" customHeight="1">
      <c r="CK3147" s="1"/>
      <c r="CW3147" s="144"/>
      <c r="DG3147" s="143"/>
    </row>
    <row r="3148" spans="89:111" ht="11.25" customHeight="1">
      <c r="CK3148" s="1"/>
      <c r="CW3148" s="144"/>
      <c r="DG3148" s="143"/>
    </row>
    <row r="3149" spans="89:111" ht="11.25" customHeight="1">
      <c r="CK3149" s="1"/>
      <c r="CW3149" s="144"/>
      <c r="DG3149" s="143"/>
    </row>
    <row r="3150" spans="89:111" ht="11.25" customHeight="1">
      <c r="CK3150" s="1"/>
      <c r="CW3150" s="144"/>
      <c r="DG3150" s="143"/>
    </row>
    <row r="3151" spans="89:111" ht="11.25" customHeight="1">
      <c r="CK3151" s="1"/>
      <c r="CW3151" s="144"/>
      <c r="DG3151" s="143"/>
    </row>
    <row r="3152" spans="89:111" ht="11.25" customHeight="1">
      <c r="CK3152" s="1"/>
      <c r="CW3152" s="144"/>
      <c r="DG3152" s="143"/>
    </row>
    <row r="3153" spans="89:111" ht="11.25" customHeight="1">
      <c r="CK3153" s="1"/>
      <c r="CW3153" s="144"/>
      <c r="DG3153" s="143"/>
    </row>
    <row r="3154" spans="89:111" ht="11.25" customHeight="1">
      <c r="CK3154" s="1"/>
      <c r="CW3154" s="144"/>
      <c r="DG3154" s="143"/>
    </row>
    <row r="3155" spans="89:111" ht="11.25" customHeight="1">
      <c r="CK3155" s="1"/>
      <c r="CW3155" s="144"/>
      <c r="DG3155" s="143"/>
    </row>
    <row r="3156" spans="89:111" ht="11.25" customHeight="1">
      <c r="CK3156" s="1"/>
      <c r="CW3156" s="144"/>
      <c r="DG3156" s="143"/>
    </row>
    <row r="3157" spans="89:111" ht="11.25" customHeight="1">
      <c r="CK3157" s="1"/>
      <c r="CW3157" s="144"/>
      <c r="DG3157" s="143"/>
    </row>
    <row r="3158" spans="89:111" ht="11.25" customHeight="1">
      <c r="CK3158" s="1"/>
      <c r="CW3158" s="144"/>
      <c r="DG3158" s="143"/>
    </row>
    <row r="3159" spans="89:111" ht="11.25" customHeight="1">
      <c r="CK3159" s="1"/>
      <c r="CW3159" s="144"/>
      <c r="DG3159" s="143"/>
    </row>
    <row r="3160" spans="89:111" ht="11.25" customHeight="1">
      <c r="CK3160" s="1"/>
      <c r="CW3160" s="144"/>
      <c r="DG3160" s="143"/>
    </row>
    <row r="3161" spans="89:111" ht="11.25" customHeight="1">
      <c r="CK3161" s="1"/>
      <c r="CW3161" s="144"/>
      <c r="DG3161" s="143"/>
    </row>
    <row r="3162" spans="89:111" ht="11.25" customHeight="1">
      <c r="CK3162" s="1"/>
      <c r="CW3162" s="144"/>
      <c r="DG3162" s="143"/>
    </row>
    <row r="3163" spans="89:111" ht="11.25" customHeight="1">
      <c r="CK3163" s="1"/>
      <c r="CW3163" s="144"/>
      <c r="DG3163" s="143"/>
    </row>
    <row r="3164" spans="89:111" ht="11.25" customHeight="1">
      <c r="CK3164" s="1"/>
      <c r="CW3164" s="144"/>
      <c r="DG3164" s="143"/>
    </row>
    <row r="3165" spans="89:111" ht="11.25" customHeight="1">
      <c r="CK3165" s="1"/>
      <c r="CW3165" s="144"/>
      <c r="DG3165" s="143"/>
    </row>
    <row r="3166" spans="89:111" ht="11.25" customHeight="1">
      <c r="CK3166" s="1"/>
      <c r="CW3166" s="144"/>
      <c r="DG3166" s="143"/>
    </row>
    <row r="3167" spans="89:111" ht="11.25" customHeight="1">
      <c r="CK3167" s="1"/>
      <c r="CW3167" s="144"/>
      <c r="DG3167" s="143"/>
    </row>
    <row r="3168" spans="89:111" ht="11.25" customHeight="1">
      <c r="CK3168" s="1"/>
      <c r="CW3168" s="144"/>
      <c r="DG3168" s="143"/>
    </row>
    <row r="3169" spans="89:111" ht="11.25" customHeight="1">
      <c r="CK3169" s="1"/>
      <c r="CW3169" s="144"/>
      <c r="DG3169" s="143"/>
    </row>
    <row r="3170" spans="89:111" ht="11.25" customHeight="1">
      <c r="CK3170" s="1"/>
      <c r="CW3170" s="144"/>
      <c r="DG3170" s="143"/>
    </row>
    <row r="3171" spans="89:111" ht="11.25" customHeight="1">
      <c r="CK3171" s="1"/>
      <c r="CW3171" s="144"/>
      <c r="DG3171" s="143"/>
    </row>
    <row r="3172" spans="89:111" ht="11.25" customHeight="1">
      <c r="CK3172" s="1"/>
      <c r="CW3172" s="144"/>
      <c r="DG3172" s="143"/>
    </row>
    <row r="3173" spans="89:111" ht="11.25" customHeight="1">
      <c r="CK3173" s="1"/>
      <c r="CW3173" s="144"/>
      <c r="DG3173" s="143"/>
    </row>
    <row r="3174" spans="89:111" ht="11.25" customHeight="1">
      <c r="CK3174" s="1"/>
      <c r="CW3174" s="144"/>
      <c r="DG3174" s="143"/>
    </row>
    <row r="3175" spans="89:111" ht="11.25" customHeight="1">
      <c r="CK3175" s="1"/>
      <c r="CW3175" s="144"/>
      <c r="DG3175" s="143"/>
    </row>
    <row r="3176" spans="89:111" ht="11.25" customHeight="1">
      <c r="CK3176" s="1"/>
      <c r="CW3176" s="144"/>
      <c r="DG3176" s="143"/>
    </row>
    <row r="3177" spans="89:111" ht="11.25" customHeight="1">
      <c r="CK3177" s="1"/>
      <c r="CW3177" s="144"/>
      <c r="DG3177" s="143"/>
    </row>
    <row r="3178" spans="89:111" ht="11.25" customHeight="1">
      <c r="CK3178" s="1"/>
      <c r="CW3178" s="144"/>
      <c r="DG3178" s="143"/>
    </row>
    <row r="3179" spans="89:111" ht="11.25" customHeight="1">
      <c r="CK3179" s="1"/>
      <c r="CW3179" s="144"/>
      <c r="DG3179" s="143"/>
    </row>
    <row r="3180" spans="89:111" ht="11.25" customHeight="1">
      <c r="CK3180" s="1"/>
      <c r="CW3180" s="144"/>
      <c r="DG3180" s="143"/>
    </row>
    <row r="3181" spans="89:111" ht="11.25" customHeight="1">
      <c r="CK3181" s="1"/>
      <c r="CW3181" s="144"/>
      <c r="DG3181" s="143"/>
    </row>
    <row r="3182" spans="89:111" ht="11.25" customHeight="1">
      <c r="CK3182" s="1"/>
      <c r="CW3182" s="144"/>
      <c r="DG3182" s="143"/>
    </row>
    <row r="3183" spans="89:111" ht="11.25" customHeight="1">
      <c r="CK3183" s="1"/>
      <c r="CW3183" s="144"/>
      <c r="DG3183" s="143"/>
    </row>
    <row r="3184" spans="89:111" ht="11.25" customHeight="1">
      <c r="CK3184" s="1"/>
      <c r="CW3184" s="144"/>
      <c r="DG3184" s="143"/>
    </row>
    <row r="3185" spans="89:111" ht="11.25" customHeight="1">
      <c r="CK3185" s="1"/>
      <c r="CW3185" s="144"/>
      <c r="DG3185" s="143"/>
    </row>
    <row r="3186" spans="89:111" ht="11.25" customHeight="1">
      <c r="CK3186" s="1"/>
      <c r="CW3186" s="144"/>
      <c r="DG3186" s="143"/>
    </row>
    <row r="3187" spans="89:111" ht="11.25" customHeight="1">
      <c r="CK3187" s="1"/>
      <c r="CW3187" s="144"/>
      <c r="DG3187" s="143"/>
    </row>
    <row r="3188" spans="89:111" ht="11.25" customHeight="1">
      <c r="CK3188" s="1"/>
      <c r="CW3188" s="144"/>
      <c r="DG3188" s="143"/>
    </row>
    <row r="3189" spans="89:111" ht="11.25" customHeight="1">
      <c r="CK3189" s="1"/>
      <c r="CW3189" s="144"/>
      <c r="DG3189" s="143"/>
    </row>
    <row r="3190" spans="89:111" ht="11.25" customHeight="1">
      <c r="CK3190" s="1"/>
      <c r="CW3190" s="144"/>
      <c r="DG3190" s="143"/>
    </row>
    <row r="3191" spans="89:111" ht="11.25" customHeight="1">
      <c r="CK3191" s="1"/>
      <c r="CW3191" s="144"/>
      <c r="DG3191" s="143"/>
    </row>
    <row r="3192" spans="89:111" ht="11.25" customHeight="1">
      <c r="CK3192" s="1"/>
      <c r="CW3192" s="144"/>
      <c r="DG3192" s="143"/>
    </row>
    <row r="3193" spans="89:111" ht="11.25" customHeight="1">
      <c r="CK3193" s="1"/>
      <c r="CW3193" s="144"/>
      <c r="DG3193" s="143"/>
    </row>
    <row r="3194" spans="89:111" ht="11.25" customHeight="1">
      <c r="CK3194" s="1"/>
      <c r="CW3194" s="144"/>
      <c r="DG3194" s="143"/>
    </row>
    <row r="3195" spans="89:111" ht="11.25" customHeight="1">
      <c r="CK3195" s="1"/>
      <c r="CW3195" s="144"/>
      <c r="DG3195" s="143"/>
    </row>
    <row r="3196" spans="89:111" ht="11.25" customHeight="1">
      <c r="CK3196" s="1"/>
      <c r="CW3196" s="144"/>
      <c r="DG3196" s="143"/>
    </row>
    <row r="3197" spans="89:111" ht="11.25" customHeight="1">
      <c r="CK3197" s="1"/>
      <c r="CW3197" s="144"/>
      <c r="DG3197" s="143"/>
    </row>
    <row r="3198" spans="89:111" ht="11.25" customHeight="1">
      <c r="CK3198" s="1"/>
      <c r="CW3198" s="144"/>
      <c r="DG3198" s="143"/>
    </row>
    <row r="3199" spans="89:111" ht="11.25" customHeight="1">
      <c r="CK3199" s="1"/>
      <c r="CW3199" s="144"/>
      <c r="DG3199" s="143"/>
    </row>
    <row r="3200" spans="89:111" ht="11.25" customHeight="1">
      <c r="CK3200" s="1"/>
      <c r="CW3200" s="144"/>
      <c r="DG3200" s="143"/>
    </row>
    <row r="3201" spans="89:111" ht="11.25" customHeight="1">
      <c r="CK3201" s="1"/>
      <c r="CW3201" s="144"/>
      <c r="DG3201" s="143"/>
    </row>
    <row r="3202" spans="89:111" ht="11.25" customHeight="1">
      <c r="CK3202" s="1"/>
      <c r="CW3202" s="144"/>
      <c r="DG3202" s="143"/>
    </row>
    <row r="3203" spans="89:111" ht="11.25" customHeight="1">
      <c r="CK3203" s="1"/>
      <c r="CW3203" s="144"/>
      <c r="DG3203" s="143"/>
    </row>
    <row r="3204" spans="89:111" ht="11.25" customHeight="1">
      <c r="CK3204" s="1"/>
      <c r="CW3204" s="144"/>
      <c r="DG3204" s="143"/>
    </row>
    <row r="3205" spans="89:111" ht="11.25" customHeight="1">
      <c r="CK3205" s="1"/>
      <c r="CW3205" s="144"/>
      <c r="DG3205" s="143"/>
    </row>
    <row r="3206" spans="89:111" ht="11.25" customHeight="1">
      <c r="CK3206" s="1"/>
      <c r="CW3206" s="144"/>
      <c r="DG3206" s="143"/>
    </row>
    <row r="3207" spans="89:111" ht="11.25" customHeight="1">
      <c r="CK3207" s="1"/>
      <c r="CW3207" s="144"/>
      <c r="DG3207" s="143"/>
    </row>
    <row r="3208" spans="89:111" ht="11.25" customHeight="1">
      <c r="CK3208" s="1"/>
      <c r="CW3208" s="144"/>
      <c r="DG3208" s="143"/>
    </row>
    <row r="3209" spans="89:111" ht="11.25" customHeight="1">
      <c r="CK3209" s="1"/>
      <c r="CW3209" s="144"/>
      <c r="DG3209" s="143"/>
    </row>
    <row r="3210" spans="89:111" ht="11.25" customHeight="1">
      <c r="CK3210" s="1"/>
      <c r="CW3210" s="144"/>
      <c r="DG3210" s="143"/>
    </row>
    <row r="3211" spans="89:111" ht="11.25" customHeight="1">
      <c r="CK3211" s="1"/>
      <c r="CW3211" s="144"/>
      <c r="DG3211" s="143"/>
    </row>
    <row r="3212" spans="89:111" ht="11.25" customHeight="1">
      <c r="CK3212" s="1"/>
      <c r="CW3212" s="144"/>
      <c r="DG3212" s="143"/>
    </row>
    <row r="3213" spans="89:111" ht="11.25" customHeight="1">
      <c r="CK3213" s="1"/>
      <c r="CW3213" s="144"/>
      <c r="DG3213" s="143"/>
    </row>
    <row r="3214" spans="89:111" ht="11.25" customHeight="1">
      <c r="CK3214" s="1"/>
      <c r="CW3214" s="144"/>
      <c r="DG3214" s="143"/>
    </row>
    <row r="3215" spans="89:111" ht="11.25" customHeight="1">
      <c r="CK3215" s="1"/>
      <c r="CW3215" s="144"/>
      <c r="DG3215" s="143"/>
    </row>
    <row r="3216" spans="89:111" ht="11.25" customHeight="1">
      <c r="CK3216" s="1"/>
      <c r="CW3216" s="144"/>
      <c r="DG3216" s="143"/>
    </row>
    <row r="3217" spans="89:111" ht="11.25" customHeight="1">
      <c r="CK3217" s="1"/>
      <c r="CW3217" s="144"/>
      <c r="DG3217" s="143"/>
    </row>
    <row r="3218" spans="89:111" ht="11.25" customHeight="1">
      <c r="CK3218" s="1"/>
      <c r="CW3218" s="144"/>
      <c r="DG3218" s="143"/>
    </row>
    <row r="3219" spans="89:111" ht="11.25" customHeight="1">
      <c r="CK3219" s="1"/>
      <c r="CW3219" s="144"/>
      <c r="DG3219" s="143"/>
    </row>
    <row r="3220" spans="89:111" ht="11.25" customHeight="1">
      <c r="CK3220" s="1"/>
      <c r="CW3220" s="144"/>
      <c r="DG3220" s="143"/>
    </row>
    <row r="3221" spans="89:111" ht="11.25" customHeight="1">
      <c r="CK3221" s="1"/>
      <c r="CW3221" s="144"/>
      <c r="DG3221" s="143"/>
    </row>
    <row r="3222" spans="89:111" ht="11.25" customHeight="1">
      <c r="CK3222" s="1"/>
      <c r="CW3222" s="144"/>
      <c r="DG3222" s="143"/>
    </row>
    <row r="3223" spans="89:111" ht="11.25" customHeight="1">
      <c r="CK3223" s="1"/>
      <c r="CW3223" s="144"/>
      <c r="DG3223" s="143"/>
    </row>
    <row r="3224" spans="89:111" ht="11.25" customHeight="1">
      <c r="CK3224" s="1"/>
      <c r="CW3224" s="144"/>
      <c r="DG3224" s="143"/>
    </row>
    <row r="3225" spans="89:111" ht="11.25" customHeight="1">
      <c r="CK3225" s="1"/>
      <c r="CW3225" s="144"/>
      <c r="DG3225" s="143"/>
    </row>
    <row r="3226" spans="89:111" ht="11.25" customHeight="1">
      <c r="CK3226" s="1"/>
      <c r="CW3226" s="144"/>
      <c r="DG3226" s="143"/>
    </row>
    <row r="3227" spans="89:111" ht="11.25" customHeight="1">
      <c r="CK3227" s="1"/>
      <c r="CW3227" s="144"/>
      <c r="DG3227" s="143"/>
    </row>
    <row r="3228" spans="89:111" ht="11.25" customHeight="1">
      <c r="CK3228" s="1"/>
      <c r="CW3228" s="144"/>
      <c r="DG3228" s="143"/>
    </row>
    <row r="3229" spans="89:111" ht="11.25" customHeight="1">
      <c r="CK3229" s="1"/>
      <c r="CW3229" s="144"/>
      <c r="DG3229" s="143"/>
    </row>
    <row r="3230" spans="89:111" ht="11.25" customHeight="1">
      <c r="CK3230" s="1"/>
      <c r="CW3230" s="144"/>
      <c r="DG3230" s="143"/>
    </row>
    <row r="3231" spans="89:111" ht="11.25" customHeight="1">
      <c r="CK3231" s="1"/>
      <c r="CW3231" s="144"/>
      <c r="DG3231" s="143"/>
    </row>
    <row r="3232" spans="89:111" ht="11.25" customHeight="1">
      <c r="CK3232" s="1"/>
      <c r="CW3232" s="144"/>
      <c r="DG3232" s="143"/>
    </row>
    <row r="3233" spans="89:111" ht="11.25" customHeight="1">
      <c r="CK3233" s="1"/>
      <c r="CW3233" s="144"/>
      <c r="DG3233" s="143"/>
    </row>
    <row r="3234" spans="89:111" ht="11.25" customHeight="1">
      <c r="CK3234" s="1"/>
      <c r="CW3234" s="144"/>
      <c r="DG3234" s="143"/>
    </row>
    <row r="3235" spans="89:111" ht="11.25" customHeight="1">
      <c r="CK3235" s="1"/>
      <c r="CW3235" s="144"/>
      <c r="DG3235" s="143"/>
    </row>
    <row r="3236" spans="89:111" ht="11.25" customHeight="1">
      <c r="CK3236" s="1"/>
      <c r="CW3236" s="144"/>
      <c r="DG3236" s="143"/>
    </row>
    <row r="3237" spans="89:111" ht="11.25" customHeight="1">
      <c r="CK3237" s="1"/>
      <c r="CW3237" s="144"/>
      <c r="DG3237" s="143"/>
    </row>
    <row r="3238" spans="89:111" ht="11.25" customHeight="1">
      <c r="CK3238" s="1"/>
      <c r="CW3238" s="144"/>
      <c r="DG3238" s="143"/>
    </row>
    <row r="3239" spans="89:111" ht="11.25" customHeight="1">
      <c r="CK3239" s="1"/>
      <c r="CW3239" s="144"/>
      <c r="DG3239" s="143"/>
    </row>
    <row r="3240" spans="89:111" ht="11.25" customHeight="1">
      <c r="CK3240" s="1"/>
      <c r="CW3240" s="144"/>
      <c r="DG3240" s="143"/>
    </row>
    <row r="3241" spans="89:111" ht="11.25" customHeight="1">
      <c r="CK3241" s="1"/>
      <c r="CW3241" s="144"/>
      <c r="DG3241" s="143"/>
    </row>
    <row r="3242" spans="89:111" ht="11.25" customHeight="1">
      <c r="CK3242" s="1"/>
      <c r="CW3242" s="144"/>
      <c r="DG3242" s="143"/>
    </row>
    <row r="3243" spans="89:111" ht="11.25" customHeight="1">
      <c r="CK3243" s="1"/>
      <c r="CW3243" s="144"/>
      <c r="DG3243" s="143"/>
    </row>
    <row r="3244" spans="89:111" ht="11.25" customHeight="1">
      <c r="CK3244" s="1"/>
      <c r="CW3244" s="144"/>
      <c r="DG3244" s="143"/>
    </row>
    <row r="3245" spans="89:111" ht="11.25" customHeight="1">
      <c r="CK3245" s="1"/>
      <c r="CW3245" s="144"/>
      <c r="DG3245" s="143"/>
    </row>
    <row r="3246" spans="89:111" ht="11.25" customHeight="1">
      <c r="CK3246" s="1"/>
      <c r="CW3246" s="144"/>
      <c r="DG3246" s="143"/>
    </row>
    <row r="3247" spans="89:111" ht="11.25" customHeight="1">
      <c r="CK3247" s="1"/>
      <c r="CW3247" s="144"/>
      <c r="DG3247" s="143"/>
    </row>
    <row r="3248" spans="89:111" ht="11.25" customHeight="1">
      <c r="CK3248" s="1"/>
      <c r="CW3248" s="144"/>
      <c r="DG3248" s="143"/>
    </row>
    <row r="3249" spans="89:111" ht="11.25" customHeight="1">
      <c r="CK3249" s="1"/>
      <c r="CW3249" s="144"/>
      <c r="DG3249" s="143"/>
    </row>
    <row r="3250" spans="89:111" ht="11.25" customHeight="1">
      <c r="CK3250" s="1"/>
      <c r="CW3250" s="144"/>
      <c r="DG3250" s="143"/>
    </row>
    <row r="3251" spans="89:111" ht="11.25" customHeight="1">
      <c r="CK3251" s="1"/>
      <c r="CW3251" s="144"/>
      <c r="DG3251" s="143"/>
    </row>
    <row r="3252" spans="89:111" ht="11.25" customHeight="1">
      <c r="CK3252" s="1"/>
      <c r="CW3252" s="144"/>
      <c r="DG3252" s="143"/>
    </row>
    <row r="3253" spans="89:111" ht="11.25" customHeight="1">
      <c r="CK3253" s="1"/>
      <c r="CW3253" s="144"/>
      <c r="DG3253" s="143"/>
    </row>
    <row r="3254" spans="89:111" ht="11.25" customHeight="1">
      <c r="CK3254" s="1"/>
      <c r="CW3254" s="144"/>
      <c r="DG3254" s="143"/>
    </row>
    <row r="3255" spans="89:111" ht="11.25" customHeight="1">
      <c r="CK3255" s="1"/>
      <c r="CW3255" s="144"/>
      <c r="DG3255" s="143"/>
    </row>
    <row r="3256" spans="89:111" ht="11.25" customHeight="1">
      <c r="CK3256" s="1"/>
      <c r="CW3256" s="144"/>
      <c r="DG3256" s="143"/>
    </row>
    <row r="3257" spans="89:111" ht="11.25" customHeight="1">
      <c r="CK3257" s="1"/>
      <c r="CW3257" s="144"/>
      <c r="DG3257" s="143"/>
    </row>
    <row r="3258" spans="89:111" ht="11.25" customHeight="1">
      <c r="CK3258" s="1"/>
      <c r="CW3258" s="144"/>
      <c r="DG3258" s="143"/>
    </row>
    <row r="3259" spans="89:111" ht="11.25" customHeight="1">
      <c r="CK3259" s="1"/>
      <c r="CW3259" s="144"/>
      <c r="DG3259" s="143"/>
    </row>
    <row r="3260" spans="89:111" ht="11.25" customHeight="1">
      <c r="CK3260" s="1"/>
      <c r="CW3260" s="144"/>
      <c r="DG3260" s="143"/>
    </row>
    <row r="3261" spans="89:111" ht="11.25" customHeight="1">
      <c r="CK3261" s="1"/>
      <c r="CW3261" s="144"/>
      <c r="DG3261" s="143"/>
    </row>
    <row r="3262" spans="89:111" ht="11.25" customHeight="1">
      <c r="CK3262" s="1"/>
      <c r="CW3262" s="144"/>
      <c r="DG3262" s="143"/>
    </row>
    <row r="3263" spans="89:111" ht="11.25" customHeight="1">
      <c r="CK3263" s="1"/>
      <c r="CW3263" s="144"/>
      <c r="DG3263" s="143"/>
    </row>
    <row r="3264" spans="89:111" ht="11.25" customHeight="1">
      <c r="CK3264" s="1"/>
      <c r="CW3264" s="144"/>
      <c r="DG3264" s="143"/>
    </row>
    <row r="3265" spans="89:111" ht="11.25" customHeight="1">
      <c r="CK3265" s="1"/>
      <c r="CW3265" s="144"/>
      <c r="DG3265" s="143"/>
    </row>
    <row r="3266" spans="89:111" ht="11.25" customHeight="1">
      <c r="CK3266" s="1"/>
      <c r="CW3266" s="144"/>
      <c r="DG3266" s="143"/>
    </row>
    <row r="3267" spans="89:111" ht="11.25" customHeight="1">
      <c r="CK3267" s="1"/>
      <c r="CW3267" s="144"/>
      <c r="DG3267" s="143"/>
    </row>
    <row r="3268" spans="89:111" ht="11.25" customHeight="1">
      <c r="CK3268" s="1"/>
      <c r="CW3268" s="144"/>
      <c r="DG3268" s="143"/>
    </row>
    <row r="3269" spans="89:111" ht="11.25" customHeight="1">
      <c r="CK3269" s="1"/>
      <c r="CW3269" s="144"/>
      <c r="DG3269" s="143"/>
    </row>
    <row r="3270" spans="89:111" ht="11.25" customHeight="1">
      <c r="CK3270" s="1"/>
      <c r="CW3270" s="144"/>
      <c r="DG3270" s="143"/>
    </row>
    <row r="3271" spans="89:111" ht="11.25" customHeight="1">
      <c r="CK3271" s="1"/>
      <c r="CW3271" s="144"/>
      <c r="DG3271" s="143"/>
    </row>
    <row r="3272" spans="89:111" ht="11.25" customHeight="1">
      <c r="CK3272" s="1"/>
      <c r="CW3272" s="144"/>
      <c r="DG3272" s="143"/>
    </row>
    <row r="3273" spans="89:111" ht="11.25" customHeight="1">
      <c r="CK3273" s="1"/>
      <c r="CW3273" s="144"/>
      <c r="DG3273" s="143"/>
    </row>
    <row r="3274" spans="89:111" ht="11.25" customHeight="1">
      <c r="CK3274" s="1"/>
      <c r="CW3274" s="144"/>
      <c r="DG3274" s="143"/>
    </row>
    <row r="3275" spans="89:111" ht="11.25" customHeight="1">
      <c r="CK3275" s="1"/>
      <c r="CW3275" s="144"/>
      <c r="DG3275" s="143"/>
    </row>
    <row r="3276" spans="89:111" ht="11.25" customHeight="1">
      <c r="CK3276" s="1"/>
      <c r="CW3276" s="144"/>
      <c r="DG3276" s="143"/>
    </row>
    <row r="3277" spans="89:111" ht="11.25" customHeight="1">
      <c r="CK3277" s="1"/>
      <c r="CW3277" s="144"/>
      <c r="DG3277" s="143"/>
    </row>
    <row r="3278" spans="89:111" ht="11.25" customHeight="1">
      <c r="CK3278" s="1"/>
      <c r="CW3278" s="144"/>
      <c r="DG3278" s="143"/>
    </row>
    <row r="3279" spans="89:111" ht="11.25" customHeight="1">
      <c r="CK3279" s="1"/>
      <c r="CW3279" s="144"/>
      <c r="DG3279" s="143"/>
    </row>
    <row r="3280" spans="89:111" ht="11.25" customHeight="1">
      <c r="CK3280" s="1"/>
      <c r="CW3280" s="144"/>
      <c r="DG3280" s="143"/>
    </row>
    <row r="3281" spans="89:111" ht="11.25" customHeight="1">
      <c r="CK3281" s="1"/>
      <c r="CW3281" s="144"/>
      <c r="DG3281" s="143"/>
    </row>
    <row r="3282" spans="89:111" ht="11.25" customHeight="1">
      <c r="CK3282" s="1"/>
      <c r="CW3282" s="144"/>
      <c r="DG3282" s="143"/>
    </row>
    <row r="3283" spans="89:111" ht="11.25" customHeight="1">
      <c r="CK3283" s="1"/>
      <c r="CW3283" s="144"/>
      <c r="DG3283" s="143"/>
    </row>
    <row r="3284" spans="89:111" ht="11.25" customHeight="1">
      <c r="CK3284" s="1"/>
      <c r="CW3284" s="144"/>
      <c r="DG3284" s="143"/>
    </row>
    <row r="3285" spans="89:111" ht="11.25" customHeight="1">
      <c r="CK3285" s="1"/>
      <c r="CW3285" s="144"/>
      <c r="DG3285" s="143"/>
    </row>
    <row r="3286" spans="89:111" ht="11.25" customHeight="1">
      <c r="CK3286" s="1"/>
      <c r="CW3286" s="144"/>
      <c r="DG3286" s="143"/>
    </row>
    <row r="3287" spans="89:111" ht="11.25" customHeight="1">
      <c r="CK3287" s="1"/>
      <c r="CW3287" s="144"/>
      <c r="DG3287" s="143"/>
    </row>
    <row r="3288" spans="89:111" ht="11.25" customHeight="1">
      <c r="CK3288" s="1"/>
      <c r="CW3288" s="144"/>
      <c r="DG3288" s="143"/>
    </row>
    <row r="3289" spans="89:111" ht="11.25" customHeight="1">
      <c r="CK3289" s="1"/>
      <c r="CW3289" s="144"/>
      <c r="DG3289" s="143"/>
    </row>
    <row r="3290" spans="89:111" ht="11.25" customHeight="1">
      <c r="CK3290" s="1"/>
      <c r="CW3290" s="144"/>
      <c r="DG3290" s="143"/>
    </row>
    <row r="3291" spans="89:111" ht="11.25" customHeight="1">
      <c r="CK3291" s="1"/>
      <c r="CW3291" s="144"/>
      <c r="DG3291" s="143"/>
    </row>
    <row r="3292" spans="89:111" ht="11.25" customHeight="1">
      <c r="CK3292" s="1"/>
      <c r="CW3292" s="144"/>
      <c r="DG3292" s="143"/>
    </row>
    <row r="3293" spans="89:111" ht="11.25" customHeight="1">
      <c r="CK3293" s="1"/>
      <c r="CW3293" s="144"/>
      <c r="DG3293" s="143"/>
    </row>
    <row r="3294" spans="89:111" ht="11.25" customHeight="1">
      <c r="CK3294" s="1"/>
      <c r="CW3294" s="144"/>
      <c r="DG3294" s="143"/>
    </row>
    <row r="3295" spans="89:111" ht="11.25" customHeight="1">
      <c r="CK3295" s="1"/>
      <c r="CW3295" s="144"/>
      <c r="DG3295" s="143"/>
    </row>
    <row r="3296" spans="89:111" ht="11.25" customHeight="1">
      <c r="CK3296" s="1"/>
      <c r="CW3296" s="144"/>
      <c r="DG3296" s="143"/>
    </row>
    <row r="3297" spans="89:111" ht="11.25" customHeight="1">
      <c r="CK3297" s="1"/>
      <c r="CW3297" s="144"/>
      <c r="DG3297" s="143"/>
    </row>
    <row r="3298" spans="89:111" ht="11.25" customHeight="1">
      <c r="CK3298" s="1"/>
      <c r="CW3298" s="144"/>
      <c r="DG3298" s="143"/>
    </row>
    <row r="3299" spans="89:111" ht="11.25" customHeight="1">
      <c r="CK3299" s="1"/>
      <c r="CW3299" s="144"/>
      <c r="DG3299" s="143"/>
    </row>
    <row r="3300" spans="89:111" ht="11.25" customHeight="1">
      <c r="CK3300" s="1"/>
      <c r="CW3300" s="144"/>
      <c r="DG3300" s="143"/>
    </row>
    <row r="3301" spans="89:111" ht="11.25" customHeight="1">
      <c r="CK3301" s="1"/>
      <c r="CW3301" s="144"/>
      <c r="DG3301" s="143"/>
    </row>
    <row r="3302" spans="89:111" ht="11.25" customHeight="1">
      <c r="CK3302" s="1"/>
      <c r="CW3302" s="144"/>
      <c r="DG3302" s="143"/>
    </row>
    <row r="3303" spans="89:111" ht="11.25" customHeight="1">
      <c r="CK3303" s="1"/>
      <c r="CW3303" s="144"/>
      <c r="DG3303" s="143"/>
    </row>
    <row r="3304" spans="89:111" ht="11.25" customHeight="1">
      <c r="CK3304" s="1"/>
      <c r="CW3304" s="144"/>
      <c r="DG3304" s="143"/>
    </row>
    <row r="3305" spans="89:111" ht="11.25" customHeight="1">
      <c r="CK3305" s="1"/>
      <c r="CW3305" s="144"/>
      <c r="DG3305" s="143"/>
    </row>
    <row r="3306" spans="89:111" ht="11.25" customHeight="1">
      <c r="CK3306" s="1"/>
      <c r="CW3306" s="144"/>
      <c r="DG3306" s="143"/>
    </row>
    <row r="3307" spans="89:111" ht="11.25" customHeight="1">
      <c r="CK3307" s="1"/>
      <c r="CW3307" s="144"/>
      <c r="DG3307" s="143"/>
    </row>
    <row r="3308" spans="89:111" ht="11.25" customHeight="1">
      <c r="CK3308" s="1"/>
      <c r="CW3308" s="144"/>
      <c r="DG3308" s="143"/>
    </row>
    <row r="3309" spans="89:111" ht="11.25" customHeight="1">
      <c r="CK3309" s="1"/>
      <c r="CW3309" s="144"/>
      <c r="DG3309" s="143"/>
    </row>
    <row r="3310" spans="89:111" ht="11.25" customHeight="1">
      <c r="CK3310" s="1"/>
      <c r="CW3310" s="144"/>
      <c r="DG3310" s="143"/>
    </row>
    <row r="3311" spans="89:111" ht="11.25" customHeight="1">
      <c r="CK3311" s="1"/>
      <c r="CW3311" s="144"/>
      <c r="DG3311" s="143"/>
    </row>
    <row r="3312" spans="89:111" ht="11.25" customHeight="1">
      <c r="CK3312" s="1"/>
      <c r="CW3312" s="144"/>
      <c r="DG3312" s="143"/>
    </row>
    <row r="3313" spans="89:111" ht="11.25" customHeight="1">
      <c r="CK3313" s="1"/>
      <c r="CW3313" s="144"/>
      <c r="DG3313" s="143"/>
    </row>
    <row r="3314" spans="89:111" ht="11.25" customHeight="1">
      <c r="CK3314" s="1"/>
      <c r="CW3314" s="144"/>
      <c r="DG3314" s="143"/>
    </row>
    <row r="3315" spans="89:111" ht="11.25" customHeight="1">
      <c r="CK3315" s="1"/>
      <c r="CW3315" s="144"/>
      <c r="DG3315" s="143"/>
    </row>
    <row r="3316" spans="89:111" ht="11.25" customHeight="1">
      <c r="CK3316" s="1"/>
      <c r="CW3316" s="144"/>
      <c r="DG3316" s="143"/>
    </row>
    <row r="3317" spans="89:111" ht="11.25" customHeight="1">
      <c r="CK3317" s="1"/>
      <c r="CW3317" s="144"/>
      <c r="DG3317" s="143"/>
    </row>
    <row r="3318" spans="89:111" ht="11.25" customHeight="1">
      <c r="CK3318" s="1"/>
      <c r="CW3318" s="144"/>
      <c r="DG3318" s="143"/>
    </row>
    <row r="3319" spans="89:111" ht="11.25" customHeight="1">
      <c r="CK3319" s="1"/>
      <c r="CW3319" s="144"/>
      <c r="DG3319" s="143"/>
    </row>
    <row r="3320" spans="89:111" ht="11.25" customHeight="1">
      <c r="CK3320" s="1"/>
      <c r="CW3320" s="144"/>
      <c r="DG3320" s="143"/>
    </row>
    <row r="3321" spans="89:111" ht="11.25" customHeight="1">
      <c r="CK3321" s="1"/>
      <c r="CW3321" s="144"/>
      <c r="DG3321" s="143"/>
    </row>
    <row r="3322" spans="89:111" ht="11.25" customHeight="1">
      <c r="CK3322" s="1"/>
      <c r="CW3322" s="144"/>
      <c r="DG3322" s="143"/>
    </row>
    <row r="3323" spans="89:111" ht="11.25" customHeight="1">
      <c r="CK3323" s="1"/>
      <c r="CW3323" s="144"/>
      <c r="DG3323" s="143"/>
    </row>
    <row r="3324" spans="89:111" ht="11.25" customHeight="1">
      <c r="CK3324" s="1"/>
      <c r="CW3324" s="144"/>
      <c r="DG3324" s="143"/>
    </row>
    <row r="3325" spans="89:111" ht="11.25" customHeight="1">
      <c r="CK3325" s="1"/>
      <c r="CW3325" s="144"/>
      <c r="DG3325" s="143"/>
    </row>
    <row r="3326" spans="89:111" ht="11.25" customHeight="1">
      <c r="CK3326" s="1"/>
      <c r="CW3326" s="144"/>
      <c r="DG3326" s="143"/>
    </row>
    <row r="3327" spans="89:111" ht="11.25" customHeight="1">
      <c r="CK3327" s="1"/>
      <c r="CW3327" s="144"/>
      <c r="DG3327" s="143"/>
    </row>
    <row r="3328" spans="89:111" ht="11.25" customHeight="1">
      <c r="CK3328" s="1"/>
      <c r="CW3328" s="144"/>
      <c r="DG3328" s="143"/>
    </row>
    <row r="3329" spans="89:111" ht="11.25" customHeight="1">
      <c r="CK3329" s="1"/>
      <c r="CW3329" s="144"/>
      <c r="DG3329" s="143"/>
    </row>
    <row r="3330" spans="89:111" ht="11.25" customHeight="1">
      <c r="CK3330" s="1"/>
      <c r="CW3330" s="144"/>
      <c r="DG3330" s="143"/>
    </row>
    <row r="3331" spans="89:111" ht="11.25" customHeight="1">
      <c r="CK3331" s="1"/>
      <c r="CW3331" s="144"/>
      <c r="DG3331" s="143"/>
    </row>
    <row r="3332" spans="89:111" ht="11.25" customHeight="1">
      <c r="CK3332" s="1"/>
      <c r="CW3332" s="144"/>
      <c r="DG3332" s="143"/>
    </row>
    <row r="3333" spans="89:111" ht="11.25" customHeight="1">
      <c r="CK3333" s="1"/>
      <c r="CW3333" s="144"/>
      <c r="DG3333" s="143"/>
    </row>
    <row r="3334" spans="89:111" ht="11.25" customHeight="1">
      <c r="CK3334" s="1"/>
      <c r="CW3334" s="144"/>
      <c r="DG3334" s="143"/>
    </row>
    <row r="3335" spans="89:111" ht="11.25" customHeight="1">
      <c r="CK3335" s="1"/>
      <c r="CW3335" s="144"/>
      <c r="DG3335" s="143"/>
    </row>
    <row r="3336" spans="89:111" ht="11.25" customHeight="1">
      <c r="CK3336" s="1"/>
      <c r="CW3336" s="144"/>
      <c r="DG3336" s="143"/>
    </row>
    <row r="3337" spans="89:111" ht="11.25" customHeight="1">
      <c r="CK3337" s="1"/>
      <c r="CW3337" s="144"/>
      <c r="DG3337" s="143"/>
    </row>
    <row r="3338" spans="89:111" ht="11.25" customHeight="1">
      <c r="CK3338" s="1"/>
      <c r="CW3338" s="144"/>
      <c r="DG3338" s="143"/>
    </row>
    <row r="3339" spans="89:111" ht="11.25" customHeight="1">
      <c r="CK3339" s="1"/>
      <c r="CW3339" s="144"/>
      <c r="DG3339" s="143"/>
    </row>
    <row r="3340" spans="89:111" ht="11.25" customHeight="1">
      <c r="CK3340" s="1"/>
      <c r="CW3340" s="144"/>
      <c r="DG3340" s="143"/>
    </row>
    <row r="3341" spans="89:111" ht="11.25" customHeight="1">
      <c r="CK3341" s="1"/>
      <c r="CW3341" s="144"/>
      <c r="DG3341" s="143"/>
    </row>
    <row r="3342" spans="89:111" ht="11.25" customHeight="1">
      <c r="CK3342" s="1"/>
      <c r="CW3342" s="144"/>
      <c r="DG3342" s="143"/>
    </row>
    <row r="3343" spans="89:111" ht="11.25" customHeight="1">
      <c r="CK3343" s="1"/>
      <c r="CW3343" s="144"/>
      <c r="DG3343" s="143"/>
    </row>
    <row r="3344" spans="89:111" ht="11.25" customHeight="1">
      <c r="CK3344" s="1"/>
      <c r="CW3344" s="144"/>
      <c r="DG3344" s="143"/>
    </row>
    <row r="3345" spans="89:111" ht="11.25" customHeight="1">
      <c r="CK3345" s="1"/>
      <c r="CW3345" s="144"/>
      <c r="DG3345" s="143"/>
    </row>
    <row r="3346" spans="89:111" ht="11.25" customHeight="1">
      <c r="CK3346" s="1"/>
      <c r="CW3346" s="144"/>
      <c r="DG3346" s="143"/>
    </row>
    <row r="3347" spans="89:111" ht="11.25" customHeight="1">
      <c r="CK3347" s="1"/>
      <c r="CW3347" s="144"/>
      <c r="DG3347" s="143"/>
    </row>
    <row r="3348" spans="89:111" ht="11.25" customHeight="1">
      <c r="CK3348" s="1"/>
      <c r="CW3348" s="144"/>
      <c r="DG3348" s="143"/>
    </row>
    <row r="3349" spans="89:111" ht="11.25" customHeight="1">
      <c r="CK3349" s="1"/>
      <c r="CW3349" s="144"/>
      <c r="DG3349" s="143"/>
    </row>
    <row r="3350" spans="89:111" ht="11.25" customHeight="1">
      <c r="CK3350" s="1"/>
      <c r="CW3350" s="144"/>
      <c r="DG3350" s="143"/>
    </row>
    <row r="3351" spans="89:111" ht="11.25" customHeight="1">
      <c r="CK3351" s="1"/>
      <c r="CW3351" s="144"/>
      <c r="DG3351" s="143"/>
    </row>
    <row r="3352" spans="89:111" ht="11.25" customHeight="1">
      <c r="CK3352" s="1"/>
      <c r="CW3352" s="144"/>
      <c r="DG3352" s="143"/>
    </row>
    <row r="3353" spans="89:111" ht="11.25" customHeight="1">
      <c r="CK3353" s="1"/>
      <c r="CW3353" s="144"/>
      <c r="DG3353" s="143"/>
    </row>
    <row r="3354" spans="89:111" ht="11.25" customHeight="1">
      <c r="CK3354" s="1"/>
      <c r="CW3354" s="144"/>
      <c r="DG3354" s="143"/>
    </row>
    <row r="3355" spans="89:111" ht="11.25" customHeight="1">
      <c r="CK3355" s="1"/>
      <c r="CW3355" s="144"/>
      <c r="DG3355" s="143"/>
    </row>
    <row r="3356" spans="89:111" ht="11.25" customHeight="1">
      <c r="CK3356" s="1"/>
      <c r="CW3356" s="144"/>
      <c r="DG3356" s="143"/>
    </row>
    <row r="3357" spans="89:111" ht="11.25" customHeight="1">
      <c r="CK3357" s="1"/>
      <c r="CW3357" s="144"/>
      <c r="DG3357" s="143"/>
    </row>
    <row r="3358" spans="89:111" ht="11.25" customHeight="1">
      <c r="CK3358" s="1"/>
      <c r="CW3358" s="144"/>
      <c r="DG3358" s="143"/>
    </row>
    <row r="3359" spans="89:111" ht="11.25" customHeight="1">
      <c r="CK3359" s="1"/>
      <c r="CW3359" s="144"/>
      <c r="DG3359" s="143"/>
    </row>
    <row r="3360" spans="89:111" ht="11.25" customHeight="1">
      <c r="CK3360" s="1"/>
      <c r="CW3360" s="144"/>
      <c r="DG3360" s="143"/>
    </row>
    <row r="3361" spans="89:111" ht="11.25" customHeight="1">
      <c r="CK3361" s="1"/>
      <c r="CW3361" s="144"/>
      <c r="DG3361" s="143"/>
    </row>
    <row r="3362" spans="89:111" ht="11.25" customHeight="1">
      <c r="CK3362" s="1"/>
      <c r="CW3362" s="144"/>
      <c r="DG3362" s="143"/>
    </row>
    <row r="3363" spans="89:111" ht="11.25" customHeight="1">
      <c r="CK3363" s="1"/>
      <c r="CW3363" s="144"/>
      <c r="DG3363" s="143"/>
    </row>
    <row r="3364" spans="89:111" ht="11.25" customHeight="1">
      <c r="CK3364" s="1"/>
      <c r="CW3364" s="144"/>
      <c r="DG3364" s="143"/>
    </row>
    <row r="3365" spans="89:111" ht="11.25" customHeight="1">
      <c r="CK3365" s="1"/>
      <c r="CW3365" s="144"/>
      <c r="DG3365" s="143"/>
    </row>
    <row r="3366" spans="89:111" ht="11.25" customHeight="1">
      <c r="CK3366" s="1"/>
      <c r="CW3366" s="144"/>
      <c r="DG3366" s="143"/>
    </row>
    <row r="3367" spans="89:111" ht="11.25" customHeight="1">
      <c r="CK3367" s="1"/>
      <c r="CW3367" s="144"/>
      <c r="DG3367" s="143"/>
    </row>
    <row r="3368" spans="89:111" ht="11.25" customHeight="1">
      <c r="CK3368" s="1"/>
      <c r="CW3368" s="144"/>
      <c r="DG3368" s="143"/>
    </row>
    <row r="3369" spans="89:111" ht="11.25" customHeight="1">
      <c r="CK3369" s="1"/>
      <c r="CW3369" s="144"/>
      <c r="DG3369" s="143"/>
    </row>
    <row r="3370" spans="89:111" ht="11.25" customHeight="1">
      <c r="CK3370" s="1"/>
      <c r="CW3370" s="144"/>
      <c r="DG3370" s="143"/>
    </row>
    <row r="3371" spans="89:111" ht="11.25" customHeight="1">
      <c r="CK3371" s="1"/>
      <c r="CW3371" s="144"/>
      <c r="DG3371" s="143"/>
    </row>
    <row r="3372" spans="89:111" ht="11.25" customHeight="1">
      <c r="CK3372" s="1"/>
      <c r="CW3372" s="144"/>
      <c r="DG3372" s="143"/>
    </row>
    <row r="3373" spans="89:111" ht="11.25" customHeight="1">
      <c r="CK3373" s="1"/>
      <c r="CW3373" s="144"/>
      <c r="DG3373" s="143"/>
    </row>
    <row r="3374" spans="89:111" ht="11.25" customHeight="1">
      <c r="CK3374" s="1"/>
      <c r="CW3374" s="144"/>
      <c r="DG3374" s="143"/>
    </row>
    <row r="3375" spans="89:111" ht="11.25" customHeight="1">
      <c r="CK3375" s="1"/>
      <c r="CW3375" s="144"/>
      <c r="DG3375" s="143"/>
    </row>
    <row r="3376" spans="89:111" ht="11.25" customHeight="1">
      <c r="CK3376" s="1"/>
      <c r="CW3376" s="144"/>
      <c r="DG3376" s="143"/>
    </row>
    <row r="3377" spans="89:111" ht="11.25" customHeight="1">
      <c r="CK3377" s="1"/>
      <c r="CW3377" s="144"/>
      <c r="DG3377" s="143"/>
    </row>
    <row r="3378" spans="89:111" ht="11.25" customHeight="1">
      <c r="CK3378" s="1"/>
      <c r="CW3378" s="144"/>
      <c r="DG3378" s="143"/>
    </row>
    <row r="3379" spans="89:111" ht="11.25" customHeight="1">
      <c r="CK3379" s="1"/>
      <c r="CW3379" s="144"/>
      <c r="DG3379" s="143"/>
    </row>
    <row r="3380" spans="89:111" ht="11.25" customHeight="1">
      <c r="CK3380" s="1"/>
      <c r="CW3380" s="144"/>
      <c r="DG3380" s="143"/>
    </row>
    <row r="3381" spans="89:111" ht="11.25" customHeight="1">
      <c r="CK3381" s="1"/>
      <c r="CW3381" s="144"/>
      <c r="DG3381" s="143"/>
    </row>
    <row r="3382" spans="89:111" ht="11.25" customHeight="1">
      <c r="CK3382" s="1"/>
      <c r="CW3382" s="144"/>
      <c r="DG3382" s="143"/>
    </row>
    <row r="3383" spans="89:111" ht="11.25" customHeight="1">
      <c r="CK3383" s="1"/>
      <c r="CW3383" s="144"/>
      <c r="DG3383" s="143"/>
    </row>
    <row r="3384" spans="89:111" ht="11.25" customHeight="1">
      <c r="CK3384" s="1"/>
      <c r="CW3384" s="144"/>
      <c r="DG3384" s="143"/>
    </row>
    <row r="3385" spans="89:111" ht="11.25" customHeight="1">
      <c r="CK3385" s="1"/>
      <c r="CW3385" s="144"/>
      <c r="DG3385" s="143"/>
    </row>
    <row r="3386" spans="89:111" ht="11.25" customHeight="1">
      <c r="CK3386" s="1"/>
      <c r="CW3386" s="144"/>
      <c r="DG3386" s="143"/>
    </row>
    <row r="3387" spans="89:111" ht="11.25" customHeight="1">
      <c r="CK3387" s="1"/>
      <c r="CW3387" s="144"/>
      <c r="DG3387" s="143"/>
    </row>
    <row r="3388" spans="89:111" ht="11.25" customHeight="1">
      <c r="CK3388" s="1"/>
      <c r="CW3388" s="144"/>
      <c r="DG3388" s="143"/>
    </row>
    <row r="3389" spans="89:111" ht="11.25" customHeight="1">
      <c r="CK3389" s="1"/>
      <c r="CW3389" s="144"/>
      <c r="DG3389" s="143"/>
    </row>
    <row r="3390" spans="89:111" ht="11.25" customHeight="1">
      <c r="CK3390" s="1"/>
      <c r="CW3390" s="144"/>
      <c r="DG3390" s="143"/>
    </row>
    <row r="3391" spans="89:111" ht="11.25" customHeight="1">
      <c r="CK3391" s="1"/>
      <c r="CW3391" s="144"/>
      <c r="DG3391" s="143"/>
    </row>
    <row r="3392" spans="89:111" ht="11.25" customHeight="1">
      <c r="CK3392" s="1"/>
      <c r="CW3392" s="144"/>
      <c r="DG3392" s="143"/>
    </row>
    <row r="3393" spans="89:111" ht="11.25" customHeight="1">
      <c r="CK3393" s="1"/>
      <c r="CW3393" s="144"/>
      <c r="DG3393" s="143"/>
    </row>
    <row r="3394" spans="89:111" ht="11.25" customHeight="1">
      <c r="CK3394" s="1"/>
      <c r="CW3394" s="144"/>
      <c r="DG3394" s="143"/>
    </row>
    <row r="3395" spans="89:111" ht="11.25" customHeight="1">
      <c r="CK3395" s="1"/>
      <c r="CW3395" s="144"/>
      <c r="DG3395" s="143"/>
    </row>
    <row r="3396" spans="89:111" ht="11.25" customHeight="1">
      <c r="CK3396" s="1"/>
      <c r="CW3396" s="144"/>
      <c r="DG3396" s="143"/>
    </row>
    <row r="3397" spans="89:111" ht="11.25" customHeight="1">
      <c r="CK3397" s="1"/>
      <c r="CW3397" s="144"/>
      <c r="DG3397" s="143"/>
    </row>
    <row r="3398" spans="89:111" ht="11.25" customHeight="1">
      <c r="CK3398" s="1"/>
      <c r="CW3398" s="144"/>
      <c r="DG3398" s="143"/>
    </row>
    <row r="3399" spans="89:111" ht="11.25" customHeight="1">
      <c r="CK3399" s="1"/>
      <c r="CW3399" s="144"/>
      <c r="DG3399" s="143"/>
    </row>
    <row r="3400" spans="89:111" ht="11.25" customHeight="1">
      <c r="CK3400" s="1"/>
      <c r="CW3400" s="144"/>
      <c r="DG3400" s="143"/>
    </row>
    <row r="3401" spans="89:111" ht="11.25" customHeight="1">
      <c r="CK3401" s="1"/>
      <c r="CW3401" s="144"/>
      <c r="DG3401" s="143"/>
    </row>
    <row r="3402" spans="89:111" ht="11.25" customHeight="1">
      <c r="CK3402" s="1"/>
      <c r="CW3402" s="144"/>
      <c r="DG3402" s="143"/>
    </row>
    <row r="3403" spans="89:111" ht="11.25" customHeight="1">
      <c r="CK3403" s="1"/>
      <c r="CW3403" s="144"/>
      <c r="DG3403" s="143"/>
    </row>
    <row r="3404" spans="89:111" ht="11.25" customHeight="1">
      <c r="CK3404" s="1"/>
      <c r="CW3404" s="144"/>
      <c r="DG3404" s="143"/>
    </row>
    <row r="3405" spans="89:111" ht="11.25" customHeight="1">
      <c r="CK3405" s="1"/>
      <c r="CW3405" s="144"/>
      <c r="DG3405" s="143"/>
    </row>
    <row r="3406" spans="89:111" ht="11.25" customHeight="1">
      <c r="CK3406" s="1"/>
      <c r="CW3406" s="144"/>
      <c r="DG3406" s="143"/>
    </row>
    <row r="3407" spans="89:111" ht="11.25" customHeight="1">
      <c r="CK3407" s="1"/>
      <c r="CW3407" s="144"/>
      <c r="DG3407" s="143"/>
    </row>
    <row r="3408" spans="89:111" ht="11.25" customHeight="1">
      <c r="CK3408" s="1"/>
      <c r="CW3408" s="144"/>
      <c r="DG3408" s="143"/>
    </row>
    <row r="3409" spans="89:111" ht="11.25" customHeight="1">
      <c r="CK3409" s="1"/>
      <c r="CW3409" s="144"/>
      <c r="DG3409" s="143"/>
    </row>
    <row r="3410" spans="89:111" ht="11.25" customHeight="1">
      <c r="CK3410" s="1"/>
      <c r="CW3410" s="144"/>
      <c r="DG3410" s="143"/>
    </row>
    <row r="3411" spans="89:111" ht="11.25" customHeight="1">
      <c r="CK3411" s="1"/>
      <c r="CW3411" s="144"/>
      <c r="DG3411" s="143"/>
    </row>
    <row r="3412" spans="89:111" ht="11.25" customHeight="1">
      <c r="CK3412" s="1"/>
      <c r="CW3412" s="144"/>
      <c r="DG3412" s="143"/>
    </row>
    <row r="3413" spans="89:111" ht="11.25" customHeight="1">
      <c r="CK3413" s="1"/>
      <c r="CW3413" s="144"/>
      <c r="DG3413" s="143"/>
    </row>
    <row r="3414" spans="89:111" ht="11.25" customHeight="1">
      <c r="CK3414" s="1"/>
      <c r="CW3414" s="144"/>
      <c r="DG3414" s="143"/>
    </row>
    <row r="3415" spans="89:111" ht="11.25" customHeight="1">
      <c r="CK3415" s="1"/>
      <c r="CW3415" s="144"/>
      <c r="DG3415" s="143"/>
    </row>
    <row r="3416" spans="89:111" ht="11.25" customHeight="1">
      <c r="CK3416" s="1"/>
      <c r="CW3416" s="144"/>
      <c r="DG3416" s="143"/>
    </row>
    <row r="3417" spans="89:111" ht="11.25" customHeight="1">
      <c r="CK3417" s="1"/>
      <c r="CW3417" s="144"/>
      <c r="DG3417" s="143"/>
    </row>
    <row r="3418" spans="89:111" ht="11.25" customHeight="1">
      <c r="CK3418" s="1"/>
      <c r="CW3418" s="144"/>
      <c r="DG3418" s="143"/>
    </row>
    <row r="3419" spans="89:111" ht="11.25" customHeight="1">
      <c r="CK3419" s="1"/>
      <c r="CW3419" s="144"/>
      <c r="DG3419" s="143"/>
    </row>
    <row r="3420" spans="89:111" ht="11.25" customHeight="1">
      <c r="CK3420" s="1"/>
      <c r="CW3420" s="144"/>
      <c r="DG3420" s="143"/>
    </row>
    <row r="3421" spans="89:111" ht="11.25" customHeight="1">
      <c r="CK3421" s="1"/>
      <c r="CW3421" s="144"/>
      <c r="DG3421" s="143"/>
    </row>
    <row r="3422" spans="89:111" ht="11.25" customHeight="1">
      <c r="CK3422" s="1"/>
      <c r="CW3422" s="144"/>
      <c r="DG3422" s="143"/>
    </row>
    <row r="3423" spans="89:111" ht="11.25" customHeight="1">
      <c r="CK3423" s="1"/>
      <c r="CW3423" s="144"/>
      <c r="DG3423" s="143"/>
    </row>
    <row r="3424" spans="89:111" ht="11.25" customHeight="1">
      <c r="CK3424" s="1"/>
      <c r="CW3424" s="144"/>
      <c r="DG3424" s="143"/>
    </row>
    <row r="3425" spans="89:111" ht="11.25" customHeight="1">
      <c r="CK3425" s="1"/>
      <c r="CW3425" s="144"/>
      <c r="DG3425" s="143"/>
    </row>
    <row r="3426" spans="89:111" ht="11.25" customHeight="1">
      <c r="CK3426" s="1"/>
      <c r="CW3426" s="144"/>
      <c r="DG3426" s="143"/>
    </row>
    <row r="3427" spans="89:111" ht="11.25" customHeight="1">
      <c r="CK3427" s="1"/>
      <c r="CW3427" s="144"/>
      <c r="DG3427" s="143"/>
    </row>
    <row r="3428" spans="89:111" ht="11.25" customHeight="1">
      <c r="CK3428" s="1"/>
      <c r="CW3428" s="144"/>
      <c r="DG3428" s="143"/>
    </row>
    <row r="3429" spans="89:111" ht="11.25" customHeight="1">
      <c r="CK3429" s="1"/>
      <c r="CW3429" s="144"/>
      <c r="DG3429" s="143"/>
    </row>
    <row r="3430" spans="89:111" ht="11.25" customHeight="1">
      <c r="CK3430" s="1"/>
      <c r="CW3430" s="144"/>
      <c r="DG3430" s="143"/>
    </row>
    <row r="3431" spans="89:111" ht="11.25" customHeight="1">
      <c r="CK3431" s="1"/>
      <c r="CW3431" s="144"/>
      <c r="DG3431" s="143"/>
    </row>
    <row r="3432" spans="89:111" ht="11.25" customHeight="1">
      <c r="CK3432" s="1"/>
      <c r="CW3432" s="144"/>
      <c r="DG3432" s="143"/>
    </row>
    <row r="3433" spans="89:111" ht="11.25" customHeight="1">
      <c r="CK3433" s="1"/>
      <c r="CW3433" s="144"/>
      <c r="DG3433" s="143"/>
    </row>
    <row r="3434" spans="89:111" ht="11.25" customHeight="1">
      <c r="CK3434" s="1"/>
      <c r="CW3434" s="144"/>
      <c r="DG3434" s="143"/>
    </row>
    <row r="3435" spans="89:111" ht="11.25" customHeight="1">
      <c r="CK3435" s="1"/>
      <c r="CW3435" s="144"/>
      <c r="DG3435" s="143"/>
    </row>
    <row r="3436" spans="89:111" ht="11.25" customHeight="1">
      <c r="CK3436" s="1"/>
      <c r="CW3436" s="144"/>
      <c r="DG3436" s="143"/>
    </row>
    <row r="3437" spans="89:111" ht="11.25" customHeight="1">
      <c r="CK3437" s="1"/>
      <c r="CW3437" s="144"/>
      <c r="DG3437" s="143"/>
    </row>
    <row r="3438" spans="89:111" ht="11.25" customHeight="1">
      <c r="CK3438" s="1"/>
      <c r="CW3438" s="144"/>
      <c r="DG3438" s="143"/>
    </row>
    <row r="3439" spans="89:111" ht="11.25" customHeight="1">
      <c r="CK3439" s="1"/>
      <c r="CW3439" s="144"/>
      <c r="DG3439" s="143"/>
    </row>
    <row r="3440" spans="89:111" ht="11.25" customHeight="1">
      <c r="CK3440" s="1"/>
      <c r="CW3440" s="144"/>
      <c r="DG3440" s="143"/>
    </row>
    <row r="3441" spans="89:111" ht="11.25" customHeight="1">
      <c r="CK3441" s="1"/>
      <c r="CW3441" s="144"/>
      <c r="DG3441" s="143"/>
    </row>
    <row r="3442" spans="89:111" ht="11.25" customHeight="1">
      <c r="CK3442" s="1"/>
      <c r="CW3442" s="144"/>
      <c r="DG3442" s="143"/>
    </row>
    <row r="3443" spans="89:111" ht="11.25" customHeight="1">
      <c r="CK3443" s="1"/>
      <c r="CW3443" s="144"/>
      <c r="DG3443" s="143"/>
    </row>
    <row r="3444" spans="89:111" ht="11.25" customHeight="1">
      <c r="CK3444" s="1"/>
      <c r="CW3444" s="144"/>
      <c r="DG3444" s="143"/>
    </row>
    <row r="3445" spans="89:111" ht="11.25" customHeight="1">
      <c r="CK3445" s="1"/>
      <c r="CW3445" s="144"/>
      <c r="DG3445" s="143"/>
    </row>
    <row r="3446" spans="89:111" ht="11.25" customHeight="1">
      <c r="CK3446" s="1"/>
      <c r="CW3446" s="144"/>
      <c r="DG3446" s="143"/>
    </row>
    <row r="3447" spans="89:111" ht="11.25" customHeight="1">
      <c r="CK3447" s="1"/>
      <c r="CW3447" s="144"/>
      <c r="DG3447" s="143"/>
    </row>
    <row r="3448" spans="89:111" ht="11.25" customHeight="1">
      <c r="CK3448" s="1"/>
      <c r="CW3448" s="144"/>
      <c r="DG3448" s="143"/>
    </row>
    <row r="3449" spans="89:111" ht="11.25" customHeight="1">
      <c r="CK3449" s="1"/>
      <c r="CW3449" s="144"/>
      <c r="DG3449" s="143"/>
    </row>
    <row r="3450" spans="89:111" ht="11.25" customHeight="1">
      <c r="CK3450" s="1"/>
      <c r="CW3450" s="144"/>
      <c r="DG3450" s="143"/>
    </row>
    <row r="3451" spans="89:111" ht="11.25" customHeight="1">
      <c r="CK3451" s="1"/>
      <c r="CW3451" s="144"/>
      <c r="DG3451" s="143"/>
    </row>
    <row r="3452" spans="89:111" ht="11.25" customHeight="1">
      <c r="CK3452" s="1"/>
      <c r="CW3452" s="144"/>
      <c r="DG3452" s="143"/>
    </row>
    <row r="3453" spans="89:111" ht="11.25" customHeight="1">
      <c r="CK3453" s="1"/>
      <c r="CW3453" s="144"/>
      <c r="DG3453" s="143"/>
    </row>
    <row r="3454" spans="89:111" ht="11.25" customHeight="1">
      <c r="CK3454" s="1"/>
      <c r="CW3454" s="144"/>
      <c r="DG3454" s="143"/>
    </row>
    <row r="3455" spans="89:111" ht="11.25" customHeight="1">
      <c r="CK3455" s="1"/>
      <c r="CW3455" s="144"/>
      <c r="DG3455" s="143"/>
    </row>
    <row r="3456" spans="89:111" ht="11.25" customHeight="1">
      <c r="CK3456" s="1"/>
      <c r="CW3456" s="144"/>
      <c r="DG3456" s="143"/>
    </row>
    <row r="3457" spans="89:111" ht="11.25" customHeight="1">
      <c r="CK3457" s="1"/>
      <c r="CW3457" s="144"/>
      <c r="DG3457" s="143"/>
    </row>
    <row r="3458" spans="89:111" ht="11.25" customHeight="1">
      <c r="CK3458" s="1"/>
      <c r="CW3458" s="144"/>
      <c r="DG3458" s="143"/>
    </row>
    <row r="3459" spans="89:111" ht="11.25" customHeight="1">
      <c r="CK3459" s="1"/>
      <c r="CW3459" s="144"/>
      <c r="DG3459" s="143"/>
    </row>
    <row r="3460" spans="89:111" ht="11.25" customHeight="1">
      <c r="CK3460" s="1"/>
      <c r="CW3460" s="144"/>
      <c r="DG3460" s="143"/>
    </row>
    <row r="3461" spans="89:111" ht="11.25" customHeight="1">
      <c r="CK3461" s="1"/>
      <c r="CW3461" s="144"/>
      <c r="DG3461" s="143"/>
    </row>
    <row r="3462" spans="89:111" ht="11.25" customHeight="1">
      <c r="CK3462" s="1"/>
      <c r="CW3462" s="144"/>
      <c r="DG3462" s="143"/>
    </row>
    <row r="3463" spans="89:111" ht="11.25" customHeight="1">
      <c r="CK3463" s="1"/>
      <c r="CW3463" s="144"/>
      <c r="DG3463" s="143"/>
    </row>
    <row r="3464" spans="89:111" ht="11.25" customHeight="1">
      <c r="CK3464" s="1"/>
      <c r="CW3464" s="144"/>
      <c r="DG3464" s="143"/>
    </row>
    <row r="3465" spans="89:111" ht="11.25" customHeight="1">
      <c r="CK3465" s="1"/>
      <c r="CW3465" s="144"/>
      <c r="DG3465" s="143"/>
    </row>
    <row r="3466" spans="89:111" ht="11.25" customHeight="1">
      <c r="CK3466" s="1"/>
      <c r="CW3466" s="144"/>
      <c r="DG3466" s="143"/>
    </row>
    <row r="3467" spans="89:111" ht="11.25" customHeight="1">
      <c r="CK3467" s="1"/>
      <c r="CW3467" s="144"/>
      <c r="DG3467" s="143"/>
    </row>
    <row r="3468" spans="89:111" ht="11.25" customHeight="1">
      <c r="CK3468" s="1"/>
      <c r="CW3468" s="144"/>
      <c r="DG3468" s="143"/>
    </row>
    <row r="3469" spans="89:111" ht="11.25" customHeight="1">
      <c r="CK3469" s="1"/>
      <c r="CW3469" s="144"/>
      <c r="DG3469" s="143"/>
    </row>
    <row r="3470" spans="89:111" ht="11.25" customHeight="1">
      <c r="CK3470" s="1"/>
      <c r="CW3470" s="144"/>
      <c r="DG3470" s="143"/>
    </row>
    <row r="3471" spans="89:111" ht="11.25" customHeight="1">
      <c r="CK3471" s="1"/>
      <c r="CW3471" s="144"/>
      <c r="DG3471" s="143"/>
    </row>
    <row r="3472" spans="89:111" ht="11.25" customHeight="1">
      <c r="CK3472" s="1"/>
      <c r="CW3472" s="144"/>
      <c r="DG3472" s="143"/>
    </row>
    <row r="3473" spans="89:111" ht="11.25" customHeight="1">
      <c r="CK3473" s="1"/>
      <c r="CW3473" s="144"/>
      <c r="DG3473" s="143"/>
    </row>
    <row r="3474" spans="89:111" ht="11.25" customHeight="1">
      <c r="CK3474" s="1"/>
      <c r="CW3474" s="144"/>
      <c r="DG3474" s="143"/>
    </row>
    <row r="3475" spans="89:111" ht="11.25" customHeight="1">
      <c r="CK3475" s="1"/>
      <c r="CW3475" s="144"/>
      <c r="DG3475" s="143"/>
    </row>
    <row r="3476" spans="89:111" ht="11.25" customHeight="1">
      <c r="CK3476" s="1"/>
      <c r="CW3476" s="144"/>
      <c r="DG3476" s="143"/>
    </row>
    <row r="3477" spans="89:111" ht="11.25" customHeight="1">
      <c r="CK3477" s="1"/>
      <c r="CW3477" s="144"/>
      <c r="DG3477" s="143"/>
    </row>
    <row r="3478" spans="89:111" ht="11.25" customHeight="1">
      <c r="CK3478" s="1"/>
      <c r="CW3478" s="144"/>
      <c r="DG3478" s="143"/>
    </row>
    <row r="3479" spans="89:111" ht="11.25" customHeight="1">
      <c r="CK3479" s="1"/>
      <c r="CW3479" s="144"/>
      <c r="DG3479" s="143"/>
    </row>
    <row r="3480" spans="89:111" ht="11.25" customHeight="1">
      <c r="CK3480" s="1"/>
      <c r="CW3480" s="144"/>
      <c r="DG3480" s="143"/>
    </row>
    <row r="3481" spans="89:111" ht="11.25" customHeight="1">
      <c r="CK3481" s="1"/>
      <c r="CW3481" s="144"/>
      <c r="DG3481" s="143"/>
    </row>
    <row r="3482" spans="89:111" ht="11.25" customHeight="1">
      <c r="CK3482" s="1"/>
      <c r="CW3482" s="144"/>
      <c r="DG3482" s="143"/>
    </row>
    <row r="3483" spans="89:111" ht="11.25" customHeight="1">
      <c r="CK3483" s="1"/>
      <c r="CW3483" s="144"/>
      <c r="DG3483" s="143"/>
    </row>
    <row r="3484" spans="89:111" ht="11.25" customHeight="1">
      <c r="CK3484" s="1"/>
      <c r="CW3484" s="144"/>
      <c r="DG3484" s="143"/>
    </row>
    <row r="3485" spans="89:111" ht="11.25" customHeight="1">
      <c r="CK3485" s="1"/>
      <c r="CW3485" s="144"/>
      <c r="DG3485" s="143"/>
    </row>
    <row r="3486" spans="89:111" ht="11.25" customHeight="1">
      <c r="CK3486" s="1"/>
      <c r="CW3486" s="144"/>
      <c r="DG3486" s="143"/>
    </row>
    <row r="3487" spans="89:111" ht="11.25" customHeight="1">
      <c r="CK3487" s="1"/>
      <c r="CW3487" s="144"/>
      <c r="DG3487" s="143"/>
    </row>
    <row r="3488" spans="89:111" ht="11.25" customHeight="1">
      <c r="CK3488" s="1"/>
      <c r="CW3488" s="144"/>
      <c r="DG3488" s="143"/>
    </row>
    <row r="3489" spans="89:111" ht="11.25" customHeight="1">
      <c r="CK3489" s="1"/>
      <c r="CW3489" s="144"/>
      <c r="DG3489" s="143"/>
    </row>
    <row r="3490" spans="89:111" ht="11.25" customHeight="1">
      <c r="CK3490" s="1"/>
      <c r="CW3490" s="144"/>
      <c r="DG3490" s="143"/>
    </row>
    <row r="3491" spans="89:111" ht="11.25" customHeight="1">
      <c r="CK3491" s="1"/>
      <c r="CW3491" s="144"/>
      <c r="DG3491" s="143"/>
    </row>
    <row r="3492" spans="89:111" ht="11.25" customHeight="1">
      <c r="CK3492" s="1"/>
      <c r="CW3492" s="144"/>
      <c r="DG3492" s="143"/>
    </row>
    <row r="3493" spans="89:111" ht="11.25" customHeight="1">
      <c r="CK3493" s="1"/>
      <c r="CW3493" s="144"/>
      <c r="DG3493" s="143"/>
    </row>
    <row r="3494" spans="89:111" ht="11.25" customHeight="1">
      <c r="CK3494" s="1"/>
      <c r="CW3494" s="144"/>
      <c r="DG3494" s="143"/>
    </row>
    <row r="3495" spans="89:111" ht="11.25" customHeight="1">
      <c r="CK3495" s="1"/>
      <c r="CW3495" s="144"/>
      <c r="DG3495" s="143"/>
    </row>
    <row r="3496" spans="89:111" ht="11.25" customHeight="1">
      <c r="CK3496" s="1"/>
      <c r="CW3496" s="144"/>
      <c r="DG3496" s="143"/>
    </row>
    <row r="3497" spans="89:111" ht="11.25" customHeight="1">
      <c r="CK3497" s="1"/>
      <c r="CW3497" s="144"/>
      <c r="DG3497" s="143"/>
    </row>
    <row r="3498" spans="89:111" ht="11.25" customHeight="1">
      <c r="CK3498" s="1"/>
      <c r="CW3498" s="144"/>
      <c r="DG3498" s="143"/>
    </row>
    <row r="3499" spans="89:111" ht="11.25" customHeight="1">
      <c r="CK3499" s="1"/>
      <c r="CW3499" s="144"/>
      <c r="DG3499" s="143"/>
    </row>
    <row r="3500" spans="89:111" ht="11.25" customHeight="1">
      <c r="CK3500" s="1"/>
      <c r="CW3500" s="144"/>
      <c r="DG3500" s="143"/>
    </row>
    <row r="3501" spans="89:111" ht="11.25" customHeight="1">
      <c r="CK3501" s="1"/>
      <c r="CW3501" s="144"/>
      <c r="DG3501" s="143"/>
    </row>
    <row r="3502" spans="89:111" ht="11.25" customHeight="1">
      <c r="CK3502" s="1"/>
      <c r="CW3502" s="144"/>
      <c r="DG3502" s="143"/>
    </row>
    <row r="3503" spans="89:111" ht="11.25" customHeight="1">
      <c r="CK3503" s="1"/>
      <c r="CW3503" s="144"/>
      <c r="DG3503" s="143"/>
    </row>
    <row r="3504" spans="89:111" ht="11.25" customHeight="1">
      <c r="CK3504" s="1"/>
      <c r="CW3504" s="144"/>
      <c r="DG3504" s="143"/>
    </row>
    <row r="3505" spans="89:111" ht="11.25" customHeight="1">
      <c r="CK3505" s="1"/>
      <c r="CW3505" s="144"/>
      <c r="DG3505" s="143"/>
    </row>
    <row r="3506" spans="89:111" ht="11.25" customHeight="1">
      <c r="CK3506" s="1"/>
      <c r="CW3506" s="144"/>
      <c r="DG3506" s="143"/>
    </row>
    <row r="3507" spans="89:111" ht="11.25" customHeight="1">
      <c r="CK3507" s="1"/>
      <c r="CW3507" s="144"/>
      <c r="DG3507" s="143"/>
    </row>
    <row r="3508" spans="89:111" ht="11.25" customHeight="1">
      <c r="CK3508" s="1"/>
      <c r="CW3508" s="144"/>
      <c r="DG3508" s="143"/>
    </row>
    <row r="3509" spans="89:111" ht="11.25" customHeight="1">
      <c r="CK3509" s="1"/>
      <c r="CW3509" s="144"/>
      <c r="DG3509" s="143"/>
    </row>
    <row r="3510" spans="89:111" ht="11.25" customHeight="1">
      <c r="CK3510" s="1"/>
      <c r="CW3510" s="144"/>
      <c r="DG3510" s="143"/>
    </row>
    <row r="3511" spans="89:111" ht="11.25" customHeight="1">
      <c r="CK3511" s="1"/>
      <c r="CW3511" s="144"/>
      <c r="DG3511" s="143"/>
    </row>
    <row r="3512" spans="89:111" ht="11.25" customHeight="1">
      <c r="CK3512" s="1"/>
      <c r="CW3512" s="144"/>
      <c r="DG3512" s="143"/>
    </row>
    <row r="3513" spans="89:111" ht="11.25" customHeight="1">
      <c r="CK3513" s="1"/>
      <c r="CW3513" s="144"/>
      <c r="DG3513" s="143"/>
    </row>
    <row r="3514" spans="89:111" ht="11.25" customHeight="1">
      <c r="CK3514" s="1"/>
      <c r="CW3514" s="144"/>
      <c r="DG3514" s="143"/>
    </row>
    <row r="3515" spans="89:111" ht="11.25" customHeight="1">
      <c r="CK3515" s="1"/>
      <c r="CW3515" s="144"/>
      <c r="DG3515" s="143"/>
    </row>
    <row r="3516" spans="89:111" ht="11.25" customHeight="1">
      <c r="CK3516" s="1"/>
      <c r="CW3516" s="144"/>
      <c r="DG3516" s="143"/>
    </row>
    <row r="3517" spans="89:111" ht="11.25" customHeight="1">
      <c r="CK3517" s="1"/>
      <c r="CW3517" s="144"/>
      <c r="DG3517" s="143"/>
    </row>
    <row r="3518" spans="89:111" ht="11.25" customHeight="1">
      <c r="CK3518" s="1"/>
      <c r="CW3518" s="144"/>
      <c r="DG3518" s="143"/>
    </row>
    <row r="3519" spans="89:111" ht="11.25" customHeight="1">
      <c r="CK3519" s="1"/>
      <c r="CW3519" s="144"/>
      <c r="DG3519" s="143"/>
    </row>
    <row r="3520" spans="89:111" ht="11.25" customHeight="1">
      <c r="CK3520" s="1"/>
      <c r="CW3520" s="144"/>
      <c r="DG3520" s="143"/>
    </row>
    <row r="3521" spans="89:111" ht="11.25" customHeight="1">
      <c r="CK3521" s="1"/>
      <c r="CW3521" s="144"/>
      <c r="DG3521" s="143"/>
    </row>
    <row r="3522" spans="89:111" ht="11.25" customHeight="1">
      <c r="CK3522" s="1"/>
      <c r="CW3522" s="144"/>
      <c r="DG3522" s="143"/>
    </row>
    <row r="3523" spans="89:111" ht="11.25" customHeight="1">
      <c r="CK3523" s="1"/>
      <c r="CW3523" s="144"/>
      <c r="DG3523" s="143"/>
    </row>
    <row r="3524" spans="89:111" ht="11.25" customHeight="1">
      <c r="CK3524" s="1"/>
      <c r="CW3524" s="144"/>
      <c r="DG3524" s="143"/>
    </row>
    <row r="3525" spans="89:111" ht="11.25" customHeight="1">
      <c r="CK3525" s="1"/>
      <c r="CW3525" s="144"/>
      <c r="DG3525" s="143"/>
    </row>
    <row r="3526" spans="89:111" ht="11.25" customHeight="1">
      <c r="CK3526" s="1"/>
      <c r="CW3526" s="144"/>
      <c r="DG3526" s="143"/>
    </row>
    <row r="3527" spans="89:111" ht="11.25" customHeight="1">
      <c r="CK3527" s="1"/>
      <c r="CW3527" s="144"/>
      <c r="DG3527" s="143"/>
    </row>
    <row r="3528" spans="89:111" ht="11.25" customHeight="1">
      <c r="CK3528" s="1"/>
      <c r="CW3528" s="144"/>
      <c r="DG3528" s="143"/>
    </row>
    <row r="3529" spans="89:111" ht="11.25" customHeight="1">
      <c r="CK3529" s="1"/>
      <c r="CW3529" s="144"/>
      <c r="DG3529" s="143"/>
    </row>
    <row r="3530" spans="89:111" ht="11.25" customHeight="1">
      <c r="CK3530" s="1"/>
      <c r="CW3530" s="144"/>
      <c r="DG3530" s="143"/>
    </row>
    <row r="3531" spans="89:111" ht="11.25" customHeight="1">
      <c r="CK3531" s="1"/>
      <c r="CW3531" s="144"/>
      <c r="DG3531" s="143"/>
    </row>
    <row r="3532" spans="89:111" ht="11.25" customHeight="1">
      <c r="CK3532" s="1"/>
      <c r="CW3532" s="144"/>
      <c r="DG3532" s="143"/>
    </row>
    <row r="3533" spans="89:111" ht="11.25" customHeight="1">
      <c r="CK3533" s="1"/>
      <c r="CW3533" s="144"/>
      <c r="DG3533" s="143"/>
    </row>
    <row r="3534" spans="89:111" ht="11.25" customHeight="1">
      <c r="CK3534" s="1"/>
      <c r="CW3534" s="144"/>
      <c r="DG3534" s="143"/>
    </row>
    <row r="3535" spans="89:111" ht="11.25" customHeight="1">
      <c r="CK3535" s="1"/>
      <c r="CW3535" s="144"/>
      <c r="DG3535" s="143"/>
    </row>
    <row r="3536" spans="89:111" ht="11.25" customHeight="1">
      <c r="CK3536" s="1"/>
      <c r="CW3536" s="144"/>
      <c r="DG3536" s="143"/>
    </row>
    <row r="3537" spans="89:111" ht="11.25" customHeight="1">
      <c r="CK3537" s="1"/>
      <c r="CW3537" s="144"/>
      <c r="DG3537" s="143"/>
    </row>
    <row r="3538" spans="89:111" ht="11.25" customHeight="1">
      <c r="CK3538" s="1"/>
      <c r="CW3538" s="144"/>
      <c r="DG3538" s="143"/>
    </row>
    <row r="3539" spans="89:111" ht="11.25" customHeight="1">
      <c r="CK3539" s="1"/>
      <c r="CW3539" s="144"/>
      <c r="DG3539" s="143"/>
    </row>
    <row r="3540" spans="89:111" ht="11.25" customHeight="1">
      <c r="CK3540" s="1"/>
      <c r="CW3540" s="144"/>
      <c r="DG3540" s="143"/>
    </row>
    <row r="3541" spans="89:111" ht="11.25" customHeight="1">
      <c r="CK3541" s="1"/>
      <c r="CW3541" s="144"/>
      <c r="DG3541" s="143"/>
    </row>
    <row r="3542" spans="89:111" ht="11.25" customHeight="1">
      <c r="CK3542" s="1"/>
      <c r="CW3542" s="144"/>
      <c r="DG3542" s="143"/>
    </row>
    <row r="3543" spans="89:111" ht="11.25" customHeight="1">
      <c r="CK3543" s="1"/>
      <c r="CW3543" s="144"/>
      <c r="DG3543" s="143"/>
    </row>
    <row r="3544" spans="89:111" ht="11.25" customHeight="1">
      <c r="CK3544" s="1"/>
      <c r="CW3544" s="144"/>
      <c r="DG3544" s="143"/>
    </row>
    <row r="3545" spans="89:111" ht="11.25" customHeight="1">
      <c r="CK3545" s="1"/>
      <c r="CW3545" s="144"/>
      <c r="DG3545" s="143"/>
    </row>
    <row r="3546" spans="89:111" ht="11.25" customHeight="1">
      <c r="CK3546" s="1"/>
      <c r="CW3546" s="144"/>
      <c r="DG3546" s="143"/>
    </row>
    <row r="3547" spans="89:111" ht="11.25" customHeight="1">
      <c r="CK3547" s="1"/>
      <c r="CW3547" s="144"/>
      <c r="DG3547" s="143"/>
    </row>
    <row r="3548" spans="89:111" ht="11.25" customHeight="1">
      <c r="CK3548" s="1"/>
      <c r="CW3548" s="144"/>
      <c r="DG3548" s="143"/>
    </row>
    <row r="3549" spans="89:111" ht="11.25" customHeight="1">
      <c r="CK3549" s="1"/>
      <c r="CW3549" s="144"/>
      <c r="DG3549" s="143"/>
    </row>
    <row r="3550" spans="89:111" ht="11.25" customHeight="1">
      <c r="CK3550" s="1"/>
      <c r="CW3550" s="144"/>
      <c r="DG3550" s="143"/>
    </row>
    <row r="3551" spans="89:111" ht="11.25" customHeight="1">
      <c r="CK3551" s="1"/>
      <c r="CW3551" s="144"/>
      <c r="DG3551" s="143"/>
    </row>
    <row r="3552" spans="89:111" ht="11.25" customHeight="1">
      <c r="CK3552" s="1"/>
      <c r="CW3552" s="144"/>
      <c r="DG3552" s="143"/>
    </row>
    <row r="3553" spans="89:111" ht="11.25" customHeight="1">
      <c r="CK3553" s="1"/>
      <c r="CW3553" s="144"/>
      <c r="DG3553" s="143"/>
    </row>
    <row r="3554" spans="89:111" ht="11.25" customHeight="1">
      <c r="CK3554" s="1"/>
      <c r="CW3554" s="144"/>
      <c r="DG3554" s="143"/>
    </row>
    <row r="3555" spans="89:111" ht="11.25" customHeight="1">
      <c r="CK3555" s="1"/>
      <c r="CW3555" s="144"/>
      <c r="DG3555" s="143"/>
    </row>
    <row r="3556" spans="89:111" ht="11.25" customHeight="1">
      <c r="CK3556" s="1"/>
      <c r="CW3556" s="144"/>
      <c r="DG3556" s="143"/>
    </row>
    <row r="3557" spans="89:111" ht="11.25" customHeight="1">
      <c r="CK3557" s="1"/>
      <c r="CW3557" s="144"/>
      <c r="DG3557" s="143"/>
    </row>
    <row r="3558" spans="89:111" ht="11.25" customHeight="1">
      <c r="CK3558" s="1"/>
      <c r="CW3558" s="144"/>
      <c r="DG3558" s="143"/>
    </row>
    <row r="3559" spans="89:111" ht="11.25" customHeight="1">
      <c r="CK3559" s="1"/>
      <c r="CW3559" s="144"/>
      <c r="DG3559" s="143"/>
    </row>
    <row r="3560" spans="89:111" ht="11.25" customHeight="1">
      <c r="CK3560" s="1"/>
      <c r="CW3560" s="144"/>
      <c r="DG3560" s="143"/>
    </row>
    <row r="3561" spans="89:111" ht="11.25" customHeight="1">
      <c r="CK3561" s="1"/>
      <c r="CW3561" s="144"/>
      <c r="DG3561" s="143"/>
    </row>
    <row r="3562" spans="89:111" ht="11.25" customHeight="1">
      <c r="CK3562" s="1"/>
      <c r="CW3562" s="144"/>
      <c r="DG3562" s="143"/>
    </row>
    <row r="3563" spans="89:111" ht="11.25" customHeight="1">
      <c r="CK3563" s="1"/>
      <c r="CW3563" s="144"/>
      <c r="DG3563" s="143"/>
    </row>
    <row r="3564" spans="89:111" ht="11.25" customHeight="1">
      <c r="CK3564" s="1"/>
      <c r="CW3564" s="144"/>
      <c r="DG3564" s="143"/>
    </row>
    <row r="3565" spans="89:111" ht="11.25" customHeight="1">
      <c r="CK3565" s="1"/>
      <c r="CW3565" s="144"/>
      <c r="DG3565" s="143"/>
    </row>
    <row r="3566" spans="89:111" ht="11.25" customHeight="1">
      <c r="CK3566" s="1"/>
      <c r="CW3566" s="144"/>
      <c r="DG3566" s="143"/>
    </row>
    <row r="3567" spans="89:111" ht="11.25" customHeight="1">
      <c r="CK3567" s="1"/>
      <c r="CW3567" s="144"/>
      <c r="DG3567" s="143"/>
    </row>
    <row r="3568" spans="89:111" ht="11.25" customHeight="1">
      <c r="CK3568" s="1"/>
      <c r="CW3568" s="144"/>
      <c r="DG3568" s="143"/>
    </row>
    <row r="3569" spans="89:111" ht="11.25" customHeight="1">
      <c r="CK3569" s="1"/>
      <c r="CW3569" s="144"/>
      <c r="DG3569" s="143"/>
    </row>
    <row r="3570" spans="89:111" ht="11.25" customHeight="1">
      <c r="CK3570" s="1"/>
      <c r="CW3570" s="144"/>
      <c r="DG3570" s="143"/>
    </row>
    <row r="3571" spans="89:111" ht="11.25" customHeight="1">
      <c r="CK3571" s="1"/>
      <c r="CW3571" s="144"/>
      <c r="DG3571" s="143"/>
    </row>
    <row r="3572" spans="89:111" ht="11.25" customHeight="1">
      <c r="CK3572" s="1"/>
      <c r="CW3572" s="144"/>
      <c r="DG3572" s="143"/>
    </row>
    <row r="3573" spans="89:111" ht="11.25" customHeight="1">
      <c r="CK3573" s="1"/>
      <c r="CW3573" s="144"/>
      <c r="DG3573" s="143"/>
    </row>
    <row r="3574" spans="89:111" ht="11.25" customHeight="1">
      <c r="CK3574" s="1"/>
      <c r="CW3574" s="144"/>
      <c r="DG3574" s="143"/>
    </row>
    <row r="3575" spans="89:111" ht="11.25" customHeight="1">
      <c r="CK3575" s="1"/>
      <c r="CW3575" s="144"/>
      <c r="DG3575" s="143"/>
    </row>
    <row r="3576" spans="89:111" ht="11.25" customHeight="1">
      <c r="CK3576" s="1"/>
      <c r="CW3576" s="144"/>
      <c r="DG3576" s="143"/>
    </row>
    <row r="3577" spans="89:111" ht="11.25" customHeight="1">
      <c r="CK3577" s="1"/>
      <c r="CW3577" s="144"/>
      <c r="DG3577" s="143"/>
    </row>
    <row r="3578" spans="89:111" ht="11.25" customHeight="1">
      <c r="CK3578" s="1"/>
      <c r="CW3578" s="144"/>
      <c r="DG3578" s="143"/>
    </row>
    <row r="3579" spans="89:111" ht="11.25" customHeight="1">
      <c r="CK3579" s="1"/>
      <c r="CW3579" s="144"/>
      <c r="DG3579" s="143"/>
    </row>
    <row r="3580" spans="89:111" ht="11.25" customHeight="1">
      <c r="CK3580" s="1"/>
      <c r="CW3580" s="144"/>
      <c r="DG3580" s="143"/>
    </row>
    <row r="3581" spans="89:111" ht="11.25" customHeight="1">
      <c r="CK3581" s="1"/>
      <c r="CW3581" s="144"/>
      <c r="DG3581" s="143"/>
    </row>
    <row r="3582" spans="89:111" ht="11.25" customHeight="1">
      <c r="CK3582" s="1"/>
      <c r="CW3582" s="144"/>
      <c r="DG3582" s="143"/>
    </row>
    <row r="3583" spans="89:111" ht="11.25" customHeight="1">
      <c r="CK3583" s="1"/>
      <c r="CW3583" s="144"/>
      <c r="DG3583" s="143"/>
    </row>
    <row r="3584" spans="89:111" ht="11.25" customHeight="1">
      <c r="CK3584" s="1"/>
      <c r="CW3584" s="144"/>
      <c r="DG3584" s="143"/>
    </row>
    <row r="3585" spans="89:111" ht="11.25" customHeight="1">
      <c r="CK3585" s="1"/>
      <c r="CW3585" s="144"/>
      <c r="DG3585" s="143"/>
    </row>
    <row r="3586" spans="89:111" ht="11.25" customHeight="1">
      <c r="CK3586" s="1"/>
      <c r="CW3586" s="144"/>
      <c r="DG3586" s="143"/>
    </row>
    <row r="3587" spans="89:111" ht="11.25" customHeight="1">
      <c r="CK3587" s="1"/>
      <c r="CW3587" s="144"/>
      <c r="DG3587" s="143"/>
    </row>
    <row r="3588" spans="89:111" ht="11.25" customHeight="1">
      <c r="CK3588" s="1"/>
      <c r="CW3588" s="144"/>
      <c r="DG3588" s="143"/>
    </row>
    <row r="3589" spans="89:111" ht="11.25" customHeight="1">
      <c r="CK3589" s="1"/>
      <c r="CW3589" s="144"/>
      <c r="DG3589" s="143"/>
    </row>
    <row r="3590" spans="89:111" ht="11.25" customHeight="1">
      <c r="CK3590" s="1"/>
      <c r="CW3590" s="144"/>
      <c r="DG3590" s="143"/>
    </row>
    <row r="3591" spans="89:111" ht="11.25" customHeight="1">
      <c r="CK3591" s="1"/>
      <c r="CW3591" s="144"/>
      <c r="DG3591" s="143"/>
    </row>
    <row r="3592" spans="89:111" ht="11.25" customHeight="1">
      <c r="CK3592" s="1"/>
      <c r="CW3592" s="144"/>
      <c r="DG3592" s="143"/>
    </row>
    <row r="3593" spans="89:111" ht="11.25" customHeight="1">
      <c r="CK3593" s="1"/>
      <c r="CW3593" s="144"/>
      <c r="DG3593" s="143"/>
    </row>
    <row r="3594" spans="89:111" ht="11.25" customHeight="1">
      <c r="CK3594" s="1"/>
      <c r="CW3594" s="144"/>
      <c r="DG3594" s="143"/>
    </row>
    <row r="3595" spans="89:111" ht="11.25" customHeight="1">
      <c r="CK3595" s="1"/>
      <c r="CW3595" s="144"/>
      <c r="DG3595" s="143"/>
    </row>
    <row r="3596" spans="89:111" ht="11.25" customHeight="1">
      <c r="CK3596" s="1"/>
      <c r="CW3596" s="144"/>
      <c r="DG3596" s="143"/>
    </row>
    <row r="3597" spans="89:111" ht="11.25" customHeight="1">
      <c r="CK3597" s="1"/>
      <c r="CW3597" s="144"/>
      <c r="DG3597" s="143"/>
    </row>
    <row r="3598" spans="89:111" ht="11.25" customHeight="1">
      <c r="CK3598" s="1"/>
      <c r="CW3598" s="144"/>
      <c r="DG3598" s="143"/>
    </row>
    <row r="3599" spans="89:111" ht="11.25" customHeight="1">
      <c r="CK3599" s="1"/>
      <c r="CW3599" s="144"/>
      <c r="DG3599" s="143"/>
    </row>
    <row r="3600" spans="89:111" ht="11.25" customHeight="1">
      <c r="CK3600" s="1"/>
      <c r="CW3600" s="144"/>
      <c r="DG3600" s="143"/>
    </row>
    <row r="3601" spans="89:111" ht="11.25" customHeight="1">
      <c r="CK3601" s="1"/>
      <c r="CW3601" s="144"/>
      <c r="DG3601" s="143"/>
    </row>
    <row r="3602" spans="89:111" ht="11.25" customHeight="1">
      <c r="CK3602" s="1"/>
      <c r="CW3602" s="144"/>
      <c r="DG3602" s="143"/>
    </row>
    <row r="3603" spans="89:111" ht="11.25" customHeight="1">
      <c r="CK3603" s="1"/>
      <c r="CW3603" s="144"/>
      <c r="DG3603" s="143"/>
    </row>
    <row r="3604" spans="89:111" ht="11.25" customHeight="1">
      <c r="CK3604" s="1"/>
      <c r="CW3604" s="144"/>
      <c r="DG3604" s="143"/>
    </row>
    <row r="3605" spans="89:111" ht="11.25" customHeight="1">
      <c r="CK3605" s="1"/>
      <c r="CW3605" s="144"/>
      <c r="DG3605" s="143"/>
    </row>
    <row r="3606" spans="89:111" ht="11.25" customHeight="1">
      <c r="CK3606" s="1"/>
      <c r="CW3606" s="144"/>
      <c r="DG3606" s="143"/>
    </row>
    <row r="3607" spans="89:111" ht="11.25" customHeight="1">
      <c r="CK3607" s="1"/>
      <c r="CW3607" s="144"/>
      <c r="DG3607" s="143"/>
    </row>
    <row r="3608" spans="89:111" ht="11.25" customHeight="1">
      <c r="CK3608" s="1"/>
      <c r="CW3608" s="144"/>
      <c r="DG3608" s="143"/>
    </row>
    <row r="3609" spans="89:111" ht="11.25" customHeight="1">
      <c r="CK3609" s="1"/>
      <c r="CW3609" s="144"/>
      <c r="DG3609" s="143"/>
    </row>
    <row r="3610" spans="89:111" ht="11.25" customHeight="1">
      <c r="CK3610" s="1"/>
      <c r="CW3610" s="144"/>
      <c r="DG3610" s="143"/>
    </row>
    <row r="3611" spans="89:111" ht="11.25" customHeight="1">
      <c r="CK3611" s="1"/>
      <c r="CW3611" s="144"/>
      <c r="DG3611" s="143"/>
    </row>
    <row r="3612" spans="89:111" ht="11.25" customHeight="1">
      <c r="CK3612" s="1"/>
      <c r="CW3612" s="144"/>
      <c r="DG3612" s="143"/>
    </row>
    <row r="3613" spans="89:111" ht="11.25" customHeight="1">
      <c r="CK3613" s="1"/>
      <c r="CW3613" s="144"/>
      <c r="DG3613" s="143"/>
    </row>
    <row r="3614" spans="89:111" ht="11.25" customHeight="1">
      <c r="CK3614" s="1"/>
      <c r="CW3614" s="144"/>
      <c r="DG3614" s="143"/>
    </row>
    <row r="3615" spans="89:111" ht="11.25" customHeight="1">
      <c r="CK3615" s="1"/>
      <c r="CW3615" s="144"/>
      <c r="DG3615" s="143"/>
    </row>
    <row r="3616" spans="89:111" ht="11.25" customHeight="1">
      <c r="CK3616" s="1"/>
      <c r="CW3616" s="144"/>
      <c r="DG3616" s="143"/>
    </row>
    <row r="3617" spans="89:111" ht="11.25" customHeight="1">
      <c r="CK3617" s="1"/>
      <c r="CW3617" s="144"/>
      <c r="DG3617" s="143"/>
    </row>
    <row r="3618" spans="89:111" ht="11.25" customHeight="1">
      <c r="CK3618" s="1"/>
      <c r="CW3618" s="144"/>
      <c r="DG3618" s="143"/>
    </row>
    <row r="3619" spans="89:111" ht="11.25" customHeight="1">
      <c r="CK3619" s="1"/>
      <c r="CW3619" s="144"/>
      <c r="DG3619" s="143"/>
    </row>
    <row r="3620" spans="89:111" ht="11.25" customHeight="1">
      <c r="CK3620" s="1"/>
      <c r="CW3620" s="144"/>
      <c r="DG3620" s="143"/>
    </row>
    <row r="3621" spans="89:111" ht="11.25" customHeight="1">
      <c r="CK3621" s="1"/>
      <c r="CW3621" s="144"/>
      <c r="DG3621" s="143"/>
    </row>
    <row r="3622" spans="89:111" ht="11.25" customHeight="1">
      <c r="CK3622" s="1"/>
      <c r="CW3622" s="144"/>
      <c r="DG3622" s="143"/>
    </row>
    <row r="3623" spans="89:111" ht="11.25" customHeight="1">
      <c r="CK3623" s="1"/>
      <c r="CW3623" s="144"/>
      <c r="DG3623" s="143"/>
    </row>
    <row r="3624" spans="89:111" ht="11.25" customHeight="1">
      <c r="CK3624" s="1"/>
      <c r="CW3624" s="144"/>
      <c r="DG3624" s="143"/>
    </row>
    <row r="3625" spans="89:111" ht="11.25" customHeight="1">
      <c r="CK3625" s="1"/>
      <c r="CW3625" s="144"/>
      <c r="DG3625" s="143"/>
    </row>
    <row r="3626" spans="89:111" ht="11.25" customHeight="1">
      <c r="CK3626" s="1"/>
      <c r="CW3626" s="144"/>
      <c r="DG3626" s="143"/>
    </row>
    <row r="3627" spans="89:111" ht="11.25" customHeight="1">
      <c r="CK3627" s="1"/>
      <c r="CW3627" s="144"/>
      <c r="DG3627" s="143"/>
    </row>
    <row r="3628" spans="89:111" ht="11.25" customHeight="1">
      <c r="CK3628" s="1"/>
      <c r="CW3628" s="144"/>
      <c r="DG3628" s="143"/>
    </row>
    <row r="3629" spans="89:111" ht="11.25" customHeight="1">
      <c r="CK3629" s="1"/>
      <c r="CW3629" s="144"/>
      <c r="DG3629" s="143"/>
    </row>
    <row r="3630" spans="89:111" ht="11.25" customHeight="1">
      <c r="CK3630" s="1"/>
      <c r="CW3630" s="144"/>
      <c r="DG3630" s="143"/>
    </row>
    <row r="3631" spans="89:111" ht="11.25" customHeight="1">
      <c r="CK3631" s="1"/>
      <c r="CW3631" s="144"/>
      <c r="DG3631" s="143"/>
    </row>
    <row r="3632" spans="89:111" ht="11.25" customHeight="1">
      <c r="CK3632" s="1"/>
      <c r="CW3632" s="144"/>
      <c r="DG3632" s="143"/>
    </row>
    <row r="3633" spans="89:111" ht="11.25" customHeight="1">
      <c r="CK3633" s="1"/>
      <c r="CW3633" s="144"/>
      <c r="DG3633" s="143"/>
    </row>
    <row r="3634" spans="89:111" ht="11.25" customHeight="1">
      <c r="CK3634" s="1"/>
      <c r="CW3634" s="144"/>
      <c r="DG3634" s="143"/>
    </row>
    <row r="3635" spans="89:111" ht="11.25" customHeight="1">
      <c r="CK3635" s="1"/>
      <c r="CW3635" s="144"/>
      <c r="DG3635" s="143"/>
    </row>
    <row r="3636" spans="89:111" ht="11.25" customHeight="1">
      <c r="CK3636" s="1"/>
      <c r="CW3636" s="144"/>
      <c r="DG3636" s="143"/>
    </row>
    <row r="3637" spans="89:111" ht="11.25" customHeight="1">
      <c r="CK3637" s="1"/>
      <c r="CW3637" s="144"/>
      <c r="DG3637" s="143"/>
    </row>
    <row r="3638" spans="89:111" ht="11.25" customHeight="1">
      <c r="CK3638" s="1"/>
      <c r="CW3638" s="144"/>
      <c r="DG3638" s="143"/>
    </row>
    <row r="3639" spans="89:111" ht="11.25" customHeight="1">
      <c r="CK3639" s="1"/>
      <c r="CW3639" s="144"/>
      <c r="DG3639" s="143"/>
    </row>
    <row r="3640" spans="89:111" ht="11.25" customHeight="1">
      <c r="CK3640" s="1"/>
      <c r="CW3640" s="144"/>
      <c r="DG3640" s="143"/>
    </row>
    <row r="3641" spans="89:111" ht="11.25" customHeight="1">
      <c r="CK3641" s="1"/>
      <c r="CW3641" s="144"/>
      <c r="DG3641" s="143"/>
    </row>
    <row r="3642" spans="89:111" ht="11.25" customHeight="1">
      <c r="CK3642" s="1"/>
      <c r="CW3642" s="144"/>
      <c r="DG3642" s="143"/>
    </row>
    <row r="3643" spans="89:111" ht="11.25" customHeight="1">
      <c r="CK3643" s="1"/>
      <c r="CW3643" s="144"/>
      <c r="DG3643" s="143"/>
    </row>
    <row r="3644" spans="89:111" ht="11.25" customHeight="1">
      <c r="CK3644" s="1"/>
      <c r="CW3644" s="144"/>
      <c r="DG3644" s="143"/>
    </row>
    <row r="3645" spans="89:111" ht="11.25" customHeight="1">
      <c r="CK3645" s="1"/>
      <c r="CW3645" s="144"/>
      <c r="DG3645" s="143"/>
    </row>
    <row r="3646" spans="89:111" ht="11.25" customHeight="1">
      <c r="CK3646" s="1"/>
      <c r="CW3646" s="144"/>
      <c r="DG3646" s="143"/>
    </row>
    <row r="3647" spans="89:111" ht="11.25" customHeight="1">
      <c r="CK3647" s="1"/>
      <c r="CW3647" s="144"/>
      <c r="DG3647" s="143"/>
    </row>
    <row r="3648" spans="89:111" ht="11.25" customHeight="1">
      <c r="CK3648" s="1"/>
      <c r="CW3648" s="144"/>
      <c r="DG3648" s="143"/>
    </row>
    <row r="3649" spans="89:111" ht="11.25" customHeight="1">
      <c r="CK3649" s="1"/>
      <c r="CW3649" s="144"/>
      <c r="DG3649" s="143"/>
    </row>
    <row r="3650" spans="89:111" ht="11.25" customHeight="1">
      <c r="CK3650" s="1"/>
      <c r="CW3650" s="144"/>
      <c r="DG3650" s="143"/>
    </row>
    <row r="3651" spans="89:111" ht="11.25" customHeight="1">
      <c r="CK3651" s="1"/>
      <c r="CW3651" s="144"/>
      <c r="DG3651" s="143"/>
    </row>
    <row r="3652" spans="89:111" ht="11.25" customHeight="1">
      <c r="CK3652" s="1"/>
      <c r="CW3652" s="144"/>
      <c r="DG3652" s="143"/>
    </row>
    <row r="3653" spans="89:111" ht="11.25" customHeight="1">
      <c r="CK3653" s="1"/>
      <c r="CW3653" s="144"/>
      <c r="DG3653" s="143"/>
    </row>
    <row r="3654" spans="89:111" ht="11.25" customHeight="1">
      <c r="CK3654" s="1"/>
      <c r="CW3654" s="144"/>
      <c r="DG3654" s="143"/>
    </row>
    <row r="3655" spans="89:111" ht="11.25" customHeight="1">
      <c r="CK3655" s="1"/>
      <c r="CW3655" s="144"/>
      <c r="DG3655" s="143"/>
    </row>
    <row r="3656" spans="89:111" ht="11.25" customHeight="1">
      <c r="CK3656" s="1"/>
      <c r="CW3656" s="144"/>
      <c r="DG3656" s="143"/>
    </row>
    <row r="3657" spans="89:111" ht="11.25" customHeight="1">
      <c r="CK3657" s="1"/>
      <c r="CW3657" s="144"/>
      <c r="DG3657" s="143"/>
    </row>
    <row r="3658" spans="89:111" ht="11.25" customHeight="1">
      <c r="CK3658" s="1"/>
      <c r="CW3658" s="144"/>
      <c r="DG3658" s="143"/>
    </row>
    <row r="3659" spans="89:111" ht="11.25" customHeight="1">
      <c r="CK3659" s="1"/>
      <c r="CW3659" s="144"/>
      <c r="DG3659" s="143"/>
    </row>
    <row r="3660" spans="89:111" ht="11.25" customHeight="1">
      <c r="CK3660" s="1"/>
      <c r="CW3660" s="144"/>
      <c r="DG3660" s="143"/>
    </row>
    <row r="3661" spans="89:111" ht="11.25" customHeight="1">
      <c r="CK3661" s="1"/>
      <c r="CW3661" s="144"/>
      <c r="DG3661" s="143"/>
    </row>
    <row r="3662" spans="89:111" ht="11.25" customHeight="1">
      <c r="CK3662" s="1"/>
      <c r="CW3662" s="144"/>
      <c r="DG3662" s="143"/>
    </row>
    <row r="3663" spans="89:111" ht="11.25" customHeight="1">
      <c r="CK3663" s="1"/>
      <c r="CW3663" s="144"/>
      <c r="DG3663" s="143"/>
    </row>
    <row r="3664" spans="89:111" ht="11.25" customHeight="1">
      <c r="CK3664" s="1"/>
      <c r="CW3664" s="144"/>
      <c r="DG3664" s="143"/>
    </row>
    <row r="3665" spans="89:111" ht="11.25" customHeight="1">
      <c r="CK3665" s="1"/>
      <c r="CW3665" s="144"/>
      <c r="DG3665" s="143"/>
    </row>
    <row r="3666" spans="89:111" ht="11.25" customHeight="1">
      <c r="CK3666" s="1"/>
      <c r="CW3666" s="144"/>
      <c r="DG3666" s="143"/>
    </row>
    <row r="3667" spans="89:111" ht="11.25" customHeight="1">
      <c r="CK3667" s="1"/>
      <c r="CW3667" s="144"/>
      <c r="DG3667" s="143"/>
    </row>
    <row r="3668" spans="89:111" ht="11.25" customHeight="1">
      <c r="CK3668" s="1"/>
      <c r="CW3668" s="144"/>
      <c r="DG3668" s="143"/>
    </row>
    <row r="3669" spans="89:111" ht="11.25" customHeight="1">
      <c r="CK3669" s="1"/>
      <c r="CW3669" s="144"/>
      <c r="DG3669" s="143"/>
    </row>
    <row r="3670" spans="89:111" ht="11.25" customHeight="1">
      <c r="CK3670" s="1"/>
      <c r="CW3670" s="144"/>
      <c r="DG3670" s="143"/>
    </row>
    <row r="3671" spans="89:111" ht="11.25" customHeight="1">
      <c r="CK3671" s="1"/>
      <c r="CW3671" s="144"/>
      <c r="DG3671" s="143"/>
    </row>
    <row r="3672" spans="89:111" ht="11.25" customHeight="1">
      <c r="CK3672" s="1"/>
      <c r="CW3672" s="144"/>
      <c r="DG3672" s="143"/>
    </row>
    <row r="3673" spans="89:111" ht="11.25" customHeight="1">
      <c r="CK3673" s="1"/>
      <c r="CW3673" s="144"/>
      <c r="DG3673" s="143"/>
    </row>
    <row r="3674" spans="89:111" ht="11.25" customHeight="1">
      <c r="CK3674" s="1"/>
      <c r="CW3674" s="144"/>
      <c r="DG3674" s="143"/>
    </row>
    <row r="3675" spans="89:111" ht="11.25" customHeight="1">
      <c r="CK3675" s="1"/>
      <c r="CW3675" s="144"/>
      <c r="DG3675" s="143"/>
    </row>
    <row r="3676" spans="89:111" ht="11.25" customHeight="1">
      <c r="CK3676" s="1"/>
      <c r="CW3676" s="144"/>
      <c r="DG3676" s="143"/>
    </row>
    <row r="3677" spans="89:111" ht="11.25" customHeight="1">
      <c r="CK3677" s="1"/>
      <c r="CW3677" s="144"/>
      <c r="DG3677" s="143"/>
    </row>
    <row r="3678" spans="89:111" ht="11.25" customHeight="1">
      <c r="CK3678" s="1"/>
      <c r="CW3678" s="144"/>
      <c r="DG3678" s="143"/>
    </row>
    <row r="3679" spans="89:111" ht="11.25" customHeight="1">
      <c r="CK3679" s="1"/>
      <c r="CW3679" s="144"/>
      <c r="DG3679" s="143"/>
    </row>
    <row r="3680" spans="89:111" ht="11.25" customHeight="1">
      <c r="CK3680" s="1"/>
      <c r="CW3680" s="144"/>
      <c r="DG3680" s="143"/>
    </row>
    <row r="3681" spans="89:111" ht="11.25" customHeight="1">
      <c r="CK3681" s="1"/>
      <c r="CW3681" s="144"/>
      <c r="DG3681" s="143"/>
    </row>
    <row r="3682" spans="89:111" ht="11.25" customHeight="1">
      <c r="CK3682" s="1"/>
      <c r="CW3682" s="144"/>
      <c r="DG3682" s="143"/>
    </row>
    <row r="3683" spans="89:111" ht="11.25" customHeight="1">
      <c r="CK3683" s="1"/>
      <c r="CW3683" s="144"/>
      <c r="DG3683" s="143"/>
    </row>
    <row r="3684" spans="89:111" ht="11.25" customHeight="1">
      <c r="CK3684" s="1"/>
      <c r="CW3684" s="144"/>
      <c r="DG3684" s="143"/>
    </row>
    <row r="3685" spans="89:111" ht="11.25" customHeight="1">
      <c r="CK3685" s="1"/>
      <c r="CW3685" s="144"/>
      <c r="DG3685" s="143"/>
    </row>
    <row r="3686" spans="89:111" ht="11.25" customHeight="1">
      <c r="CK3686" s="1"/>
      <c r="CW3686" s="144"/>
      <c r="DG3686" s="143"/>
    </row>
    <row r="3687" spans="89:111" ht="11.25" customHeight="1">
      <c r="CK3687" s="1"/>
      <c r="CW3687" s="144"/>
      <c r="DG3687" s="143"/>
    </row>
    <row r="3688" spans="89:111" ht="11.25" customHeight="1">
      <c r="CK3688" s="1"/>
      <c r="CW3688" s="144"/>
      <c r="DG3688" s="143"/>
    </row>
    <row r="3689" spans="89:111" ht="11.25" customHeight="1">
      <c r="CK3689" s="1"/>
      <c r="CW3689" s="144"/>
      <c r="DG3689" s="143"/>
    </row>
    <row r="3690" spans="89:111" ht="11.25" customHeight="1">
      <c r="CK3690" s="1"/>
      <c r="CW3690" s="144"/>
      <c r="DG3690" s="143"/>
    </row>
    <row r="3691" spans="89:111" ht="11.25" customHeight="1">
      <c r="CK3691" s="1"/>
      <c r="CW3691" s="144"/>
      <c r="DG3691" s="143"/>
    </row>
    <row r="3692" spans="89:111" ht="11.25" customHeight="1">
      <c r="CK3692" s="1"/>
      <c r="CW3692" s="144"/>
      <c r="DG3692" s="143"/>
    </row>
    <row r="3693" spans="89:111" ht="11.25" customHeight="1">
      <c r="CK3693" s="1"/>
      <c r="CW3693" s="144"/>
      <c r="DG3693" s="143"/>
    </row>
    <row r="3694" spans="89:111" ht="11.25" customHeight="1">
      <c r="CK3694" s="1"/>
      <c r="CW3694" s="144"/>
      <c r="DG3694" s="143"/>
    </row>
    <row r="3695" spans="89:111" ht="11.25" customHeight="1">
      <c r="CK3695" s="1"/>
      <c r="CW3695" s="144"/>
      <c r="DG3695" s="143"/>
    </row>
    <row r="3696" spans="89:111" ht="11.25" customHeight="1">
      <c r="CK3696" s="1"/>
      <c r="CW3696" s="144"/>
      <c r="DG3696" s="143"/>
    </row>
    <row r="3697" spans="89:111" ht="11.25" customHeight="1">
      <c r="CK3697" s="1"/>
      <c r="CW3697" s="144"/>
      <c r="DG3697" s="143"/>
    </row>
    <row r="3698" spans="89:111" ht="11.25" customHeight="1">
      <c r="CK3698" s="1"/>
      <c r="CW3698" s="144"/>
      <c r="DG3698" s="143"/>
    </row>
    <row r="3699" spans="89:111" ht="11.25" customHeight="1">
      <c r="CK3699" s="1"/>
      <c r="CW3699" s="144"/>
      <c r="DG3699" s="143"/>
    </row>
    <row r="3700" spans="89:111" ht="11.25" customHeight="1">
      <c r="CK3700" s="1"/>
      <c r="CW3700" s="144"/>
      <c r="DG3700" s="143"/>
    </row>
    <row r="3701" spans="89:111" ht="11.25" customHeight="1">
      <c r="CK3701" s="1"/>
      <c r="CW3701" s="144"/>
      <c r="DG3701" s="143"/>
    </row>
    <row r="3702" spans="89:111" ht="11.25" customHeight="1">
      <c r="CK3702" s="1"/>
      <c r="CW3702" s="144"/>
      <c r="DG3702" s="143"/>
    </row>
    <row r="3703" spans="89:111" ht="11.25" customHeight="1">
      <c r="CK3703" s="1"/>
      <c r="CW3703" s="144"/>
      <c r="DG3703" s="143"/>
    </row>
    <row r="3704" spans="89:111" ht="11.25" customHeight="1">
      <c r="CK3704" s="1"/>
      <c r="CW3704" s="144"/>
      <c r="DG3704" s="143"/>
    </row>
    <row r="3705" spans="89:111" ht="11.25" customHeight="1">
      <c r="CK3705" s="1"/>
      <c r="CW3705" s="144"/>
      <c r="DG3705" s="143"/>
    </row>
    <row r="3706" spans="89:111" ht="11.25" customHeight="1">
      <c r="CK3706" s="1"/>
      <c r="CW3706" s="144"/>
      <c r="DG3706" s="143"/>
    </row>
    <row r="3707" spans="89:111" ht="11.25" customHeight="1">
      <c r="CK3707" s="1"/>
      <c r="CW3707" s="144"/>
      <c r="DG3707" s="143"/>
    </row>
    <row r="3708" spans="89:111" ht="11.25" customHeight="1">
      <c r="CK3708" s="1"/>
      <c r="CW3708" s="144"/>
      <c r="DG3708" s="143"/>
    </row>
    <row r="3709" spans="89:111" ht="11.25" customHeight="1">
      <c r="CK3709" s="1"/>
      <c r="CW3709" s="144"/>
      <c r="DG3709" s="143"/>
    </row>
    <row r="3710" spans="89:111" ht="11.25" customHeight="1">
      <c r="CK3710" s="1"/>
      <c r="CW3710" s="144"/>
      <c r="DG3710" s="143"/>
    </row>
    <row r="3711" spans="89:111" ht="11.25" customHeight="1">
      <c r="CK3711" s="1"/>
      <c r="CW3711" s="144"/>
      <c r="DG3711" s="143"/>
    </row>
    <row r="3712" spans="89:111" ht="11.25" customHeight="1">
      <c r="CK3712" s="1"/>
      <c r="CW3712" s="144"/>
      <c r="DG3712" s="143"/>
    </row>
    <row r="3713" spans="89:111" ht="11.25" customHeight="1">
      <c r="CK3713" s="1"/>
      <c r="CW3713" s="144"/>
      <c r="DG3713" s="143"/>
    </row>
    <row r="3714" spans="89:111" ht="11.25" customHeight="1">
      <c r="CK3714" s="1"/>
      <c r="CW3714" s="144"/>
      <c r="DG3714" s="143"/>
    </row>
    <row r="3715" spans="89:111" ht="11.25" customHeight="1">
      <c r="CK3715" s="1"/>
      <c r="CW3715" s="144"/>
      <c r="DG3715" s="143"/>
    </row>
    <row r="3716" spans="89:111" ht="11.25" customHeight="1">
      <c r="CK3716" s="1"/>
      <c r="CW3716" s="144"/>
      <c r="DG3716" s="143"/>
    </row>
    <row r="3717" spans="89:111" ht="11.25" customHeight="1">
      <c r="CK3717" s="1"/>
      <c r="CW3717" s="144"/>
      <c r="DG3717" s="143"/>
    </row>
    <row r="3718" spans="89:111" ht="11.25" customHeight="1">
      <c r="CK3718" s="1"/>
      <c r="CW3718" s="144"/>
      <c r="DG3718" s="143"/>
    </row>
    <row r="3719" spans="89:111" ht="11.25" customHeight="1">
      <c r="CK3719" s="1"/>
      <c r="CW3719" s="144"/>
      <c r="DG3719" s="143"/>
    </row>
    <row r="3720" spans="89:111" ht="11.25" customHeight="1">
      <c r="CK3720" s="1"/>
      <c r="CW3720" s="144"/>
      <c r="DG3720" s="143"/>
    </row>
    <row r="3721" spans="89:111" ht="11.25" customHeight="1">
      <c r="CK3721" s="1"/>
      <c r="CW3721" s="144"/>
      <c r="DG3721" s="143"/>
    </row>
    <row r="3722" spans="89:111" ht="11.25" customHeight="1">
      <c r="CK3722" s="1"/>
      <c r="CW3722" s="144"/>
      <c r="DG3722" s="143"/>
    </row>
    <row r="3723" spans="89:111" ht="11.25" customHeight="1">
      <c r="CK3723" s="1"/>
      <c r="CW3723" s="144"/>
      <c r="DG3723" s="143"/>
    </row>
    <row r="3724" spans="89:111" ht="11.25" customHeight="1">
      <c r="CK3724" s="1"/>
      <c r="CW3724" s="144"/>
      <c r="DG3724" s="143"/>
    </row>
    <row r="3725" spans="89:111" ht="11.25" customHeight="1">
      <c r="CK3725" s="1"/>
      <c r="CW3725" s="144"/>
      <c r="DG3725" s="143"/>
    </row>
    <row r="3726" spans="89:111" ht="11.25" customHeight="1">
      <c r="CK3726" s="1"/>
      <c r="CW3726" s="144"/>
      <c r="DG3726" s="143"/>
    </row>
    <row r="3727" spans="89:111" ht="11.25" customHeight="1">
      <c r="CK3727" s="1"/>
      <c r="CW3727" s="144"/>
      <c r="DG3727" s="143"/>
    </row>
    <row r="3728" spans="89:111" ht="11.25" customHeight="1">
      <c r="CK3728" s="1"/>
      <c r="CW3728" s="144"/>
      <c r="DG3728" s="143"/>
    </row>
    <row r="3729" spans="89:111" ht="11.25" customHeight="1">
      <c r="CK3729" s="1"/>
      <c r="CW3729" s="144"/>
      <c r="DG3729" s="143"/>
    </row>
    <row r="3730" spans="89:111" ht="11.25" customHeight="1">
      <c r="CK3730" s="1"/>
      <c r="CW3730" s="144"/>
      <c r="DG3730" s="143"/>
    </row>
    <row r="3731" spans="89:111" ht="11.25" customHeight="1">
      <c r="CK3731" s="1"/>
      <c r="CW3731" s="144"/>
      <c r="DG3731" s="143"/>
    </row>
    <row r="3732" spans="89:111" ht="11.25" customHeight="1">
      <c r="CK3732" s="1"/>
      <c r="CW3732" s="144"/>
      <c r="DG3732" s="143"/>
    </row>
    <row r="3733" spans="89:111" ht="11.25" customHeight="1">
      <c r="CK3733" s="1"/>
      <c r="CW3733" s="144"/>
      <c r="DG3733" s="143"/>
    </row>
    <row r="3734" spans="89:111" ht="11.25" customHeight="1">
      <c r="CK3734" s="1"/>
      <c r="CW3734" s="144"/>
      <c r="DG3734" s="143"/>
    </row>
    <row r="3735" spans="89:111" ht="11.25" customHeight="1">
      <c r="CK3735" s="1"/>
      <c r="CW3735" s="144"/>
      <c r="DG3735" s="143"/>
    </row>
    <row r="3736" spans="89:111" ht="11.25" customHeight="1">
      <c r="CK3736" s="1"/>
      <c r="CW3736" s="144"/>
      <c r="DG3736" s="143"/>
    </row>
    <row r="3737" spans="89:111" ht="11.25" customHeight="1">
      <c r="CK3737" s="1"/>
      <c r="CW3737" s="144"/>
      <c r="DG3737" s="143"/>
    </row>
    <row r="3738" spans="89:111" ht="11.25" customHeight="1">
      <c r="CK3738" s="1"/>
      <c r="CW3738" s="144"/>
      <c r="DG3738" s="143"/>
    </row>
    <row r="3739" spans="89:111" ht="11.25" customHeight="1">
      <c r="CK3739" s="1"/>
      <c r="CW3739" s="144"/>
      <c r="DG3739" s="143"/>
    </row>
    <row r="3740" spans="89:111" ht="11.25" customHeight="1">
      <c r="CK3740" s="1"/>
      <c r="CW3740" s="144"/>
      <c r="DG3740" s="143"/>
    </row>
    <row r="3741" spans="89:111" ht="11.25" customHeight="1">
      <c r="CK3741" s="1"/>
      <c r="CW3741" s="144"/>
      <c r="DG3741" s="143"/>
    </row>
    <row r="3742" spans="89:111" ht="11.25" customHeight="1">
      <c r="CK3742" s="1"/>
      <c r="CW3742" s="144"/>
      <c r="DG3742" s="143"/>
    </row>
    <row r="3743" spans="89:111" ht="11.25" customHeight="1">
      <c r="CK3743" s="1"/>
      <c r="CW3743" s="144"/>
      <c r="DG3743" s="143"/>
    </row>
    <row r="3744" spans="89:111" ht="11.25" customHeight="1">
      <c r="CK3744" s="1"/>
      <c r="CW3744" s="144"/>
      <c r="DG3744" s="143"/>
    </row>
    <row r="3745" spans="89:111" ht="11.25" customHeight="1">
      <c r="CK3745" s="1"/>
      <c r="CW3745" s="144"/>
      <c r="DG3745" s="143"/>
    </row>
    <row r="3746" spans="89:111" ht="11.25" customHeight="1">
      <c r="CK3746" s="1"/>
      <c r="CW3746" s="144"/>
      <c r="DG3746" s="143"/>
    </row>
    <row r="3747" spans="89:111" ht="11.25" customHeight="1">
      <c r="CK3747" s="1"/>
      <c r="CW3747" s="144"/>
      <c r="DG3747" s="143"/>
    </row>
    <row r="3748" spans="89:111" ht="11.25" customHeight="1">
      <c r="CK3748" s="1"/>
      <c r="CW3748" s="144"/>
      <c r="DG3748" s="143"/>
    </row>
    <row r="3749" spans="89:111" ht="11.25" customHeight="1">
      <c r="CK3749" s="1"/>
      <c r="CW3749" s="144"/>
      <c r="DG3749" s="143"/>
    </row>
    <row r="3750" spans="89:111" ht="11.25" customHeight="1">
      <c r="CK3750" s="1"/>
      <c r="CW3750" s="144"/>
      <c r="DG3750" s="143"/>
    </row>
    <row r="3751" spans="89:111" ht="11.25" customHeight="1">
      <c r="CK3751" s="1"/>
      <c r="CW3751" s="144"/>
      <c r="DG3751" s="143"/>
    </row>
    <row r="3752" spans="89:111" ht="11.25" customHeight="1">
      <c r="CK3752" s="1"/>
      <c r="CW3752" s="144"/>
      <c r="DG3752" s="143"/>
    </row>
    <row r="3753" spans="89:111" ht="11.25" customHeight="1">
      <c r="CK3753" s="1"/>
      <c r="CW3753" s="144"/>
      <c r="DG3753" s="143"/>
    </row>
    <row r="3754" spans="89:111" ht="11.25" customHeight="1">
      <c r="CK3754" s="1"/>
      <c r="CW3754" s="144"/>
      <c r="DG3754" s="143"/>
    </row>
    <row r="3755" spans="89:111" ht="11.25" customHeight="1">
      <c r="CK3755" s="1"/>
      <c r="CW3755" s="144"/>
      <c r="DG3755" s="143"/>
    </row>
    <row r="3756" spans="89:111" ht="11.25" customHeight="1">
      <c r="CK3756" s="1"/>
      <c r="CW3756" s="144"/>
      <c r="DG3756" s="143"/>
    </row>
    <row r="3757" spans="89:111" ht="11.25" customHeight="1">
      <c r="CK3757" s="1"/>
      <c r="CW3757" s="144"/>
      <c r="DG3757" s="143"/>
    </row>
    <row r="3758" spans="89:111" ht="11.25" customHeight="1">
      <c r="CK3758" s="1"/>
      <c r="CW3758" s="144"/>
      <c r="DG3758" s="143"/>
    </row>
    <row r="3759" spans="89:111" ht="11.25" customHeight="1">
      <c r="CK3759" s="1"/>
      <c r="CW3759" s="144"/>
      <c r="DG3759" s="143"/>
    </row>
    <row r="3760" spans="89:111" ht="11.25" customHeight="1">
      <c r="CK3760" s="1"/>
      <c r="CW3760" s="144"/>
      <c r="DG3760" s="143"/>
    </row>
    <row r="3761" spans="89:111" ht="11.25" customHeight="1">
      <c r="CK3761" s="1"/>
      <c r="CW3761" s="144"/>
      <c r="DG3761" s="143"/>
    </row>
    <row r="3762" spans="89:111" ht="11.25" customHeight="1">
      <c r="CK3762" s="1"/>
      <c r="CW3762" s="144"/>
      <c r="DG3762" s="143"/>
    </row>
    <row r="3763" spans="89:111" ht="11.25" customHeight="1">
      <c r="CK3763" s="1"/>
      <c r="CW3763" s="144"/>
      <c r="DG3763" s="143"/>
    </row>
    <row r="3764" spans="89:111" ht="11.25" customHeight="1">
      <c r="CK3764" s="1"/>
      <c r="CW3764" s="144"/>
      <c r="DG3764" s="143"/>
    </row>
    <row r="3765" spans="89:111" ht="11.25" customHeight="1">
      <c r="CK3765" s="1"/>
      <c r="CW3765" s="144"/>
      <c r="DG3765" s="143"/>
    </row>
    <row r="3766" spans="89:111" ht="11.25" customHeight="1">
      <c r="CK3766" s="1"/>
      <c r="CW3766" s="144"/>
      <c r="DG3766" s="143"/>
    </row>
    <row r="3767" spans="89:111" ht="11.25" customHeight="1">
      <c r="CK3767" s="1"/>
      <c r="CW3767" s="144"/>
      <c r="DG3767" s="143"/>
    </row>
    <row r="3768" spans="89:111" ht="11.25" customHeight="1">
      <c r="CK3768" s="1"/>
      <c r="CW3768" s="144"/>
      <c r="DG3768" s="143"/>
    </row>
    <row r="3769" spans="89:111" ht="11.25" customHeight="1">
      <c r="CK3769" s="1"/>
      <c r="CW3769" s="144"/>
      <c r="DG3769" s="143"/>
    </row>
    <row r="3770" spans="89:111" ht="11.25" customHeight="1">
      <c r="CK3770" s="1"/>
      <c r="CW3770" s="144"/>
      <c r="DG3770" s="143"/>
    </row>
    <row r="3771" spans="89:111" ht="11.25" customHeight="1">
      <c r="CK3771" s="1"/>
      <c r="CW3771" s="144"/>
      <c r="DG3771" s="143"/>
    </row>
    <row r="3772" spans="89:111" ht="11.25" customHeight="1">
      <c r="CK3772" s="1"/>
      <c r="CW3772" s="144"/>
      <c r="DG3772" s="143"/>
    </row>
    <row r="3773" spans="89:111" ht="11.25" customHeight="1">
      <c r="CK3773" s="1"/>
      <c r="CW3773" s="144"/>
      <c r="DG3773" s="143"/>
    </row>
    <row r="3774" spans="89:111" ht="11.25" customHeight="1">
      <c r="CK3774" s="1"/>
      <c r="CW3774" s="144"/>
      <c r="DG3774" s="143"/>
    </row>
    <row r="3775" spans="89:111" ht="11.25" customHeight="1">
      <c r="CK3775" s="1"/>
      <c r="CW3775" s="144"/>
      <c r="DG3775" s="143"/>
    </row>
    <row r="3776" spans="89:111" ht="11.25" customHeight="1">
      <c r="CK3776" s="1"/>
      <c r="CW3776" s="144"/>
      <c r="DG3776" s="143"/>
    </row>
    <row r="3777" spans="89:111" ht="11.25" customHeight="1">
      <c r="CK3777" s="1"/>
      <c r="CW3777" s="144"/>
      <c r="DG3777" s="143"/>
    </row>
    <row r="3778" spans="89:111" ht="11.25" customHeight="1">
      <c r="CK3778" s="1"/>
      <c r="CW3778" s="144"/>
      <c r="DG3778" s="143"/>
    </row>
    <row r="3779" spans="89:111" ht="11.25" customHeight="1">
      <c r="CK3779" s="1"/>
      <c r="CW3779" s="144"/>
      <c r="DG3779" s="143"/>
    </row>
    <row r="3780" spans="89:111" ht="11.25" customHeight="1">
      <c r="CK3780" s="1"/>
      <c r="CW3780" s="144"/>
      <c r="DG3780" s="143"/>
    </row>
    <row r="3781" spans="89:111" ht="11.25" customHeight="1">
      <c r="CK3781" s="1"/>
      <c r="CW3781" s="144"/>
      <c r="DG3781" s="143"/>
    </row>
    <row r="3782" spans="89:111" ht="11.25" customHeight="1">
      <c r="CK3782" s="1"/>
      <c r="CW3782" s="144"/>
      <c r="DG3782" s="143"/>
    </row>
    <row r="3783" spans="89:111" ht="11.25" customHeight="1">
      <c r="CK3783" s="1"/>
      <c r="CW3783" s="144"/>
      <c r="DG3783" s="143"/>
    </row>
    <row r="3784" spans="89:111" ht="11.25" customHeight="1">
      <c r="CK3784" s="1"/>
      <c r="CW3784" s="144"/>
      <c r="DG3784" s="143"/>
    </row>
    <row r="3785" spans="89:111" ht="11.25" customHeight="1">
      <c r="CK3785" s="1"/>
      <c r="CW3785" s="144"/>
      <c r="DG3785" s="143"/>
    </row>
    <row r="3786" spans="89:111" ht="11.25" customHeight="1">
      <c r="CK3786" s="1"/>
      <c r="CW3786" s="144"/>
      <c r="DG3786" s="143"/>
    </row>
    <row r="3787" spans="89:111" ht="11.25" customHeight="1">
      <c r="CK3787" s="1"/>
      <c r="CW3787" s="144"/>
      <c r="DG3787" s="143"/>
    </row>
    <row r="3788" spans="89:111" ht="11.25" customHeight="1">
      <c r="CK3788" s="1"/>
      <c r="CW3788" s="144"/>
      <c r="DG3788" s="143"/>
    </row>
    <row r="3789" spans="89:111" ht="11.25" customHeight="1">
      <c r="CK3789" s="1"/>
      <c r="CW3789" s="144"/>
      <c r="DG3789" s="143"/>
    </row>
    <row r="3790" spans="89:111" ht="11.25" customHeight="1">
      <c r="CK3790" s="1"/>
      <c r="CW3790" s="144"/>
      <c r="DG3790" s="143"/>
    </row>
    <row r="3791" spans="89:111" ht="11.25" customHeight="1">
      <c r="CK3791" s="1"/>
      <c r="CW3791" s="144"/>
      <c r="DG3791" s="143"/>
    </row>
    <row r="3792" spans="89:111" ht="11.25" customHeight="1">
      <c r="CK3792" s="1"/>
      <c r="CW3792" s="144"/>
      <c r="DG3792" s="143"/>
    </row>
    <row r="3793" spans="89:111" ht="11.25" customHeight="1">
      <c r="CK3793" s="1"/>
      <c r="CW3793" s="144"/>
      <c r="DG3793" s="143"/>
    </row>
    <row r="3794" spans="89:111" ht="11.25" customHeight="1">
      <c r="CK3794" s="1"/>
      <c r="CW3794" s="144"/>
      <c r="DG3794" s="143"/>
    </row>
    <row r="3795" spans="89:111" ht="11.25" customHeight="1">
      <c r="CK3795" s="1"/>
      <c r="CW3795" s="144"/>
      <c r="DG3795" s="143"/>
    </row>
    <row r="3796" spans="89:111" ht="11.25" customHeight="1">
      <c r="CK3796" s="1"/>
      <c r="CW3796" s="144"/>
      <c r="DG3796" s="143"/>
    </row>
    <row r="3797" spans="89:111" ht="11.25" customHeight="1">
      <c r="CK3797" s="1"/>
      <c r="CW3797" s="144"/>
      <c r="DG3797" s="143"/>
    </row>
    <row r="3798" spans="89:111" ht="11.25" customHeight="1">
      <c r="CK3798" s="1"/>
      <c r="CW3798" s="144"/>
      <c r="DG3798" s="143"/>
    </row>
    <row r="3799" spans="89:111" ht="11.25" customHeight="1">
      <c r="CK3799" s="1"/>
      <c r="CW3799" s="144"/>
      <c r="DG3799" s="143"/>
    </row>
    <row r="3800" spans="89:111" ht="11.25" customHeight="1">
      <c r="CK3800" s="1"/>
      <c r="CW3800" s="144"/>
      <c r="DG3800" s="143"/>
    </row>
    <row r="3801" spans="89:111" ht="11.25" customHeight="1">
      <c r="CK3801" s="1"/>
      <c r="CW3801" s="144"/>
      <c r="DG3801" s="143"/>
    </row>
    <row r="3802" spans="89:111" ht="11.25" customHeight="1">
      <c r="CK3802" s="1"/>
      <c r="CW3802" s="144"/>
      <c r="DG3802" s="143"/>
    </row>
    <row r="3803" spans="89:111" ht="11.25" customHeight="1">
      <c r="CK3803" s="1"/>
      <c r="CW3803" s="144"/>
      <c r="DG3803" s="143"/>
    </row>
    <row r="3804" spans="89:111" ht="11.25" customHeight="1">
      <c r="CK3804" s="1"/>
      <c r="CW3804" s="144"/>
      <c r="DG3804" s="143"/>
    </row>
    <row r="3805" spans="89:111" ht="11.25" customHeight="1">
      <c r="CK3805" s="1"/>
      <c r="CW3805" s="144"/>
      <c r="DG3805" s="143"/>
    </row>
    <row r="3806" spans="89:111" ht="11.25" customHeight="1">
      <c r="CK3806" s="1"/>
      <c r="CW3806" s="144"/>
      <c r="DG3806" s="143"/>
    </row>
    <row r="3807" spans="89:111" ht="11.25" customHeight="1">
      <c r="CK3807" s="1"/>
      <c r="CW3807" s="144"/>
      <c r="DG3807" s="143"/>
    </row>
    <row r="3808" spans="89:111" ht="11.25" customHeight="1">
      <c r="CK3808" s="1"/>
      <c r="CW3808" s="144"/>
      <c r="DG3808" s="143"/>
    </row>
    <row r="3809" spans="89:111" ht="11.25" customHeight="1">
      <c r="CK3809" s="1"/>
      <c r="CW3809" s="144"/>
      <c r="DG3809" s="143"/>
    </row>
    <row r="3810" spans="89:111" ht="11.25" customHeight="1">
      <c r="CK3810" s="1"/>
      <c r="CW3810" s="144"/>
      <c r="DG3810" s="143"/>
    </row>
    <row r="3811" spans="89:111" ht="11.25" customHeight="1">
      <c r="CK3811" s="1"/>
      <c r="CW3811" s="144"/>
      <c r="DG3811" s="143"/>
    </row>
    <row r="3812" spans="89:111" ht="11.25" customHeight="1">
      <c r="CK3812" s="1"/>
      <c r="CW3812" s="144"/>
      <c r="DG3812" s="143"/>
    </row>
    <row r="3813" spans="89:111" ht="11.25" customHeight="1">
      <c r="CK3813" s="1"/>
      <c r="CW3813" s="144"/>
      <c r="DG3813" s="143"/>
    </row>
    <row r="3814" spans="89:111" ht="11.25" customHeight="1">
      <c r="CK3814" s="1"/>
      <c r="CW3814" s="144"/>
      <c r="DG3814" s="143"/>
    </row>
    <row r="3815" spans="89:111" ht="11.25" customHeight="1">
      <c r="CK3815" s="1"/>
      <c r="CW3815" s="144"/>
      <c r="DG3815" s="143"/>
    </row>
    <row r="3816" spans="89:111" ht="11.25" customHeight="1">
      <c r="CK3816" s="1"/>
      <c r="CW3816" s="144"/>
      <c r="DG3816" s="143"/>
    </row>
    <row r="3817" spans="89:111" ht="11.25" customHeight="1">
      <c r="CK3817" s="1"/>
      <c r="CW3817" s="144"/>
      <c r="DG3817" s="143"/>
    </row>
    <row r="3818" spans="89:111" ht="11.25" customHeight="1">
      <c r="CK3818" s="1"/>
      <c r="CW3818" s="144"/>
      <c r="DG3818" s="143"/>
    </row>
    <row r="3819" spans="89:111" ht="11.25" customHeight="1">
      <c r="CK3819" s="1"/>
      <c r="CW3819" s="144"/>
      <c r="DG3819" s="143"/>
    </row>
    <row r="3820" spans="89:111" ht="11.25" customHeight="1">
      <c r="CK3820" s="1"/>
      <c r="CW3820" s="144"/>
      <c r="DG3820" s="143"/>
    </row>
    <row r="3821" spans="89:111" ht="11.25" customHeight="1">
      <c r="CK3821" s="1"/>
      <c r="CW3821" s="144"/>
      <c r="DG3821" s="143"/>
    </row>
    <row r="3822" spans="89:111" ht="11.25" customHeight="1">
      <c r="CK3822" s="1"/>
      <c r="CW3822" s="144"/>
      <c r="DG3822" s="143"/>
    </row>
    <row r="3823" spans="89:111" ht="11.25" customHeight="1">
      <c r="CK3823" s="1"/>
      <c r="CW3823" s="144"/>
      <c r="DG3823" s="143"/>
    </row>
    <row r="3824" spans="89:111" ht="11.25" customHeight="1">
      <c r="CK3824" s="1"/>
      <c r="CW3824" s="144"/>
      <c r="DG3824" s="143"/>
    </row>
    <row r="3825" spans="89:111" ht="11.25" customHeight="1">
      <c r="CK3825" s="1"/>
      <c r="CW3825" s="144"/>
      <c r="DG3825" s="143"/>
    </row>
    <row r="3826" spans="89:111" ht="11.25" customHeight="1">
      <c r="CK3826" s="1"/>
      <c r="CW3826" s="144"/>
      <c r="DG3826" s="143"/>
    </row>
    <row r="3827" spans="89:111" ht="11.25" customHeight="1">
      <c r="CK3827" s="1"/>
      <c r="CW3827" s="144"/>
      <c r="DG3827" s="143"/>
    </row>
    <row r="3828" spans="89:111" ht="11.25" customHeight="1">
      <c r="CK3828" s="1"/>
      <c r="CW3828" s="144"/>
      <c r="DG3828" s="143"/>
    </row>
    <row r="3829" spans="89:111" ht="11.25" customHeight="1">
      <c r="CK3829" s="1"/>
      <c r="CW3829" s="144"/>
      <c r="DG3829" s="143"/>
    </row>
    <row r="3830" spans="89:111" ht="11.25" customHeight="1">
      <c r="CK3830" s="1"/>
      <c r="CW3830" s="144"/>
      <c r="DG3830" s="143"/>
    </row>
    <row r="3831" spans="89:111" ht="11.25" customHeight="1">
      <c r="CK3831" s="1"/>
      <c r="CW3831" s="144"/>
      <c r="DG3831" s="143"/>
    </row>
    <row r="3832" spans="89:111" ht="11.25" customHeight="1">
      <c r="CK3832" s="1"/>
      <c r="CW3832" s="144"/>
      <c r="DG3832" s="143"/>
    </row>
    <row r="3833" spans="89:111" ht="11.25" customHeight="1">
      <c r="CK3833" s="1"/>
      <c r="CW3833" s="144"/>
      <c r="DG3833" s="143"/>
    </row>
    <row r="3834" spans="89:111" ht="11.25" customHeight="1">
      <c r="CK3834" s="1"/>
      <c r="CW3834" s="144"/>
      <c r="DG3834" s="143"/>
    </row>
    <row r="3835" spans="89:111" ht="11.25" customHeight="1">
      <c r="CK3835" s="1"/>
      <c r="CW3835" s="144"/>
      <c r="DG3835" s="143"/>
    </row>
    <row r="3836" spans="89:111" ht="11.25" customHeight="1">
      <c r="CK3836" s="1"/>
      <c r="CW3836" s="144"/>
      <c r="DG3836" s="143"/>
    </row>
    <row r="3837" spans="89:111" ht="11.25" customHeight="1">
      <c r="CK3837" s="1"/>
      <c r="CW3837" s="144"/>
      <c r="DG3837" s="143"/>
    </row>
    <row r="3838" spans="89:111" ht="11.25" customHeight="1">
      <c r="CK3838" s="1"/>
      <c r="CW3838" s="144"/>
      <c r="DG3838" s="143"/>
    </row>
    <row r="3839" spans="89:111" ht="11.25" customHeight="1">
      <c r="CK3839" s="1"/>
      <c r="CW3839" s="144"/>
      <c r="DG3839" s="143"/>
    </row>
    <row r="3840" spans="89:111" ht="11.25" customHeight="1">
      <c r="CK3840" s="1"/>
      <c r="CW3840" s="144"/>
      <c r="DG3840" s="143"/>
    </row>
    <row r="3841" spans="89:111" ht="11.25" customHeight="1">
      <c r="CK3841" s="1"/>
      <c r="CW3841" s="144"/>
      <c r="DG3841" s="143"/>
    </row>
    <row r="3842" spans="89:111" ht="11.25" customHeight="1">
      <c r="CK3842" s="1"/>
      <c r="CW3842" s="144"/>
      <c r="DG3842" s="143"/>
    </row>
    <row r="3843" spans="89:111" ht="11.25" customHeight="1">
      <c r="CK3843" s="1"/>
      <c r="CW3843" s="144"/>
      <c r="DG3843" s="143"/>
    </row>
    <row r="3844" spans="89:111" ht="11.25" customHeight="1">
      <c r="CK3844" s="1"/>
      <c r="CW3844" s="144"/>
      <c r="DG3844" s="143"/>
    </row>
    <row r="3845" spans="89:111" ht="11.25" customHeight="1">
      <c r="CK3845" s="1"/>
      <c r="CW3845" s="144"/>
      <c r="DG3845" s="143"/>
    </row>
    <row r="3846" spans="89:111" ht="11.25" customHeight="1">
      <c r="CK3846" s="1"/>
      <c r="CW3846" s="144"/>
      <c r="DG3846" s="143"/>
    </row>
    <row r="3847" spans="89:111" ht="11.25" customHeight="1">
      <c r="CK3847" s="1"/>
      <c r="CW3847" s="144"/>
      <c r="DG3847" s="143"/>
    </row>
    <row r="3848" spans="89:111" ht="11.25" customHeight="1">
      <c r="CK3848" s="1"/>
      <c r="CW3848" s="144"/>
      <c r="DG3848" s="143"/>
    </row>
    <row r="3849" spans="89:111" ht="11.25" customHeight="1">
      <c r="CK3849" s="1"/>
      <c r="CW3849" s="144"/>
      <c r="DG3849" s="143"/>
    </row>
    <row r="3850" spans="89:111" ht="11.25" customHeight="1">
      <c r="CK3850" s="1"/>
      <c r="CW3850" s="144"/>
      <c r="DG3850" s="143"/>
    </row>
    <row r="3851" spans="89:111" ht="11.25" customHeight="1">
      <c r="CK3851" s="1"/>
      <c r="CW3851" s="144"/>
      <c r="DG3851" s="143"/>
    </row>
    <row r="3852" spans="89:111" ht="11.25" customHeight="1">
      <c r="CK3852" s="1"/>
      <c r="CW3852" s="144"/>
      <c r="DG3852" s="143"/>
    </row>
    <row r="3853" spans="89:111" ht="11.25" customHeight="1">
      <c r="CK3853" s="1"/>
      <c r="CW3853" s="144"/>
      <c r="DG3853" s="143"/>
    </row>
    <row r="3854" spans="89:111" ht="11.25" customHeight="1">
      <c r="CK3854" s="1"/>
      <c r="CW3854" s="144"/>
      <c r="DG3854" s="143"/>
    </row>
    <row r="3855" spans="89:111" ht="11.25" customHeight="1">
      <c r="CK3855" s="1"/>
      <c r="CW3855" s="144"/>
      <c r="DG3855" s="143"/>
    </row>
    <row r="3856" spans="89:111" ht="11.25" customHeight="1">
      <c r="CK3856" s="1"/>
      <c r="CW3856" s="144"/>
      <c r="DG3856" s="143"/>
    </row>
    <row r="3857" spans="89:111" ht="11.25" customHeight="1">
      <c r="CK3857" s="1"/>
      <c r="CW3857" s="144"/>
      <c r="DG3857" s="143"/>
    </row>
    <row r="3858" spans="89:111" ht="11.25" customHeight="1">
      <c r="CK3858" s="1"/>
      <c r="CW3858" s="144"/>
      <c r="DG3858" s="143"/>
    </row>
    <row r="3859" spans="89:111" ht="11.25" customHeight="1">
      <c r="CK3859" s="1"/>
      <c r="CW3859" s="144"/>
      <c r="DG3859" s="143"/>
    </row>
    <row r="3860" spans="89:111" ht="11.25" customHeight="1">
      <c r="CK3860" s="1"/>
      <c r="CW3860" s="144"/>
      <c r="DG3860" s="143"/>
    </row>
    <row r="3861" spans="89:111" ht="11.25" customHeight="1">
      <c r="CK3861" s="1"/>
      <c r="CW3861" s="144"/>
      <c r="DG3861" s="143"/>
    </row>
    <row r="3862" spans="89:111" ht="11.25" customHeight="1">
      <c r="CK3862" s="1"/>
      <c r="CW3862" s="144"/>
      <c r="DG3862" s="143"/>
    </row>
    <row r="3863" spans="89:111" ht="11.25" customHeight="1">
      <c r="CK3863" s="1"/>
      <c r="CW3863" s="144"/>
      <c r="DG3863" s="143"/>
    </row>
    <row r="3864" spans="89:111" ht="11.25" customHeight="1">
      <c r="CK3864" s="1"/>
      <c r="CW3864" s="144"/>
      <c r="DG3864" s="143"/>
    </row>
    <row r="3865" spans="89:111" ht="11.25" customHeight="1">
      <c r="CK3865" s="1"/>
      <c r="CW3865" s="144"/>
      <c r="DG3865" s="143"/>
    </row>
    <row r="3866" spans="89:111" ht="11.25" customHeight="1">
      <c r="CK3866" s="1"/>
      <c r="CW3866" s="144"/>
      <c r="DG3866" s="143"/>
    </row>
    <row r="3867" spans="89:111" ht="11.25" customHeight="1">
      <c r="CK3867" s="1"/>
      <c r="CW3867" s="144"/>
      <c r="DG3867" s="143"/>
    </row>
    <row r="3868" spans="89:111" ht="11.25" customHeight="1">
      <c r="CK3868" s="1"/>
      <c r="CW3868" s="144"/>
      <c r="DG3868" s="143"/>
    </row>
    <row r="3869" spans="89:111" ht="11.25" customHeight="1">
      <c r="CK3869" s="1"/>
      <c r="CW3869" s="144"/>
      <c r="DG3869" s="143"/>
    </row>
    <row r="3870" spans="89:111" ht="11.25" customHeight="1">
      <c r="CK3870" s="1"/>
      <c r="CW3870" s="144"/>
      <c r="DG3870" s="143"/>
    </row>
    <row r="3871" spans="89:111" ht="11.25" customHeight="1">
      <c r="CK3871" s="1"/>
      <c r="CW3871" s="144"/>
      <c r="DG3871" s="143"/>
    </row>
    <row r="3872" spans="89:111" ht="11.25" customHeight="1">
      <c r="CK3872" s="1"/>
      <c r="CW3872" s="144"/>
      <c r="DG3872" s="143"/>
    </row>
    <row r="3873" spans="89:111" ht="11.25" customHeight="1">
      <c r="CK3873" s="1"/>
      <c r="CW3873" s="144"/>
      <c r="DG3873" s="143"/>
    </row>
    <row r="3874" spans="89:111" ht="11.25" customHeight="1">
      <c r="CK3874" s="1"/>
      <c r="CW3874" s="144"/>
      <c r="DG3874" s="143"/>
    </row>
    <row r="3875" spans="89:111" ht="11.25" customHeight="1">
      <c r="CK3875" s="1"/>
      <c r="CW3875" s="144"/>
      <c r="DG3875" s="143"/>
    </row>
    <row r="3876" spans="89:111" ht="11.25" customHeight="1">
      <c r="CK3876" s="1"/>
      <c r="CW3876" s="144"/>
      <c r="DG3876" s="143"/>
    </row>
    <row r="3877" spans="89:111" ht="11.25" customHeight="1">
      <c r="CK3877" s="1"/>
      <c r="CW3877" s="144"/>
      <c r="DG3877" s="143"/>
    </row>
    <row r="3878" spans="89:111" ht="11.25" customHeight="1">
      <c r="CK3878" s="1"/>
      <c r="CW3878" s="144"/>
      <c r="DG3878" s="143"/>
    </row>
    <row r="3879" spans="89:111" ht="11.25" customHeight="1">
      <c r="CK3879" s="1"/>
      <c r="CW3879" s="144"/>
      <c r="DG3879" s="143"/>
    </row>
    <row r="3880" spans="89:111" ht="11.25" customHeight="1">
      <c r="CK3880" s="1"/>
      <c r="CW3880" s="144"/>
      <c r="DG3880" s="143"/>
    </row>
    <row r="3881" spans="89:111" ht="11.25" customHeight="1">
      <c r="CK3881" s="1"/>
      <c r="CW3881" s="144"/>
      <c r="DG3881" s="143"/>
    </row>
    <row r="3882" spans="89:111" ht="11.25" customHeight="1">
      <c r="CK3882" s="1"/>
      <c r="CW3882" s="144"/>
      <c r="DG3882" s="143"/>
    </row>
    <row r="3883" spans="89:111" ht="11.25" customHeight="1">
      <c r="CK3883" s="1"/>
      <c r="CW3883" s="144"/>
      <c r="DG3883" s="143"/>
    </row>
    <row r="3884" spans="89:111" ht="11.25" customHeight="1">
      <c r="CK3884" s="1"/>
      <c r="CW3884" s="144"/>
      <c r="DG3884" s="143"/>
    </row>
    <row r="3885" spans="89:111" ht="11.25" customHeight="1">
      <c r="CK3885" s="1"/>
      <c r="CW3885" s="144"/>
      <c r="DG3885" s="143"/>
    </row>
    <row r="3886" spans="89:111" ht="11.25" customHeight="1">
      <c r="CK3886" s="1"/>
      <c r="CW3886" s="144"/>
      <c r="DG3886" s="143"/>
    </row>
    <row r="3887" spans="89:111" ht="11.25" customHeight="1">
      <c r="CK3887" s="1"/>
      <c r="CW3887" s="144"/>
      <c r="DG3887" s="143"/>
    </row>
    <row r="3888" spans="89:111" ht="11.25" customHeight="1">
      <c r="CK3888" s="1"/>
      <c r="CW3888" s="144"/>
      <c r="DG3888" s="143"/>
    </row>
    <row r="3889" spans="89:111" ht="11.25" customHeight="1">
      <c r="CK3889" s="1"/>
      <c r="CW3889" s="144"/>
      <c r="DG3889" s="143"/>
    </row>
    <row r="3890" spans="89:111" ht="11.25" customHeight="1">
      <c r="CK3890" s="1"/>
      <c r="CW3890" s="144"/>
      <c r="DG3890" s="143"/>
    </row>
    <row r="3891" spans="89:111" ht="11.25" customHeight="1">
      <c r="CK3891" s="1"/>
      <c r="CW3891" s="144"/>
      <c r="DG3891" s="143"/>
    </row>
    <row r="3892" spans="89:111" ht="11.25" customHeight="1">
      <c r="CK3892" s="1"/>
      <c r="CW3892" s="144"/>
      <c r="DG3892" s="143"/>
    </row>
    <row r="3893" spans="89:111" ht="11.25" customHeight="1">
      <c r="CK3893" s="1"/>
      <c r="CW3893" s="144"/>
      <c r="DG3893" s="143"/>
    </row>
    <row r="3894" spans="89:111" ht="11.25" customHeight="1">
      <c r="CK3894" s="1"/>
      <c r="CW3894" s="144"/>
      <c r="DG3894" s="143"/>
    </row>
    <row r="3895" spans="89:111" ht="11.25" customHeight="1">
      <c r="CK3895" s="1"/>
      <c r="CW3895" s="144"/>
      <c r="DG3895" s="143"/>
    </row>
    <row r="3896" spans="89:111" ht="11.25" customHeight="1">
      <c r="CK3896" s="1"/>
      <c r="CW3896" s="144"/>
      <c r="DG3896" s="143"/>
    </row>
    <row r="3897" spans="89:111" ht="11.25" customHeight="1">
      <c r="CK3897" s="1"/>
      <c r="CW3897" s="144"/>
      <c r="DG3897" s="143"/>
    </row>
    <row r="3898" spans="89:111" ht="11.25" customHeight="1">
      <c r="CK3898" s="1"/>
      <c r="CW3898" s="144"/>
      <c r="DG3898" s="143"/>
    </row>
    <row r="3899" spans="89:111" ht="11.25" customHeight="1">
      <c r="CK3899" s="1"/>
      <c r="CW3899" s="144"/>
      <c r="DG3899" s="143"/>
    </row>
    <row r="3900" spans="89:111" ht="11.25" customHeight="1">
      <c r="CK3900" s="1"/>
      <c r="CW3900" s="144"/>
      <c r="DG3900" s="143"/>
    </row>
    <row r="3901" spans="89:111" ht="11.25" customHeight="1">
      <c r="CK3901" s="1"/>
      <c r="CW3901" s="144"/>
      <c r="DG3901" s="143"/>
    </row>
    <row r="3902" spans="89:111" ht="11.25" customHeight="1">
      <c r="CK3902" s="1"/>
      <c r="CW3902" s="144"/>
      <c r="DG3902" s="143"/>
    </row>
    <row r="3903" spans="89:111" ht="11.25" customHeight="1">
      <c r="CK3903" s="1"/>
      <c r="CW3903" s="144"/>
      <c r="DG3903" s="143"/>
    </row>
    <row r="3904" spans="89:111" ht="11.25" customHeight="1">
      <c r="CK3904" s="1"/>
      <c r="CW3904" s="144"/>
      <c r="DG3904" s="143"/>
    </row>
    <row r="3905" spans="89:111" ht="11.25" customHeight="1">
      <c r="CK3905" s="1"/>
      <c r="CW3905" s="144"/>
      <c r="DG3905" s="143"/>
    </row>
    <row r="3906" spans="89:111" ht="11.25" customHeight="1">
      <c r="CK3906" s="1"/>
      <c r="CW3906" s="144"/>
      <c r="DG3906" s="143"/>
    </row>
    <row r="3907" spans="89:111" ht="11.25" customHeight="1">
      <c r="CK3907" s="1"/>
      <c r="CW3907" s="144"/>
      <c r="DG3907" s="143"/>
    </row>
    <row r="3908" spans="89:111" ht="11.25" customHeight="1">
      <c r="CK3908" s="1"/>
      <c r="CW3908" s="144"/>
      <c r="DG3908" s="143"/>
    </row>
    <row r="3909" spans="89:111" ht="11.25" customHeight="1">
      <c r="CK3909" s="1"/>
      <c r="CW3909" s="144"/>
      <c r="DG3909" s="143"/>
    </row>
    <row r="3910" spans="89:111" ht="11.25" customHeight="1">
      <c r="CK3910" s="1"/>
      <c r="CW3910" s="144"/>
      <c r="DG3910" s="143"/>
    </row>
    <row r="3911" spans="89:111" ht="11.25" customHeight="1">
      <c r="CK3911" s="1"/>
      <c r="CW3911" s="144"/>
      <c r="DG3911" s="143"/>
    </row>
    <row r="3912" spans="89:111" ht="11.25" customHeight="1">
      <c r="CK3912" s="1"/>
      <c r="CW3912" s="144"/>
      <c r="DG3912" s="143"/>
    </row>
    <row r="3913" spans="89:111" ht="11.25" customHeight="1">
      <c r="CK3913" s="1"/>
      <c r="CW3913" s="144"/>
      <c r="DG3913" s="143"/>
    </row>
    <row r="3914" spans="89:111" ht="11.25" customHeight="1">
      <c r="CK3914" s="1"/>
      <c r="CW3914" s="144"/>
      <c r="DG3914" s="143"/>
    </row>
    <row r="3915" spans="89:111" ht="11.25" customHeight="1">
      <c r="CK3915" s="1"/>
      <c r="CW3915" s="144"/>
      <c r="DG3915" s="143"/>
    </row>
    <row r="3916" spans="89:111" ht="11.25" customHeight="1">
      <c r="CK3916" s="1"/>
      <c r="CW3916" s="144"/>
      <c r="DG3916" s="143"/>
    </row>
    <row r="3917" spans="89:111" ht="11.25" customHeight="1">
      <c r="CK3917" s="1"/>
      <c r="CW3917" s="144"/>
      <c r="DG3917" s="143"/>
    </row>
    <row r="3918" spans="89:111" ht="11.25" customHeight="1">
      <c r="CK3918" s="1"/>
      <c r="CW3918" s="144"/>
      <c r="DG3918" s="143"/>
    </row>
    <row r="3919" spans="89:111" ht="11.25" customHeight="1">
      <c r="CK3919" s="1"/>
      <c r="CW3919" s="144"/>
      <c r="DG3919" s="143"/>
    </row>
    <row r="3920" spans="89:111" ht="11.25" customHeight="1">
      <c r="CK3920" s="1"/>
      <c r="CW3920" s="144"/>
      <c r="DG3920" s="143"/>
    </row>
    <row r="3921" spans="89:111" ht="11.25" customHeight="1">
      <c r="CK3921" s="1"/>
      <c r="CW3921" s="144"/>
      <c r="DG3921" s="143"/>
    </row>
    <row r="3922" spans="89:111" ht="11.25" customHeight="1">
      <c r="CK3922" s="1"/>
      <c r="CW3922" s="144"/>
      <c r="DG3922" s="143"/>
    </row>
    <row r="3923" spans="89:111" ht="11.25" customHeight="1">
      <c r="CK3923" s="1"/>
      <c r="CW3923" s="144"/>
      <c r="DG3923" s="143"/>
    </row>
    <row r="3924" spans="89:111" ht="11.25" customHeight="1">
      <c r="CK3924" s="1"/>
      <c r="CW3924" s="144"/>
      <c r="DG3924" s="143"/>
    </row>
    <row r="3925" spans="89:111" ht="11.25" customHeight="1">
      <c r="CK3925" s="1"/>
      <c r="CW3925" s="144"/>
      <c r="DG3925" s="143"/>
    </row>
    <row r="3926" spans="89:111" ht="11.25" customHeight="1">
      <c r="CK3926" s="1"/>
      <c r="CW3926" s="144"/>
      <c r="DG3926" s="143"/>
    </row>
    <row r="3927" spans="89:111" ht="11.25" customHeight="1">
      <c r="CK3927" s="1"/>
      <c r="CW3927" s="144"/>
      <c r="DG3927" s="143"/>
    </row>
    <row r="3928" spans="89:111" ht="11.25" customHeight="1">
      <c r="CK3928" s="1"/>
      <c r="CW3928" s="144"/>
      <c r="DG3928" s="143"/>
    </row>
    <row r="3929" spans="89:111" ht="11.25" customHeight="1">
      <c r="CK3929" s="1"/>
      <c r="CW3929" s="144"/>
      <c r="DG3929" s="143"/>
    </row>
    <row r="3930" spans="89:111" ht="11.25" customHeight="1">
      <c r="CK3930" s="1"/>
      <c r="CW3930" s="144"/>
      <c r="DG3930" s="143"/>
    </row>
    <row r="3931" spans="89:111" ht="11.25" customHeight="1">
      <c r="CK3931" s="1"/>
      <c r="CW3931" s="144"/>
      <c r="DG3931" s="143"/>
    </row>
    <row r="3932" spans="89:111" ht="11.25" customHeight="1">
      <c r="CK3932" s="1"/>
      <c r="CW3932" s="144"/>
      <c r="DG3932" s="143"/>
    </row>
    <row r="3933" spans="89:111" ht="11.25" customHeight="1">
      <c r="CK3933" s="1"/>
      <c r="CW3933" s="144"/>
      <c r="DG3933" s="143"/>
    </row>
    <row r="3934" spans="89:111" ht="11.25" customHeight="1">
      <c r="CK3934" s="1"/>
      <c r="CW3934" s="144"/>
      <c r="DG3934" s="143"/>
    </row>
    <row r="3935" spans="89:111" ht="11.25" customHeight="1">
      <c r="CK3935" s="1"/>
      <c r="CW3935" s="144"/>
      <c r="DG3935" s="143"/>
    </row>
    <row r="3936" spans="89:111" ht="11.25" customHeight="1">
      <c r="CK3936" s="1"/>
      <c r="CW3936" s="144"/>
      <c r="DG3936" s="143"/>
    </row>
    <row r="3937" spans="89:111" ht="11.25" customHeight="1">
      <c r="CK3937" s="1"/>
      <c r="CW3937" s="144"/>
      <c r="DG3937" s="143"/>
    </row>
    <row r="3938" spans="89:111" ht="11.25" customHeight="1">
      <c r="CK3938" s="1"/>
      <c r="CW3938" s="144"/>
      <c r="DG3938" s="143"/>
    </row>
    <row r="3939" spans="89:111" ht="11.25" customHeight="1">
      <c r="CK3939" s="1"/>
      <c r="CW3939" s="144"/>
      <c r="DG3939" s="143"/>
    </row>
    <row r="3940" spans="89:111" ht="11.25" customHeight="1">
      <c r="CK3940" s="1"/>
      <c r="CW3940" s="144"/>
      <c r="DG3940" s="143"/>
    </row>
    <row r="3941" spans="89:111" ht="11.25" customHeight="1">
      <c r="CK3941" s="1"/>
      <c r="CW3941" s="144"/>
      <c r="DG3941" s="143"/>
    </row>
    <row r="3942" spans="89:111" ht="11.25" customHeight="1">
      <c r="CK3942" s="1"/>
      <c r="CW3942" s="144"/>
      <c r="DG3942" s="143"/>
    </row>
    <row r="3943" spans="89:111" ht="11.25" customHeight="1">
      <c r="CK3943" s="1"/>
      <c r="CW3943" s="144"/>
      <c r="DG3943" s="143"/>
    </row>
    <row r="3944" spans="89:111" ht="11.25" customHeight="1">
      <c r="CK3944" s="1"/>
      <c r="CW3944" s="144"/>
      <c r="DG3944" s="143"/>
    </row>
    <row r="3945" spans="89:111" ht="11.25" customHeight="1">
      <c r="CK3945" s="1"/>
      <c r="CW3945" s="144"/>
      <c r="DG3945" s="143"/>
    </row>
    <row r="3946" spans="89:111" ht="11.25" customHeight="1">
      <c r="CK3946" s="1"/>
      <c r="CW3946" s="144"/>
      <c r="DG3946" s="143"/>
    </row>
    <row r="3947" spans="89:111" ht="11.25" customHeight="1">
      <c r="CK3947" s="1"/>
      <c r="CW3947" s="144"/>
      <c r="DG3947" s="143"/>
    </row>
    <row r="3948" spans="89:111" ht="11.25" customHeight="1">
      <c r="CK3948" s="1"/>
      <c r="CW3948" s="144"/>
      <c r="DG3948" s="143"/>
    </row>
    <row r="3949" spans="89:111" ht="11.25" customHeight="1">
      <c r="CK3949" s="1"/>
      <c r="CW3949" s="144"/>
      <c r="DG3949" s="143"/>
    </row>
    <row r="3950" spans="89:111" ht="11.25" customHeight="1">
      <c r="CK3950" s="1"/>
      <c r="CW3950" s="144"/>
      <c r="DG3950" s="143"/>
    </row>
    <row r="3951" spans="89:111" ht="11.25" customHeight="1">
      <c r="CK3951" s="1"/>
      <c r="CW3951" s="144"/>
      <c r="DG3951" s="143"/>
    </row>
    <row r="3952" spans="89:111" ht="11.25" customHeight="1">
      <c r="CK3952" s="1"/>
      <c r="CW3952" s="144"/>
      <c r="DG3952" s="143"/>
    </row>
    <row r="3953" spans="89:111" ht="11.25" customHeight="1">
      <c r="CK3953" s="1"/>
      <c r="CW3953" s="144"/>
      <c r="DG3953" s="143"/>
    </row>
    <row r="3954" spans="89:111" ht="11.25" customHeight="1">
      <c r="CK3954" s="1"/>
      <c r="CW3954" s="144"/>
      <c r="DG3954" s="143"/>
    </row>
    <row r="3955" spans="89:111" ht="11.25" customHeight="1">
      <c r="CK3955" s="1"/>
      <c r="CW3955" s="144"/>
      <c r="DG3955" s="143"/>
    </row>
    <row r="3956" spans="89:111" ht="11.25" customHeight="1">
      <c r="CK3956" s="1"/>
      <c r="CW3956" s="144"/>
      <c r="DG3956" s="143"/>
    </row>
    <row r="3957" spans="89:111" ht="11.25" customHeight="1">
      <c r="CK3957" s="1"/>
      <c r="CW3957" s="144"/>
      <c r="DG3957" s="143"/>
    </row>
    <row r="3958" spans="89:111" ht="11.25" customHeight="1">
      <c r="CK3958" s="1"/>
      <c r="CW3958" s="144"/>
      <c r="DG3958" s="143"/>
    </row>
    <row r="3959" spans="89:111" ht="11.25" customHeight="1">
      <c r="CK3959" s="1"/>
      <c r="CW3959" s="144"/>
      <c r="DG3959" s="143"/>
    </row>
    <row r="3960" spans="89:111" ht="11.25" customHeight="1">
      <c r="CK3960" s="1"/>
      <c r="CW3960" s="144"/>
      <c r="DG3960" s="143"/>
    </row>
    <row r="3961" spans="89:111" ht="11.25" customHeight="1">
      <c r="CK3961" s="1"/>
      <c r="CW3961" s="144"/>
      <c r="DG3961" s="143"/>
    </row>
    <row r="3962" spans="89:111" ht="11.25" customHeight="1">
      <c r="CK3962" s="1"/>
      <c r="CW3962" s="144"/>
      <c r="DG3962" s="143"/>
    </row>
    <row r="3963" spans="89:111" ht="11.25" customHeight="1">
      <c r="CK3963" s="1"/>
      <c r="CW3963" s="144"/>
      <c r="DG3963" s="143"/>
    </row>
    <row r="3964" spans="89:111" ht="11.25" customHeight="1">
      <c r="CK3964" s="1"/>
      <c r="CW3964" s="144"/>
      <c r="DG3964" s="143"/>
    </row>
    <row r="3965" spans="89:111" ht="11.25" customHeight="1">
      <c r="CK3965" s="1"/>
      <c r="CW3965" s="144"/>
      <c r="DG3965" s="143"/>
    </row>
    <row r="3966" spans="89:111" ht="11.25" customHeight="1">
      <c r="CK3966" s="1"/>
      <c r="CW3966" s="144"/>
      <c r="DG3966" s="143"/>
    </row>
    <row r="3967" spans="89:111" ht="11.25" customHeight="1">
      <c r="CK3967" s="1"/>
      <c r="CW3967" s="144"/>
      <c r="DG3967" s="143"/>
    </row>
    <row r="3968" spans="89:111" ht="11.25" customHeight="1">
      <c r="CK3968" s="1"/>
      <c r="CW3968" s="144"/>
      <c r="DG3968" s="143"/>
    </row>
    <row r="3969" spans="89:111" ht="11.25" customHeight="1">
      <c r="CK3969" s="1"/>
      <c r="CW3969" s="144"/>
      <c r="DG3969" s="143"/>
    </row>
    <row r="3970" spans="89:111" ht="11.25" customHeight="1">
      <c r="CK3970" s="1"/>
      <c r="CW3970" s="144"/>
      <c r="DG3970" s="143"/>
    </row>
    <row r="3971" spans="89:111" ht="11.25" customHeight="1">
      <c r="CK3971" s="1"/>
      <c r="CW3971" s="144"/>
      <c r="DG3971" s="143"/>
    </row>
    <row r="3972" spans="89:111" ht="11.25" customHeight="1">
      <c r="CK3972" s="1"/>
      <c r="CW3972" s="144"/>
      <c r="DG3972" s="143"/>
    </row>
    <row r="3973" spans="89:111" ht="11.25" customHeight="1">
      <c r="CK3973" s="1"/>
      <c r="CW3973" s="144"/>
      <c r="DG3973" s="143"/>
    </row>
    <row r="3974" spans="89:111" ht="11.25" customHeight="1">
      <c r="CK3974" s="1"/>
      <c r="CW3974" s="144"/>
      <c r="DG3974" s="143"/>
    </row>
    <row r="3975" spans="89:111" ht="11.25" customHeight="1">
      <c r="CK3975" s="1"/>
      <c r="CW3975" s="144"/>
      <c r="DG3975" s="143"/>
    </row>
    <row r="3976" spans="89:111" ht="11.25" customHeight="1">
      <c r="CK3976" s="1"/>
      <c r="CW3976" s="144"/>
      <c r="DG3976" s="143"/>
    </row>
    <row r="3977" spans="89:111" ht="11.25" customHeight="1">
      <c r="CK3977" s="1"/>
      <c r="CW3977" s="144"/>
      <c r="DG3977" s="143"/>
    </row>
    <row r="3978" spans="89:111" ht="11.25" customHeight="1">
      <c r="CK3978" s="1"/>
      <c r="CW3978" s="144"/>
      <c r="DG3978" s="143"/>
    </row>
    <row r="3979" spans="89:111" ht="11.25" customHeight="1">
      <c r="CK3979" s="1"/>
      <c r="CW3979" s="144"/>
      <c r="DG3979" s="143"/>
    </row>
    <row r="3980" spans="89:111" ht="11.25" customHeight="1">
      <c r="CK3980" s="1"/>
      <c r="CW3980" s="144"/>
      <c r="DG3980" s="143"/>
    </row>
    <row r="3981" spans="89:111" ht="11.25" customHeight="1">
      <c r="CK3981" s="1"/>
      <c r="CW3981" s="144"/>
      <c r="DG3981" s="143"/>
    </row>
    <row r="3982" spans="89:111" ht="11.25" customHeight="1">
      <c r="CK3982" s="1"/>
      <c r="CW3982" s="144"/>
      <c r="DG3982" s="143"/>
    </row>
    <row r="3983" spans="89:111" ht="11.25" customHeight="1">
      <c r="CK3983" s="1"/>
      <c r="CW3983" s="144"/>
      <c r="DG3983" s="143"/>
    </row>
    <row r="3984" spans="89:111" ht="11.25" customHeight="1">
      <c r="CK3984" s="1"/>
      <c r="CW3984" s="144"/>
      <c r="DG3984" s="143"/>
    </row>
    <row r="3985" spans="89:111" ht="11.25" customHeight="1">
      <c r="CK3985" s="1"/>
      <c r="CW3985" s="144"/>
      <c r="DG3985" s="143"/>
    </row>
    <row r="3986" spans="89:111" ht="11.25" customHeight="1">
      <c r="CK3986" s="1"/>
      <c r="CW3986" s="144"/>
      <c r="DG3986" s="143"/>
    </row>
    <row r="3987" spans="89:111" ht="11.25" customHeight="1">
      <c r="CK3987" s="1"/>
      <c r="CW3987" s="144"/>
      <c r="DG3987" s="143"/>
    </row>
    <row r="3988" spans="89:111" ht="11.25" customHeight="1">
      <c r="CK3988" s="1"/>
      <c r="CW3988" s="144"/>
      <c r="DG3988" s="143"/>
    </row>
    <row r="3989" spans="89:111" ht="11.25" customHeight="1">
      <c r="CK3989" s="1"/>
      <c r="CW3989" s="144"/>
      <c r="DG3989" s="143"/>
    </row>
    <row r="3990" spans="89:111" ht="11.25" customHeight="1">
      <c r="CK3990" s="1"/>
      <c r="CW3990" s="144"/>
      <c r="DG3990" s="143"/>
    </row>
    <row r="3991" spans="89:111" ht="11.25" customHeight="1">
      <c r="CK3991" s="1"/>
      <c r="CW3991" s="144"/>
      <c r="DG3991" s="143"/>
    </row>
    <row r="3992" spans="89:111" ht="11.25" customHeight="1">
      <c r="CK3992" s="1"/>
      <c r="CW3992" s="144"/>
      <c r="DG3992" s="143"/>
    </row>
    <row r="3993" spans="89:111" ht="11.25" customHeight="1">
      <c r="CK3993" s="1"/>
      <c r="CW3993" s="144"/>
      <c r="DG3993" s="143"/>
    </row>
    <row r="3994" spans="89:111" ht="11.25" customHeight="1">
      <c r="CK3994" s="1"/>
      <c r="CW3994" s="144"/>
      <c r="DG3994" s="143"/>
    </row>
    <row r="3995" spans="89:111" ht="11.25" customHeight="1">
      <c r="CK3995" s="1"/>
      <c r="CW3995" s="144"/>
      <c r="DG3995" s="143"/>
    </row>
    <row r="3996" spans="89:111" ht="11.25" customHeight="1">
      <c r="CK3996" s="1"/>
      <c r="CW3996" s="144"/>
      <c r="DG3996" s="143"/>
    </row>
    <row r="3997" spans="89:111" ht="11.25" customHeight="1">
      <c r="CK3997" s="1"/>
      <c r="CW3997" s="144"/>
      <c r="DG3997" s="143"/>
    </row>
    <row r="3998" spans="89:111" ht="11.25" customHeight="1">
      <c r="CK3998" s="1"/>
      <c r="CW3998" s="144"/>
      <c r="DG3998" s="143"/>
    </row>
    <row r="3999" spans="89:111" ht="11.25" customHeight="1">
      <c r="CK3999" s="1"/>
      <c r="CW3999" s="144"/>
      <c r="DG3999" s="143"/>
    </row>
    <row r="4000" spans="89:111" ht="11.25" customHeight="1">
      <c r="CK4000" s="1"/>
      <c r="CW4000" s="144"/>
      <c r="DG4000" s="143"/>
    </row>
    <row r="4001" spans="89:111" ht="11.25" customHeight="1">
      <c r="CK4001" s="1"/>
      <c r="CW4001" s="144"/>
      <c r="DG4001" s="143"/>
    </row>
    <row r="4002" spans="89:111" ht="11.25" customHeight="1">
      <c r="CK4002" s="1"/>
      <c r="CW4002" s="144"/>
      <c r="DG4002" s="143"/>
    </row>
    <row r="4003" spans="89:111" ht="11.25" customHeight="1">
      <c r="CK4003" s="1"/>
      <c r="CW4003" s="144"/>
      <c r="DG4003" s="143"/>
    </row>
    <row r="4004" spans="89:111" ht="11.25" customHeight="1">
      <c r="CK4004" s="1"/>
      <c r="CW4004" s="144"/>
      <c r="DG4004" s="143"/>
    </row>
    <row r="4005" spans="89:111" ht="11.25" customHeight="1">
      <c r="CK4005" s="1"/>
      <c r="CW4005" s="144"/>
      <c r="DG4005" s="143"/>
    </row>
    <row r="4006" spans="89:111" ht="11.25" customHeight="1">
      <c r="CK4006" s="1"/>
      <c r="CW4006" s="144"/>
      <c r="DG4006" s="143"/>
    </row>
    <row r="4007" spans="89:111" ht="11.25" customHeight="1">
      <c r="CK4007" s="1"/>
      <c r="CW4007" s="144"/>
      <c r="DG4007" s="143"/>
    </row>
    <row r="4008" spans="89:111" ht="11.25" customHeight="1">
      <c r="CK4008" s="1"/>
      <c r="CW4008" s="144"/>
      <c r="DG4008" s="143"/>
    </row>
    <row r="4009" spans="89:111" ht="11.25" customHeight="1">
      <c r="CK4009" s="1"/>
      <c r="CW4009" s="144"/>
      <c r="DG4009" s="143"/>
    </row>
    <row r="4010" spans="89:111" ht="11.25" customHeight="1">
      <c r="CK4010" s="1"/>
      <c r="CW4010" s="144"/>
      <c r="DG4010" s="143"/>
    </row>
    <row r="4011" spans="89:111" ht="11.25" customHeight="1">
      <c r="CK4011" s="1"/>
      <c r="CW4011" s="144"/>
      <c r="DG4011" s="143"/>
    </row>
    <row r="4012" spans="89:111" ht="11.25" customHeight="1">
      <c r="CK4012" s="1"/>
      <c r="CW4012" s="144"/>
      <c r="DG4012" s="143"/>
    </row>
    <row r="4013" spans="89:111" ht="11.25" customHeight="1">
      <c r="CK4013" s="1"/>
      <c r="CW4013" s="144"/>
      <c r="DG4013" s="143"/>
    </row>
    <row r="4014" spans="89:111" ht="11.25" customHeight="1">
      <c r="CK4014" s="1"/>
      <c r="CW4014" s="144"/>
      <c r="DG4014" s="143"/>
    </row>
    <row r="4015" spans="89:111" ht="11.25" customHeight="1">
      <c r="CK4015" s="1"/>
      <c r="CW4015" s="144"/>
      <c r="DG4015" s="143"/>
    </row>
    <row r="4016" spans="89:111" ht="11.25" customHeight="1">
      <c r="CK4016" s="1"/>
      <c r="CW4016" s="144"/>
      <c r="DG4016" s="143"/>
    </row>
    <row r="4017" spans="89:111" ht="11.25" customHeight="1">
      <c r="CK4017" s="1"/>
      <c r="CW4017" s="144"/>
      <c r="DG4017" s="143"/>
    </row>
    <row r="4018" spans="89:111" ht="11.25" customHeight="1">
      <c r="CK4018" s="1"/>
      <c r="CW4018" s="144"/>
      <c r="DG4018" s="143"/>
    </row>
    <row r="4019" spans="89:111" ht="11.25" customHeight="1">
      <c r="CK4019" s="1"/>
      <c r="CW4019" s="144"/>
      <c r="DG4019" s="143"/>
    </row>
    <row r="4020" spans="89:111" ht="11.25" customHeight="1">
      <c r="CK4020" s="1"/>
      <c r="CW4020" s="144"/>
      <c r="DG4020" s="143"/>
    </row>
    <row r="4021" spans="89:111" ht="11.25" customHeight="1">
      <c r="CK4021" s="1"/>
      <c r="CW4021" s="144"/>
      <c r="DG4021" s="143"/>
    </row>
    <row r="4022" spans="89:111" ht="11.25" customHeight="1">
      <c r="CK4022" s="1"/>
      <c r="CW4022" s="144"/>
      <c r="DG4022" s="143"/>
    </row>
    <row r="4023" spans="89:111" ht="11.25" customHeight="1">
      <c r="CK4023" s="1"/>
      <c r="CW4023" s="144"/>
      <c r="DG4023" s="143"/>
    </row>
    <row r="4024" spans="89:111" ht="11.25" customHeight="1">
      <c r="CK4024" s="1"/>
      <c r="CW4024" s="144"/>
      <c r="DG4024" s="143"/>
    </row>
    <row r="4025" spans="89:111" ht="11.25" customHeight="1">
      <c r="CK4025" s="1"/>
      <c r="CW4025" s="144"/>
      <c r="DG4025" s="143"/>
    </row>
    <row r="4026" spans="89:111" ht="11.25" customHeight="1">
      <c r="CK4026" s="1"/>
      <c r="CW4026" s="144"/>
      <c r="DG4026" s="143"/>
    </row>
    <row r="4027" spans="89:111" ht="11.25" customHeight="1">
      <c r="CK4027" s="1"/>
      <c r="CW4027" s="144"/>
      <c r="DG4027" s="143"/>
    </row>
    <row r="4028" spans="89:111" ht="11.25" customHeight="1">
      <c r="CK4028" s="1"/>
      <c r="CW4028" s="144"/>
      <c r="DG4028" s="143"/>
    </row>
    <row r="4029" spans="89:111" ht="11.25" customHeight="1">
      <c r="CK4029" s="1"/>
      <c r="CW4029" s="144"/>
      <c r="DG4029" s="143"/>
    </row>
    <row r="4030" spans="89:111" ht="11.25" customHeight="1">
      <c r="CK4030" s="1"/>
      <c r="CW4030" s="144"/>
      <c r="DG4030" s="143"/>
    </row>
    <row r="4031" spans="89:111" ht="11.25" customHeight="1">
      <c r="CK4031" s="1"/>
      <c r="CW4031" s="144"/>
      <c r="DG4031" s="143"/>
    </row>
    <row r="4032" spans="89:111" ht="11.25" customHeight="1">
      <c r="CK4032" s="1"/>
      <c r="CW4032" s="144"/>
      <c r="DG4032" s="143"/>
    </row>
    <row r="4033" spans="89:111" ht="11.25" customHeight="1">
      <c r="CK4033" s="1"/>
      <c r="CW4033" s="144"/>
      <c r="DG4033" s="143"/>
    </row>
    <row r="4034" spans="89:111" ht="11.25" customHeight="1">
      <c r="CK4034" s="1"/>
      <c r="CW4034" s="144"/>
      <c r="DG4034" s="143"/>
    </row>
    <row r="4035" spans="89:111" ht="11.25" customHeight="1">
      <c r="CK4035" s="1"/>
      <c r="CW4035" s="144"/>
      <c r="DG4035" s="143"/>
    </row>
    <row r="4036" spans="89:111" ht="11.25" customHeight="1">
      <c r="CK4036" s="1"/>
      <c r="CW4036" s="144"/>
      <c r="DG4036" s="143"/>
    </row>
    <row r="4037" spans="89:111" ht="11.25" customHeight="1">
      <c r="CK4037" s="1"/>
      <c r="CW4037" s="144"/>
      <c r="DG4037" s="143"/>
    </row>
    <row r="4038" spans="89:111" ht="11.25" customHeight="1">
      <c r="CK4038" s="1"/>
      <c r="CW4038" s="144"/>
      <c r="DG4038" s="143"/>
    </row>
    <row r="4039" spans="89:111" ht="11.25" customHeight="1">
      <c r="CK4039" s="1"/>
      <c r="CW4039" s="144"/>
      <c r="DG4039" s="143"/>
    </row>
    <row r="4040" spans="89:111" ht="11.25" customHeight="1">
      <c r="CK4040" s="1"/>
      <c r="CW4040" s="144"/>
      <c r="DG4040" s="143"/>
    </row>
    <row r="4041" spans="89:111" ht="11.25" customHeight="1">
      <c r="CK4041" s="1"/>
      <c r="CW4041" s="144"/>
      <c r="DG4041" s="143"/>
    </row>
    <row r="4042" spans="89:111" ht="11.25" customHeight="1">
      <c r="CK4042" s="1"/>
      <c r="CW4042" s="144"/>
      <c r="DG4042" s="143"/>
    </row>
    <row r="4043" spans="89:111" ht="11.25" customHeight="1">
      <c r="CK4043" s="1"/>
      <c r="CW4043" s="144"/>
      <c r="DG4043" s="143"/>
    </row>
    <row r="4044" spans="89:111" ht="11.25" customHeight="1">
      <c r="CK4044" s="1"/>
      <c r="CW4044" s="144"/>
      <c r="DG4044" s="143"/>
    </row>
    <row r="4045" spans="89:111" ht="11.25" customHeight="1">
      <c r="CK4045" s="1"/>
      <c r="CW4045" s="144"/>
      <c r="DG4045" s="143"/>
    </row>
    <row r="4046" spans="89:111" ht="11.25" customHeight="1">
      <c r="CK4046" s="1"/>
      <c r="CW4046" s="144"/>
      <c r="DG4046" s="143"/>
    </row>
    <row r="4047" spans="89:111" ht="11.25" customHeight="1">
      <c r="CK4047" s="1"/>
      <c r="CW4047" s="144"/>
      <c r="DG4047" s="143"/>
    </row>
    <row r="4048" spans="89:111" ht="11.25" customHeight="1">
      <c r="CK4048" s="1"/>
      <c r="CW4048" s="144"/>
      <c r="DG4048" s="143"/>
    </row>
    <row r="4049" spans="89:111" ht="11.25" customHeight="1">
      <c r="CK4049" s="1"/>
      <c r="CW4049" s="144"/>
      <c r="DG4049" s="143"/>
    </row>
    <row r="4050" spans="89:111" ht="11.25" customHeight="1">
      <c r="CK4050" s="1"/>
      <c r="CW4050" s="144"/>
      <c r="DG4050" s="143"/>
    </row>
    <row r="4051" spans="89:111" ht="11.25" customHeight="1">
      <c r="CK4051" s="1"/>
      <c r="CW4051" s="144"/>
      <c r="DG4051" s="143"/>
    </row>
    <row r="4052" spans="89:111" ht="11.25" customHeight="1">
      <c r="CK4052" s="1"/>
      <c r="CW4052" s="144"/>
      <c r="DG4052" s="143"/>
    </row>
    <row r="4053" spans="89:111" ht="11.25" customHeight="1">
      <c r="CK4053" s="1"/>
      <c r="CW4053" s="144"/>
      <c r="DG4053" s="143"/>
    </row>
    <row r="4054" spans="89:111" ht="11.25" customHeight="1">
      <c r="CK4054" s="1"/>
      <c r="CW4054" s="144"/>
      <c r="DG4054" s="143"/>
    </row>
    <row r="4055" spans="89:111" ht="11.25" customHeight="1">
      <c r="CK4055" s="1"/>
      <c r="CW4055" s="144"/>
      <c r="DG4055" s="143"/>
    </row>
    <row r="4056" spans="89:111" ht="11.25" customHeight="1">
      <c r="CK4056" s="1"/>
      <c r="CW4056" s="144"/>
      <c r="DG4056" s="143"/>
    </row>
    <row r="4057" spans="89:111" ht="11.25" customHeight="1">
      <c r="CK4057" s="1"/>
      <c r="CW4057" s="144"/>
      <c r="DG4057" s="143"/>
    </row>
    <row r="4058" spans="89:111" ht="11.25" customHeight="1">
      <c r="CK4058" s="1"/>
      <c r="CW4058" s="144"/>
      <c r="DG4058" s="143"/>
    </row>
    <row r="4059" spans="89:111" ht="11.25" customHeight="1">
      <c r="CK4059" s="1"/>
      <c r="CW4059" s="144"/>
      <c r="DG4059" s="143"/>
    </row>
    <row r="4060" spans="89:111" ht="11.25" customHeight="1">
      <c r="CK4060" s="1"/>
      <c r="CW4060" s="144"/>
      <c r="DG4060" s="143"/>
    </row>
    <row r="4061" spans="89:111" ht="11.25" customHeight="1">
      <c r="CK4061" s="1"/>
      <c r="CW4061" s="144"/>
      <c r="DG4061" s="143"/>
    </row>
    <row r="4062" spans="89:111" ht="11.25" customHeight="1">
      <c r="CK4062" s="1"/>
      <c r="CW4062" s="144"/>
      <c r="DG4062" s="143"/>
    </row>
    <row r="4063" spans="89:111" ht="11.25" customHeight="1">
      <c r="CK4063" s="1"/>
      <c r="CW4063" s="144"/>
      <c r="DG4063" s="143"/>
    </row>
    <row r="4064" spans="89:111" ht="11.25" customHeight="1">
      <c r="CK4064" s="1"/>
      <c r="CW4064" s="144"/>
      <c r="DG4064" s="143"/>
    </row>
    <row r="4065" spans="89:111" ht="11.25" customHeight="1">
      <c r="CK4065" s="1"/>
      <c r="CW4065" s="144"/>
      <c r="DG4065" s="143"/>
    </row>
    <row r="4066" spans="89:111" ht="11.25" customHeight="1">
      <c r="CK4066" s="1"/>
      <c r="CW4066" s="144"/>
      <c r="DG4066" s="143"/>
    </row>
    <row r="4067" spans="89:111" ht="11.25" customHeight="1">
      <c r="CK4067" s="1"/>
      <c r="CW4067" s="144"/>
      <c r="DG4067" s="143"/>
    </row>
    <row r="4068" spans="89:111" ht="11.25" customHeight="1">
      <c r="CK4068" s="1"/>
      <c r="CW4068" s="144"/>
      <c r="DG4068" s="143"/>
    </row>
    <row r="4069" spans="89:111" ht="11.25" customHeight="1">
      <c r="CK4069" s="1"/>
      <c r="CW4069" s="144"/>
      <c r="DG4069" s="143"/>
    </row>
    <row r="4070" spans="89:111" ht="11.25" customHeight="1">
      <c r="CK4070" s="1"/>
      <c r="CW4070" s="144"/>
      <c r="DG4070" s="143"/>
    </row>
    <row r="4071" spans="89:111" ht="11.25" customHeight="1">
      <c r="CK4071" s="1"/>
      <c r="CW4071" s="144"/>
      <c r="DG4071" s="143"/>
    </row>
    <row r="4072" spans="89:111" ht="11.25" customHeight="1">
      <c r="CK4072" s="1"/>
      <c r="CW4072" s="144"/>
      <c r="DG4072" s="143"/>
    </row>
    <row r="4073" spans="89:111" ht="11.25" customHeight="1">
      <c r="CK4073" s="1"/>
      <c r="CW4073" s="144"/>
      <c r="DG4073" s="143"/>
    </row>
    <row r="4074" spans="89:111" ht="11.25" customHeight="1">
      <c r="CK4074" s="1"/>
      <c r="CW4074" s="144"/>
      <c r="DG4074" s="143"/>
    </row>
    <row r="4075" spans="89:111" ht="11.25" customHeight="1">
      <c r="CK4075" s="1"/>
      <c r="CW4075" s="144"/>
      <c r="DG4075" s="143"/>
    </row>
    <row r="4076" spans="89:111" ht="11.25" customHeight="1">
      <c r="CK4076" s="1"/>
      <c r="CW4076" s="144"/>
      <c r="DG4076" s="143"/>
    </row>
    <row r="4077" spans="89:111" ht="11.25" customHeight="1">
      <c r="CK4077" s="1"/>
      <c r="CW4077" s="144"/>
      <c r="DG4077" s="143"/>
    </row>
    <row r="4078" spans="89:111" ht="11.25" customHeight="1">
      <c r="CK4078" s="1"/>
      <c r="CW4078" s="144"/>
      <c r="DG4078" s="143"/>
    </row>
    <row r="4079" spans="89:111" ht="11.25" customHeight="1">
      <c r="CK4079" s="1"/>
      <c r="CW4079" s="144"/>
      <c r="DG4079" s="143"/>
    </row>
    <row r="4080" spans="89:111" ht="11.25" customHeight="1">
      <c r="CK4080" s="1"/>
      <c r="CW4080" s="144"/>
      <c r="DG4080" s="143"/>
    </row>
    <row r="4081" spans="89:111" ht="11.25" customHeight="1">
      <c r="CK4081" s="1"/>
      <c r="CW4081" s="144"/>
      <c r="DG4081" s="143"/>
    </row>
    <row r="4082" spans="89:111" ht="11.25" customHeight="1">
      <c r="CK4082" s="1"/>
      <c r="CW4082" s="144"/>
      <c r="DG4082" s="143"/>
    </row>
    <row r="4083" spans="89:111" ht="11.25" customHeight="1">
      <c r="CK4083" s="1"/>
      <c r="CW4083" s="144"/>
      <c r="DG4083" s="143"/>
    </row>
    <row r="4084" spans="89:111" ht="11.25" customHeight="1">
      <c r="CK4084" s="1"/>
      <c r="CW4084" s="144"/>
      <c r="DG4084" s="143"/>
    </row>
    <row r="4085" spans="89:111" ht="11.25" customHeight="1">
      <c r="CK4085" s="1"/>
      <c r="CW4085" s="144"/>
      <c r="DG4085" s="143"/>
    </row>
    <row r="4086" spans="89:111" ht="11.25" customHeight="1">
      <c r="CK4086" s="1"/>
      <c r="CW4086" s="144"/>
      <c r="DG4086" s="143"/>
    </row>
    <row r="4087" spans="89:111" ht="11.25" customHeight="1">
      <c r="CK4087" s="1"/>
      <c r="CW4087" s="144"/>
      <c r="DG4087" s="143"/>
    </row>
    <row r="4088" spans="89:111" ht="11.25" customHeight="1">
      <c r="CK4088" s="1"/>
      <c r="CW4088" s="144"/>
      <c r="DG4088" s="143"/>
    </row>
    <row r="4089" spans="89:111" ht="11.25" customHeight="1">
      <c r="CK4089" s="1"/>
      <c r="CW4089" s="144"/>
      <c r="DG4089" s="143"/>
    </row>
    <row r="4090" spans="89:111" ht="11.25" customHeight="1">
      <c r="CK4090" s="1"/>
      <c r="CW4090" s="144"/>
      <c r="DG4090" s="143"/>
    </row>
    <row r="4091" spans="89:111" ht="11.25" customHeight="1">
      <c r="CK4091" s="1"/>
      <c r="CW4091" s="144"/>
      <c r="DG4091" s="143"/>
    </row>
    <row r="4092" spans="89:111" ht="11.25" customHeight="1">
      <c r="CK4092" s="1"/>
      <c r="CW4092" s="144"/>
      <c r="DG4092" s="143"/>
    </row>
    <row r="4093" spans="89:111" ht="11.25" customHeight="1">
      <c r="CK4093" s="1"/>
      <c r="CW4093" s="144"/>
      <c r="DG4093" s="143"/>
    </row>
    <row r="4094" spans="89:111" ht="11.25" customHeight="1">
      <c r="CK4094" s="1"/>
      <c r="CW4094" s="144"/>
      <c r="DG4094" s="143"/>
    </row>
    <row r="4095" spans="89:111" ht="11.25" customHeight="1">
      <c r="CK4095" s="1"/>
      <c r="CW4095" s="144"/>
      <c r="DG4095" s="143"/>
    </row>
    <row r="4096" spans="89:111" ht="11.25" customHeight="1">
      <c r="CK4096" s="1"/>
      <c r="CW4096" s="144"/>
      <c r="DG4096" s="143"/>
    </row>
    <row r="4097" spans="89:111" ht="11.25" customHeight="1">
      <c r="CK4097" s="1"/>
      <c r="CW4097" s="144"/>
      <c r="DG4097" s="143"/>
    </row>
    <row r="4098" spans="89:111" ht="11.25" customHeight="1">
      <c r="CK4098" s="1"/>
      <c r="CW4098" s="144"/>
      <c r="DG4098" s="143"/>
    </row>
    <row r="4099" spans="89:111" ht="11.25" customHeight="1">
      <c r="CK4099" s="1"/>
      <c r="CW4099" s="144"/>
      <c r="DG4099" s="143"/>
    </row>
    <row r="4100" spans="89:111" ht="11.25" customHeight="1">
      <c r="CK4100" s="1"/>
      <c r="CW4100" s="144"/>
      <c r="DG4100" s="143"/>
    </row>
    <row r="4101" spans="89:111" ht="11.25" customHeight="1">
      <c r="CK4101" s="1"/>
      <c r="CW4101" s="144"/>
      <c r="DG4101" s="143"/>
    </row>
    <row r="4102" spans="89:111" ht="11.25" customHeight="1">
      <c r="CK4102" s="1"/>
      <c r="CW4102" s="144"/>
      <c r="DG4102" s="143"/>
    </row>
    <row r="4103" spans="89:111" ht="11.25" customHeight="1">
      <c r="CK4103" s="1"/>
      <c r="CW4103" s="144"/>
      <c r="DG4103" s="143"/>
    </row>
    <row r="4104" spans="89:111" ht="11.25" customHeight="1">
      <c r="CK4104" s="1"/>
      <c r="CW4104" s="144"/>
      <c r="DG4104" s="143"/>
    </row>
    <row r="4105" spans="89:111" ht="11.25" customHeight="1">
      <c r="CK4105" s="1"/>
      <c r="CW4105" s="144"/>
      <c r="DG4105" s="143"/>
    </row>
    <row r="4106" spans="89:111" ht="11.25" customHeight="1">
      <c r="CK4106" s="1"/>
      <c r="CW4106" s="144"/>
      <c r="DG4106" s="143"/>
    </row>
    <row r="4107" spans="89:111" ht="11.25" customHeight="1">
      <c r="CK4107" s="1"/>
      <c r="CW4107" s="144"/>
      <c r="DG4107" s="143"/>
    </row>
    <row r="4108" spans="89:111" ht="11.25" customHeight="1">
      <c r="CK4108" s="1"/>
      <c r="CW4108" s="144"/>
      <c r="DG4108" s="143"/>
    </row>
    <row r="4109" spans="89:111" ht="11.25" customHeight="1">
      <c r="CK4109" s="1"/>
      <c r="CW4109" s="144"/>
      <c r="DG4109" s="143"/>
    </row>
    <row r="4110" spans="89:111" ht="11.25" customHeight="1">
      <c r="CK4110" s="1"/>
      <c r="CW4110" s="144"/>
      <c r="DG4110" s="143"/>
    </row>
    <row r="4111" spans="89:111" ht="11.25" customHeight="1">
      <c r="CK4111" s="1"/>
      <c r="CW4111" s="144"/>
      <c r="DG4111" s="143"/>
    </row>
    <row r="4112" spans="89:111" ht="11.25" customHeight="1">
      <c r="CK4112" s="1"/>
      <c r="CW4112" s="144"/>
      <c r="DG4112" s="143"/>
    </row>
    <row r="4113" spans="89:111" ht="11.25" customHeight="1">
      <c r="CK4113" s="1"/>
      <c r="CW4113" s="144"/>
      <c r="DG4113" s="143"/>
    </row>
    <row r="4114" spans="89:111" ht="11.25" customHeight="1">
      <c r="CK4114" s="1"/>
      <c r="CW4114" s="144"/>
      <c r="DG4114" s="143"/>
    </row>
    <row r="4115" spans="89:111" ht="11.25" customHeight="1">
      <c r="CK4115" s="1"/>
      <c r="CW4115" s="144"/>
      <c r="DG4115" s="143"/>
    </row>
    <row r="4116" spans="89:111" ht="11.25" customHeight="1">
      <c r="CK4116" s="1"/>
      <c r="CW4116" s="144"/>
      <c r="DG4116" s="143"/>
    </row>
    <row r="4117" spans="89:111" ht="11.25" customHeight="1">
      <c r="CK4117" s="1"/>
      <c r="CW4117" s="144"/>
      <c r="DG4117" s="143"/>
    </row>
    <row r="4118" spans="89:111" ht="11.25" customHeight="1">
      <c r="CK4118" s="1"/>
      <c r="CW4118" s="144"/>
      <c r="DG4118" s="143"/>
    </row>
    <row r="4119" spans="89:111" ht="11.25" customHeight="1">
      <c r="CK4119" s="1"/>
      <c r="CW4119" s="144"/>
      <c r="DG4119" s="143"/>
    </row>
    <row r="4120" spans="89:111" ht="11.25" customHeight="1">
      <c r="CK4120" s="1"/>
      <c r="CW4120" s="144"/>
      <c r="DG4120" s="143"/>
    </row>
    <row r="4121" spans="89:111" ht="11.25" customHeight="1">
      <c r="CK4121" s="1"/>
      <c r="CW4121" s="144"/>
      <c r="DG4121" s="143"/>
    </row>
    <row r="4122" spans="89:111" ht="11.25" customHeight="1">
      <c r="CK4122" s="1"/>
      <c r="CW4122" s="144"/>
      <c r="DG4122" s="143"/>
    </row>
    <row r="4123" spans="89:111" ht="11.25" customHeight="1">
      <c r="CK4123" s="1"/>
      <c r="CW4123" s="144"/>
      <c r="DG4123" s="143"/>
    </row>
    <row r="4124" spans="89:111" ht="11.25" customHeight="1">
      <c r="CK4124" s="1"/>
      <c r="CW4124" s="144"/>
      <c r="DG4124" s="143"/>
    </row>
    <row r="4125" spans="89:111" ht="11.25" customHeight="1">
      <c r="CK4125" s="1"/>
      <c r="CW4125" s="144"/>
      <c r="DG4125" s="143"/>
    </row>
    <row r="4126" spans="89:111" ht="11.25" customHeight="1">
      <c r="CK4126" s="1"/>
      <c r="CW4126" s="144"/>
      <c r="DG4126" s="143"/>
    </row>
    <row r="4127" spans="89:111" ht="11.25" customHeight="1">
      <c r="CK4127" s="1"/>
      <c r="CW4127" s="144"/>
      <c r="DG4127" s="143"/>
    </row>
    <row r="4128" spans="89:111" ht="11.25" customHeight="1">
      <c r="CK4128" s="1"/>
      <c r="CW4128" s="144"/>
      <c r="DG4128" s="143"/>
    </row>
    <row r="4129" spans="89:111" ht="11.25" customHeight="1">
      <c r="CK4129" s="1"/>
      <c r="CW4129" s="144"/>
      <c r="DG4129" s="143"/>
    </row>
    <row r="4130" spans="89:111" ht="11.25" customHeight="1">
      <c r="CK4130" s="1"/>
      <c r="CW4130" s="144"/>
      <c r="DG4130" s="143"/>
    </row>
    <row r="4131" spans="89:111" ht="11.25" customHeight="1">
      <c r="CK4131" s="1"/>
      <c r="CW4131" s="144"/>
      <c r="DG4131" s="143"/>
    </row>
    <row r="4132" spans="89:111" ht="11.25" customHeight="1">
      <c r="CK4132" s="1"/>
      <c r="CW4132" s="144"/>
      <c r="DG4132" s="143"/>
    </row>
    <row r="4133" spans="89:111" ht="11.25" customHeight="1">
      <c r="CK4133" s="1"/>
      <c r="CW4133" s="144"/>
      <c r="DG4133" s="143"/>
    </row>
    <row r="4134" spans="89:111" ht="11.25" customHeight="1">
      <c r="CK4134" s="1"/>
      <c r="CW4134" s="144"/>
      <c r="DG4134" s="143"/>
    </row>
    <row r="4135" spans="89:111" ht="11.25" customHeight="1">
      <c r="CK4135" s="1"/>
      <c r="CW4135" s="144"/>
      <c r="DG4135" s="143"/>
    </row>
    <row r="4136" spans="89:111" ht="11.25" customHeight="1">
      <c r="CK4136" s="1"/>
      <c r="CW4136" s="144"/>
      <c r="DG4136" s="143"/>
    </row>
    <row r="4137" spans="89:111" ht="11.25" customHeight="1">
      <c r="CK4137" s="1"/>
      <c r="CW4137" s="144"/>
      <c r="DG4137" s="143"/>
    </row>
    <row r="4138" spans="89:111" ht="11.25" customHeight="1">
      <c r="CK4138" s="1"/>
      <c r="CW4138" s="144"/>
      <c r="DG4138" s="143"/>
    </row>
    <row r="4139" spans="89:111" ht="11.25" customHeight="1">
      <c r="CK4139" s="1"/>
      <c r="CW4139" s="144"/>
      <c r="DG4139" s="143"/>
    </row>
    <row r="4140" spans="89:111" ht="11.25" customHeight="1">
      <c r="CK4140" s="1"/>
      <c r="CW4140" s="144"/>
      <c r="DG4140" s="143"/>
    </row>
    <row r="4141" spans="89:111" ht="11.25" customHeight="1">
      <c r="CK4141" s="1"/>
      <c r="CW4141" s="144"/>
      <c r="DG4141" s="143"/>
    </row>
    <row r="4142" spans="89:111" ht="11.25" customHeight="1">
      <c r="CK4142" s="1"/>
      <c r="CW4142" s="144"/>
      <c r="DG4142" s="143"/>
    </row>
    <row r="4143" spans="89:111" ht="11.25" customHeight="1">
      <c r="CK4143" s="1"/>
      <c r="CW4143" s="144"/>
      <c r="DG4143" s="143"/>
    </row>
    <row r="4144" spans="89:111" ht="11.25" customHeight="1">
      <c r="CK4144" s="1"/>
      <c r="CW4144" s="144"/>
      <c r="DG4144" s="143"/>
    </row>
    <row r="4145" spans="89:111" ht="11.25" customHeight="1">
      <c r="CK4145" s="1"/>
      <c r="CW4145" s="144"/>
      <c r="DG4145" s="143"/>
    </row>
    <row r="4146" spans="89:111" ht="11.25" customHeight="1">
      <c r="CK4146" s="1"/>
      <c r="CW4146" s="144"/>
      <c r="DG4146" s="143"/>
    </row>
    <row r="4147" spans="89:111" ht="11.25" customHeight="1">
      <c r="CK4147" s="1"/>
      <c r="CW4147" s="144"/>
      <c r="DG4147" s="143"/>
    </row>
    <row r="4148" spans="89:111" ht="11.25" customHeight="1">
      <c r="CK4148" s="1"/>
      <c r="CW4148" s="144"/>
      <c r="DG4148" s="143"/>
    </row>
    <row r="4149" spans="89:111" ht="11.25" customHeight="1">
      <c r="CK4149" s="1"/>
      <c r="CW4149" s="144"/>
      <c r="DG4149" s="143"/>
    </row>
    <row r="4150" spans="89:111" ht="11.25" customHeight="1">
      <c r="CK4150" s="1"/>
      <c r="CW4150" s="144"/>
      <c r="DG4150" s="143"/>
    </row>
    <row r="4151" spans="89:111" ht="11.25" customHeight="1">
      <c r="CK4151" s="1"/>
      <c r="CW4151" s="144"/>
      <c r="DG4151" s="143"/>
    </row>
    <row r="4152" spans="89:111" ht="11.25" customHeight="1">
      <c r="CK4152" s="1"/>
      <c r="CW4152" s="144"/>
      <c r="DG4152" s="143"/>
    </row>
    <row r="4153" spans="89:111" ht="11.25" customHeight="1">
      <c r="CK4153" s="1"/>
      <c r="CW4153" s="144"/>
      <c r="DG4153" s="143"/>
    </row>
    <row r="4154" spans="89:111" ht="11.25" customHeight="1">
      <c r="CK4154" s="1"/>
      <c r="CW4154" s="144"/>
      <c r="DG4154" s="143"/>
    </row>
    <row r="4155" spans="89:111" ht="11.25" customHeight="1">
      <c r="CK4155" s="1"/>
      <c r="CW4155" s="144"/>
      <c r="DG4155" s="143"/>
    </row>
    <row r="4156" spans="89:111" ht="11.25" customHeight="1">
      <c r="CK4156" s="1"/>
      <c r="CW4156" s="144"/>
      <c r="DG4156" s="143"/>
    </row>
    <row r="4157" spans="89:111" ht="11.25" customHeight="1">
      <c r="CK4157" s="1"/>
      <c r="CW4157" s="144"/>
      <c r="DG4157" s="143"/>
    </row>
    <row r="4158" spans="89:111" ht="11.25" customHeight="1">
      <c r="CK4158" s="1"/>
      <c r="CW4158" s="144"/>
      <c r="DG4158" s="143"/>
    </row>
    <row r="4159" spans="89:111" ht="11.25" customHeight="1">
      <c r="CK4159" s="1"/>
      <c r="CW4159" s="144"/>
      <c r="DG4159" s="143"/>
    </row>
    <row r="4160" spans="89:111" ht="11.25" customHeight="1">
      <c r="CK4160" s="1"/>
      <c r="CW4160" s="144"/>
      <c r="DG4160" s="143"/>
    </row>
    <row r="4161" spans="89:111" ht="11.25" customHeight="1">
      <c r="CK4161" s="1"/>
      <c r="CW4161" s="144"/>
      <c r="DG4161" s="143"/>
    </row>
    <row r="4162" spans="89:111" ht="11.25" customHeight="1">
      <c r="CK4162" s="1"/>
      <c r="CW4162" s="144"/>
      <c r="DG4162" s="143"/>
    </row>
    <row r="4163" spans="89:111" ht="11.25" customHeight="1">
      <c r="CK4163" s="1"/>
      <c r="CW4163" s="144"/>
      <c r="DG4163" s="143"/>
    </row>
    <row r="4164" spans="89:111" ht="11.25" customHeight="1">
      <c r="CK4164" s="1"/>
      <c r="CW4164" s="144"/>
      <c r="DG4164" s="143"/>
    </row>
    <row r="4165" spans="89:111" ht="11.25" customHeight="1">
      <c r="CK4165" s="1"/>
      <c r="CW4165" s="144"/>
      <c r="DG4165" s="143"/>
    </row>
    <row r="4166" spans="89:111" ht="11.25" customHeight="1">
      <c r="CK4166" s="1"/>
      <c r="CW4166" s="144"/>
      <c r="DG4166" s="143"/>
    </row>
    <row r="4167" spans="89:111" ht="11.25" customHeight="1">
      <c r="CK4167" s="1"/>
      <c r="CW4167" s="144"/>
      <c r="DG4167" s="143"/>
    </row>
    <row r="4168" spans="89:111" ht="11.25" customHeight="1">
      <c r="CK4168" s="1"/>
      <c r="CW4168" s="144"/>
      <c r="DG4168" s="143"/>
    </row>
    <row r="4169" spans="89:111" ht="11.25" customHeight="1">
      <c r="CK4169" s="1"/>
      <c r="CW4169" s="144"/>
      <c r="DG4169" s="143"/>
    </row>
    <row r="4170" spans="89:111" ht="11.25" customHeight="1">
      <c r="CK4170" s="1"/>
      <c r="CW4170" s="144"/>
      <c r="DG4170" s="143"/>
    </row>
    <row r="4171" spans="89:111" ht="11.25" customHeight="1">
      <c r="CK4171" s="1"/>
      <c r="CW4171" s="144"/>
      <c r="DG4171" s="143"/>
    </row>
    <row r="4172" spans="89:111" ht="11.25" customHeight="1">
      <c r="CK4172" s="1"/>
      <c r="CW4172" s="144"/>
      <c r="DG4172" s="143"/>
    </row>
    <row r="4173" spans="89:111" ht="11.25" customHeight="1">
      <c r="CK4173" s="1"/>
      <c r="CW4173" s="144"/>
      <c r="DG4173" s="143"/>
    </row>
    <row r="4174" spans="89:111" ht="11.25" customHeight="1">
      <c r="CK4174" s="1"/>
      <c r="CW4174" s="144"/>
      <c r="DG4174" s="143"/>
    </row>
    <row r="4175" spans="89:111" ht="11.25" customHeight="1">
      <c r="CK4175" s="1"/>
      <c r="CW4175" s="144"/>
      <c r="DG4175" s="143"/>
    </row>
    <row r="4176" spans="89:111" ht="11.25" customHeight="1">
      <c r="CK4176" s="1"/>
      <c r="CW4176" s="144"/>
      <c r="DG4176" s="143"/>
    </row>
    <row r="4177" spans="89:111" ht="11.25" customHeight="1">
      <c r="CK4177" s="1"/>
      <c r="CW4177" s="144"/>
      <c r="DG4177" s="143"/>
    </row>
    <row r="4178" spans="89:111" ht="11.25" customHeight="1">
      <c r="CK4178" s="1"/>
      <c r="CW4178" s="144"/>
      <c r="DG4178" s="143"/>
    </row>
    <row r="4179" spans="89:111" ht="11.25" customHeight="1">
      <c r="CK4179" s="1"/>
      <c r="CW4179" s="144"/>
      <c r="DG4179" s="143"/>
    </row>
    <row r="4180" spans="89:111" ht="11.25" customHeight="1">
      <c r="CK4180" s="1"/>
      <c r="CW4180" s="144"/>
      <c r="DG4180" s="143"/>
    </row>
    <row r="4181" spans="89:111" ht="11.25" customHeight="1">
      <c r="CK4181" s="1"/>
      <c r="CW4181" s="144"/>
      <c r="DG4181" s="143"/>
    </row>
    <row r="4182" spans="89:111" ht="11.25" customHeight="1">
      <c r="CK4182" s="1"/>
      <c r="CW4182" s="144"/>
      <c r="DG4182" s="143"/>
    </row>
    <row r="4183" spans="89:111" ht="11.25" customHeight="1">
      <c r="CK4183" s="1"/>
      <c r="CW4183" s="144"/>
      <c r="DG4183" s="143"/>
    </row>
    <row r="4184" spans="89:111" ht="11.25" customHeight="1">
      <c r="CK4184" s="1"/>
      <c r="CW4184" s="144"/>
      <c r="DG4184" s="143"/>
    </row>
    <row r="4185" spans="89:111" ht="11.25" customHeight="1">
      <c r="CK4185" s="1"/>
      <c r="CW4185" s="144"/>
      <c r="DG4185" s="143"/>
    </row>
    <row r="4186" spans="89:111" ht="11.25" customHeight="1">
      <c r="CK4186" s="1"/>
      <c r="CW4186" s="144"/>
      <c r="DG4186" s="143"/>
    </row>
    <row r="4187" spans="89:111" ht="11.25" customHeight="1">
      <c r="CK4187" s="1"/>
      <c r="CW4187" s="144"/>
      <c r="DG4187" s="143"/>
    </row>
    <row r="4188" spans="89:111" ht="11.25" customHeight="1">
      <c r="CK4188" s="1"/>
      <c r="CW4188" s="144"/>
      <c r="DG4188" s="143"/>
    </row>
    <row r="4189" spans="89:111" ht="11.25" customHeight="1">
      <c r="CK4189" s="1"/>
      <c r="CW4189" s="144"/>
      <c r="DG4189" s="143"/>
    </row>
    <row r="4190" spans="89:111" ht="11.25" customHeight="1">
      <c r="CK4190" s="1"/>
      <c r="CW4190" s="144"/>
      <c r="DG4190" s="143"/>
    </row>
    <row r="4191" spans="89:111" ht="11.25" customHeight="1">
      <c r="CK4191" s="1"/>
      <c r="CW4191" s="144"/>
      <c r="DG4191" s="143"/>
    </row>
    <row r="4192" spans="89:111" ht="11.25" customHeight="1">
      <c r="CK4192" s="1"/>
      <c r="CW4192" s="144"/>
      <c r="DG4192" s="143"/>
    </row>
    <row r="4193" spans="89:111" ht="11.25" customHeight="1">
      <c r="CK4193" s="1"/>
      <c r="CW4193" s="144"/>
      <c r="DG4193" s="143"/>
    </row>
    <row r="4194" spans="89:111" ht="11.25" customHeight="1">
      <c r="CK4194" s="1"/>
      <c r="CW4194" s="144"/>
      <c r="DG4194" s="143"/>
    </row>
    <row r="4195" spans="89:111" ht="11.25" customHeight="1">
      <c r="CK4195" s="1"/>
      <c r="CW4195" s="144"/>
      <c r="DG4195" s="143"/>
    </row>
    <row r="4196" spans="89:111" ht="11.25" customHeight="1">
      <c r="CK4196" s="1"/>
      <c r="CW4196" s="144"/>
      <c r="DG4196" s="143"/>
    </row>
    <row r="4197" spans="89:111" ht="11.25" customHeight="1">
      <c r="CK4197" s="1"/>
      <c r="CW4197" s="144"/>
      <c r="DG4197" s="143"/>
    </row>
    <row r="4198" spans="89:111" ht="11.25" customHeight="1">
      <c r="CK4198" s="1"/>
      <c r="CW4198" s="144"/>
      <c r="DG4198" s="143"/>
    </row>
    <row r="4199" spans="89:111" ht="11.25" customHeight="1">
      <c r="CK4199" s="1"/>
      <c r="CW4199" s="144"/>
      <c r="DG4199" s="143"/>
    </row>
    <row r="4200" spans="89:111" ht="11.25" customHeight="1">
      <c r="CK4200" s="1"/>
      <c r="CW4200" s="144"/>
      <c r="DG4200" s="143"/>
    </row>
    <row r="4201" spans="89:111" ht="11.25" customHeight="1">
      <c r="CK4201" s="1"/>
      <c r="CW4201" s="144"/>
      <c r="DG4201" s="143"/>
    </row>
    <row r="4202" spans="89:111" ht="11.25" customHeight="1">
      <c r="CK4202" s="1"/>
      <c r="CW4202" s="144"/>
      <c r="DG4202" s="143"/>
    </row>
    <row r="4203" spans="89:111" ht="11.25" customHeight="1">
      <c r="CK4203" s="1"/>
      <c r="CW4203" s="144"/>
      <c r="DG4203" s="143"/>
    </row>
    <row r="4204" spans="89:111" ht="11.25" customHeight="1">
      <c r="CK4204" s="1"/>
      <c r="CW4204" s="144"/>
      <c r="DG4204" s="143"/>
    </row>
    <row r="4205" spans="89:111" ht="11.25" customHeight="1">
      <c r="CK4205" s="1"/>
      <c r="CW4205" s="144"/>
      <c r="DG4205" s="143"/>
    </row>
    <row r="4206" spans="89:111" ht="11.25" customHeight="1">
      <c r="CK4206" s="1"/>
      <c r="CW4206" s="144"/>
      <c r="DG4206" s="143"/>
    </row>
    <row r="4207" spans="89:111" ht="11.25" customHeight="1">
      <c r="CK4207" s="1"/>
      <c r="CW4207" s="144"/>
      <c r="DG4207" s="143"/>
    </row>
    <row r="4208" spans="89:111" ht="11.25" customHeight="1">
      <c r="CK4208" s="1"/>
      <c r="CW4208" s="144"/>
      <c r="DG4208" s="143"/>
    </row>
    <row r="4209" spans="89:111" ht="11.25" customHeight="1">
      <c r="CK4209" s="1"/>
      <c r="CW4209" s="144"/>
      <c r="DG4209" s="143"/>
    </row>
    <row r="4210" spans="89:111" ht="11.25" customHeight="1">
      <c r="CK4210" s="1"/>
      <c r="CW4210" s="144"/>
      <c r="DG4210" s="143"/>
    </row>
    <row r="4211" spans="89:111" ht="11.25" customHeight="1">
      <c r="CK4211" s="1"/>
      <c r="CW4211" s="144"/>
      <c r="DG4211" s="143"/>
    </row>
    <row r="4212" spans="89:111" ht="11.25" customHeight="1">
      <c r="CK4212" s="1"/>
      <c r="CW4212" s="144"/>
      <c r="DG4212" s="143"/>
    </row>
    <row r="4213" spans="89:111" ht="11.25" customHeight="1">
      <c r="CK4213" s="1"/>
      <c r="CW4213" s="144"/>
      <c r="DG4213" s="143"/>
    </row>
    <row r="4214" spans="89:111" ht="11.25" customHeight="1">
      <c r="CK4214" s="1"/>
      <c r="CW4214" s="144"/>
      <c r="DG4214" s="143"/>
    </row>
    <row r="4215" spans="89:111" ht="11.25" customHeight="1">
      <c r="CK4215" s="1"/>
      <c r="CW4215" s="144"/>
      <c r="DG4215" s="143"/>
    </row>
    <row r="4216" spans="89:111" ht="11.25" customHeight="1">
      <c r="CK4216" s="1"/>
      <c r="CW4216" s="144"/>
      <c r="DG4216" s="143"/>
    </row>
    <row r="4217" spans="89:111" ht="11.25" customHeight="1">
      <c r="CK4217" s="1"/>
      <c r="CW4217" s="144"/>
      <c r="DG4217" s="143"/>
    </row>
    <row r="4218" spans="89:111" ht="11.25" customHeight="1">
      <c r="CK4218" s="1"/>
      <c r="CW4218" s="144"/>
      <c r="DG4218" s="143"/>
    </row>
    <row r="4219" spans="89:111" ht="11.25" customHeight="1">
      <c r="CK4219" s="1"/>
      <c r="CW4219" s="144"/>
      <c r="DG4219" s="143"/>
    </row>
    <row r="4220" spans="89:111" ht="11.25" customHeight="1">
      <c r="CK4220" s="1"/>
      <c r="CW4220" s="144"/>
      <c r="DG4220" s="143"/>
    </row>
    <row r="4221" spans="89:111" ht="11.25" customHeight="1">
      <c r="CK4221" s="1"/>
      <c r="CW4221" s="144"/>
      <c r="DG4221" s="143"/>
    </row>
    <row r="4222" spans="89:111" ht="11.25" customHeight="1">
      <c r="CK4222" s="1"/>
      <c r="CW4222" s="144"/>
      <c r="DG4222" s="143"/>
    </row>
    <row r="4223" spans="89:111" ht="11.25" customHeight="1">
      <c r="CK4223" s="1"/>
      <c r="CW4223" s="144"/>
      <c r="DG4223" s="143"/>
    </row>
    <row r="4224" spans="89:111" ht="11.25" customHeight="1">
      <c r="CK4224" s="1"/>
      <c r="CW4224" s="144"/>
      <c r="DG4224" s="143"/>
    </row>
    <row r="4225" spans="89:111" ht="11.25" customHeight="1">
      <c r="CK4225" s="1"/>
      <c r="CW4225" s="144"/>
      <c r="DG4225" s="143"/>
    </row>
    <row r="4226" spans="89:111" ht="11.25" customHeight="1">
      <c r="CK4226" s="1"/>
      <c r="CW4226" s="144"/>
      <c r="DG4226" s="143"/>
    </row>
    <row r="4227" spans="89:111" ht="11.25" customHeight="1">
      <c r="CK4227" s="1"/>
      <c r="CW4227" s="144"/>
      <c r="DG4227" s="143"/>
    </row>
    <row r="4228" spans="89:111" ht="11.25" customHeight="1">
      <c r="CK4228" s="1"/>
      <c r="CW4228" s="144"/>
      <c r="DG4228" s="143"/>
    </row>
    <row r="4229" spans="89:111" ht="11.25" customHeight="1">
      <c r="CK4229" s="1"/>
      <c r="CW4229" s="144"/>
      <c r="DG4229" s="143"/>
    </row>
    <row r="4230" spans="89:111" ht="11.25" customHeight="1">
      <c r="CK4230" s="1"/>
      <c r="CW4230" s="144"/>
      <c r="DG4230" s="143"/>
    </row>
    <row r="4231" spans="89:111" ht="11.25" customHeight="1">
      <c r="CK4231" s="1"/>
      <c r="CW4231" s="144"/>
      <c r="DG4231" s="143"/>
    </row>
    <row r="4232" spans="89:111" ht="11.25" customHeight="1">
      <c r="CK4232" s="1"/>
      <c r="CW4232" s="144"/>
      <c r="DG4232" s="143"/>
    </row>
    <row r="4233" spans="89:111" ht="11.25" customHeight="1">
      <c r="CK4233" s="1"/>
      <c r="CW4233" s="144"/>
      <c r="DG4233" s="143"/>
    </row>
    <row r="4234" spans="89:111" ht="11.25" customHeight="1">
      <c r="CK4234" s="1"/>
      <c r="CW4234" s="144"/>
      <c r="DG4234" s="143"/>
    </row>
    <row r="4235" spans="89:111" ht="11.25" customHeight="1">
      <c r="CK4235" s="1"/>
      <c r="CW4235" s="144"/>
      <c r="DG4235" s="143"/>
    </row>
    <row r="4236" spans="89:111" ht="11.25" customHeight="1">
      <c r="CK4236" s="1"/>
      <c r="CW4236" s="144"/>
      <c r="DG4236" s="143"/>
    </row>
    <row r="4237" spans="89:111" ht="11.25" customHeight="1">
      <c r="CK4237" s="1"/>
      <c r="CW4237" s="144"/>
      <c r="DG4237" s="143"/>
    </row>
    <row r="4238" spans="89:111" ht="11.25" customHeight="1">
      <c r="CK4238" s="1"/>
      <c r="CW4238" s="144"/>
      <c r="DG4238" s="143"/>
    </row>
    <row r="4239" spans="89:111" ht="11.25" customHeight="1">
      <c r="CK4239" s="1"/>
      <c r="CW4239" s="144"/>
      <c r="DG4239" s="143"/>
    </row>
    <row r="4240" spans="89:111" ht="11.25" customHeight="1">
      <c r="CK4240" s="1"/>
      <c r="CW4240" s="144"/>
      <c r="DG4240" s="143"/>
    </row>
    <row r="4241" spans="89:111" ht="11.25" customHeight="1">
      <c r="CK4241" s="1"/>
      <c r="CW4241" s="144"/>
      <c r="DG4241" s="143"/>
    </row>
    <row r="4242" spans="89:111" ht="11.25" customHeight="1">
      <c r="CK4242" s="1"/>
      <c r="CW4242" s="144"/>
      <c r="DG4242" s="143"/>
    </row>
    <row r="4243" spans="89:111" ht="11.25" customHeight="1">
      <c r="CK4243" s="1"/>
      <c r="CW4243" s="144"/>
      <c r="DG4243" s="143"/>
    </row>
    <row r="4244" spans="89:111" ht="11.25" customHeight="1">
      <c r="CK4244" s="1"/>
      <c r="CW4244" s="144"/>
      <c r="DG4244" s="143"/>
    </row>
    <row r="4245" spans="89:111" ht="11.25" customHeight="1">
      <c r="CK4245" s="1"/>
      <c r="CW4245" s="144"/>
      <c r="DG4245" s="143"/>
    </row>
    <row r="4246" spans="89:111" ht="11.25" customHeight="1">
      <c r="CK4246" s="1"/>
      <c r="CW4246" s="144"/>
      <c r="DG4246" s="143"/>
    </row>
    <row r="4247" spans="89:111" ht="11.25" customHeight="1">
      <c r="CK4247" s="1"/>
      <c r="CW4247" s="144"/>
      <c r="DG4247" s="143"/>
    </row>
    <row r="4248" spans="89:111" ht="11.25" customHeight="1">
      <c r="CK4248" s="1"/>
      <c r="CW4248" s="144"/>
      <c r="DG4248" s="143"/>
    </row>
    <row r="4249" spans="89:111" ht="11.25" customHeight="1">
      <c r="CK4249" s="1"/>
      <c r="CW4249" s="144"/>
      <c r="DG4249" s="143"/>
    </row>
    <row r="4250" spans="89:111" ht="11.25" customHeight="1">
      <c r="CK4250" s="1"/>
      <c r="CW4250" s="144"/>
      <c r="DG4250" s="143"/>
    </row>
    <row r="4251" spans="89:111" ht="11.25" customHeight="1">
      <c r="CK4251" s="1"/>
      <c r="CW4251" s="144"/>
      <c r="DG4251" s="143"/>
    </row>
    <row r="4252" spans="89:111" ht="11.25" customHeight="1">
      <c r="CK4252" s="1"/>
      <c r="CW4252" s="144"/>
      <c r="DG4252" s="143"/>
    </row>
    <row r="4253" spans="89:111" ht="11.25" customHeight="1">
      <c r="CK4253" s="1"/>
      <c r="CW4253" s="144"/>
      <c r="DG4253" s="143"/>
    </row>
    <row r="4254" spans="89:111" ht="11.25" customHeight="1">
      <c r="CK4254" s="1"/>
      <c r="CW4254" s="144"/>
      <c r="DG4254" s="143"/>
    </row>
    <row r="4255" spans="89:111" ht="11.25" customHeight="1">
      <c r="CK4255" s="1"/>
      <c r="CW4255" s="144"/>
      <c r="DG4255" s="143"/>
    </row>
    <row r="4256" spans="89:111" ht="11.25" customHeight="1">
      <c r="CK4256" s="1"/>
      <c r="CW4256" s="144"/>
      <c r="DG4256" s="143"/>
    </row>
    <row r="4257" spans="89:111" ht="11.25" customHeight="1">
      <c r="CK4257" s="1"/>
      <c r="CW4257" s="144"/>
      <c r="DG4257" s="143"/>
    </row>
    <row r="4258" spans="89:111" ht="11.25" customHeight="1">
      <c r="CK4258" s="1"/>
      <c r="CW4258" s="144"/>
      <c r="DG4258" s="143"/>
    </row>
    <row r="4259" spans="89:111" ht="11.25" customHeight="1">
      <c r="CK4259" s="1"/>
      <c r="CW4259" s="144"/>
      <c r="DG4259" s="143"/>
    </row>
    <row r="4260" spans="89:111" ht="11.25" customHeight="1">
      <c r="CK4260" s="1"/>
      <c r="CW4260" s="144"/>
      <c r="DG4260" s="143"/>
    </row>
    <row r="4261" spans="89:111" ht="11.25" customHeight="1">
      <c r="CK4261" s="1"/>
      <c r="CW4261" s="144"/>
      <c r="DG4261" s="143"/>
    </row>
    <row r="4262" spans="89:111" ht="11.25" customHeight="1">
      <c r="CK4262" s="1"/>
      <c r="CW4262" s="144"/>
      <c r="DG4262" s="143"/>
    </row>
    <row r="4263" spans="89:111" ht="11.25" customHeight="1">
      <c r="CK4263" s="1"/>
      <c r="CW4263" s="144"/>
      <c r="DG4263" s="143"/>
    </row>
    <row r="4264" spans="89:111" ht="11.25" customHeight="1">
      <c r="CK4264" s="1"/>
      <c r="CW4264" s="144"/>
      <c r="DG4264" s="143"/>
    </row>
    <row r="4265" spans="89:111" ht="11.25" customHeight="1">
      <c r="CK4265" s="1"/>
      <c r="CW4265" s="144"/>
      <c r="DG4265" s="143"/>
    </row>
    <row r="4266" spans="89:111" ht="11.25" customHeight="1">
      <c r="CK4266" s="1"/>
      <c r="CW4266" s="144"/>
      <c r="DG4266" s="143"/>
    </row>
    <row r="4267" spans="89:111" ht="11.25" customHeight="1">
      <c r="CK4267" s="1"/>
      <c r="CW4267" s="144"/>
      <c r="DG4267" s="143"/>
    </row>
    <row r="4268" spans="89:111" ht="11.25" customHeight="1">
      <c r="CK4268" s="1"/>
      <c r="CW4268" s="144"/>
      <c r="DG4268" s="143"/>
    </row>
    <row r="4269" spans="89:111" ht="11.25" customHeight="1">
      <c r="CK4269" s="1"/>
      <c r="CW4269" s="144"/>
      <c r="DG4269" s="143"/>
    </row>
    <row r="4270" spans="89:111" ht="11.25" customHeight="1">
      <c r="CK4270" s="1"/>
      <c r="CW4270" s="144"/>
      <c r="DG4270" s="143"/>
    </row>
    <row r="4271" spans="89:111" ht="11.25" customHeight="1">
      <c r="CK4271" s="1"/>
      <c r="CW4271" s="144"/>
      <c r="DG4271" s="143"/>
    </row>
    <row r="4272" spans="89:111" ht="11.25" customHeight="1">
      <c r="CK4272" s="1"/>
      <c r="CW4272" s="144"/>
      <c r="DG4272" s="143"/>
    </row>
    <row r="4273" spans="89:111" ht="11.25" customHeight="1">
      <c r="CK4273" s="1"/>
      <c r="CW4273" s="144"/>
      <c r="DG4273" s="143"/>
    </row>
    <row r="4274" spans="89:111" ht="11.25" customHeight="1">
      <c r="CK4274" s="1"/>
      <c r="CW4274" s="144"/>
      <c r="DG4274" s="143"/>
    </row>
    <row r="4275" spans="89:111" ht="11.25" customHeight="1">
      <c r="CK4275" s="1"/>
      <c r="CW4275" s="144"/>
      <c r="DG4275" s="143"/>
    </row>
    <row r="4276" spans="89:111" ht="11.25" customHeight="1">
      <c r="CK4276" s="1"/>
      <c r="CW4276" s="144"/>
      <c r="DG4276" s="143"/>
    </row>
    <row r="4277" spans="89:111" ht="11.25" customHeight="1">
      <c r="CK4277" s="1"/>
      <c r="CW4277" s="144"/>
      <c r="DG4277" s="143"/>
    </row>
    <row r="4278" spans="89:111" ht="11.25" customHeight="1">
      <c r="CK4278" s="1"/>
      <c r="CW4278" s="144"/>
      <c r="DG4278" s="143"/>
    </row>
    <row r="4279" spans="89:111" ht="11.25" customHeight="1">
      <c r="CK4279" s="1"/>
      <c r="CW4279" s="144"/>
      <c r="DG4279" s="143"/>
    </row>
    <row r="4280" spans="89:111" ht="11.25" customHeight="1">
      <c r="CK4280" s="1"/>
      <c r="CW4280" s="144"/>
      <c r="DG4280" s="143"/>
    </row>
    <row r="4281" spans="89:111" ht="11.25" customHeight="1">
      <c r="CK4281" s="1"/>
      <c r="CW4281" s="144"/>
      <c r="DG4281" s="143"/>
    </row>
    <row r="4282" spans="89:111" ht="11.25" customHeight="1">
      <c r="CK4282" s="1"/>
      <c r="CW4282" s="144"/>
      <c r="DG4282" s="143"/>
    </row>
    <row r="4283" spans="89:111" ht="11.25" customHeight="1">
      <c r="CK4283" s="1"/>
      <c r="CW4283" s="144"/>
      <c r="DG4283" s="143"/>
    </row>
    <row r="4284" spans="89:111" ht="11.25" customHeight="1">
      <c r="CK4284" s="1"/>
      <c r="CW4284" s="144"/>
      <c r="DG4284" s="143"/>
    </row>
    <row r="4285" spans="89:111" ht="11.25" customHeight="1">
      <c r="CK4285" s="1"/>
      <c r="CW4285" s="144"/>
      <c r="DG4285" s="143"/>
    </row>
    <row r="4286" spans="89:111" ht="11.25" customHeight="1">
      <c r="CK4286" s="1"/>
      <c r="CW4286" s="144"/>
      <c r="DG4286" s="143"/>
    </row>
    <row r="4287" spans="89:111" ht="11.25" customHeight="1">
      <c r="CK4287" s="1"/>
      <c r="CW4287" s="144"/>
      <c r="DG4287" s="143"/>
    </row>
    <row r="4288" spans="89:111" ht="11.25" customHeight="1">
      <c r="CK4288" s="1"/>
      <c r="CW4288" s="144"/>
      <c r="DG4288" s="143"/>
    </row>
    <row r="4289" spans="89:111" ht="11.25" customHeight="1">
      <c r="CK4289" s="1"/>
      <c r="CW4289" s="144"/>
      <c r="DG4289" s="143"/>
    </row>
    <row r="4290" spans="89:111" ht="11.25" customHeight="1">
      <c r="CK4290" s="1"/>
      <c r="CW4290" s="144"/>
      <c r="DG4290" s="143"/>
    </row>
    <row r="4291" spans="89:111" ht="11.25" customHeight="1">
      <c r="CK4291" s="1"/>
      <c r="CW4291" s="144"/>
      <c r="DG4291" s="143"/>
    </row>
    <row r="4292" spans="89:111" ht="11.25" customHeight="1">
      <c r="CK4292" s="1"/>
      <c r="CW4292" s="144"/>
      <c r="DG4292" s="143"/>
    </row>
    <row r="4293" spans="89:111" ht="11.25" customHeight="1">
      <c r="CK4293" s="1"/>
      <c r="CW4293" s="144"/>
      <c r="DG4293" s="143"/>
    </row>
    <row r="4294" spans="89:111" ht="11.25" customHeight="1">
      <c r="CK4294" s="1"/>
      <c r="CW4294" s="144"/>
      <c r="DG4294" s="143"/>
    </row>
    <row r="4295" spans="89:111" ht="11.25" customHeight="1">
      <c r="CK4295" s="1"/>
      <c r="CW4295" s="144"/>
      <c r="DG4295" s="143"/>
    </row>
    <row r="4296" spans="89:111" ht="11.25" customHeight="1">
      <c r="CK4296" s="1"/>
      <c r="CW4296" s="144"/>
      <c r="DG4296" s="143"/>
    </row>
    <row r="4297" spans="89:111" ht="11.25" customHeight="1">
      <c r="CK4297" s="1"/>
      <c r="CW4297" s="144"/>
      <c r="DG4297" s="143"/>
    </row>
    <row r="4298" spans="89:111" ht="11.25" customHeight="1">
      <c r="CK4298" s="1"/>
      <c r="CW4298" s="144"/>
      <c r="DG4298" s="143"/>
    </row>
    <row r="4299" spans="89:111" ht="11.25" customHeight="1">
      <c r="CK4299" s="1"/>
      <c r="CW4299" s="144"/>
      <c r="DG4299" s="143"/>
    </row>
    <row r="4300" spans="89:111" ht="11.25" customHeight="1">
      <c r="CK4300" s="1"/>
      <c r="CW4300" s="144"/>
      <c r="DG4300" s="143"/>
    </row>
    <row r="4301" spans="89:111" ht="11.25" customHeight="1">
      <c r="CK4301" s="1"/>
      <c r="CW4301" s="144"/>
      <c r="DG4301" s="143"/>
    </row>
    <row r="4302" spans="89:111" ht="11.25" customHeight="1">
      <c r="CK4302" s="1"/>
      <c r="CW4302" s="144"/>
      <c r="DG4302" s="143"/>
    </row>
    <row r="4303" spans="89:111" ht="11.25" customHeight="1">
      <c r="CK4303" s="1"/>
      <c r="CW4303" s="144"/>
      <c r="DG4303" s="143"/>
    </row>
    <row r="4304" spans="89:111" ht="11.25" customHeight="1">
      <c r="CK4304" s="1"/>
      <c r="CW4304" s="144"/>
      <c r="DG4304" s="143"/>
    </row>
    <row r="4305" spans="89:111" ht="11.25" customHeight="1">
      <c r="CK4305" s="1"/>
      <c r="CW4305" s="144"/>
      <c r="DG4305" s="143"/>
    </row>
    <row r="4306" spans="89:111" ht="11.25" customHeight="1">
      <c r="CK4306" s="1"/>
      <c r="CW4306" s="144"/>
      <c r="DG4306" s="143"/>
    </row>
    <row r="4307" spans="89:111" ht="11.25" customHeight="1">
      <c r="CK4307" s="1"/>
      <c r="CW4307" s="144"/>
      <c r="DG4307" s="143"/>
    </row>
    <row r="4308" spans="89:111" ht="11.25" customHeight="1">
      <c r="CK4308" s="1"/>
      <c r="CW4308" s="144"/>
      <c r="DG4308" s="143"/>
    </row>
    <row r="4309" spans="89:111" ht="11.25" customHeight="1">
      <c r="CK4309" s="1"/>
      <c r="CW4309" s="144"/>
      <c r="DG4309" s="143"/>
    </row>
    <row r="4310" spans="89:111" ht="11.25" customHeight="1">
      <c r="CK4310" s="1"/>
      <c r="CW4310" s="144"/>
      <c r="DG4310" s="143"/>
    </row>
    <row r="4311" spans="89:111" ht="11.25" customHeight="1">
      <c r="CK4311" s="1"/>
      <c r="CW4311" s="144"/>
      <c r="DG4311" s="143"/>
    </row>
    <row r="4312" spans="89:111" ht="11.25" customHeight="1">
      <c r="CK4312" s="1"/>
      <c r="CW4312" s="144"/>
      <c r="DG4312" s="143"/>
    </row>
    <row r="4313" spans="89:111" ht="11.25" customHeight="1">
      <c r="CK4313" s="1"/>
      <c r="CW4313" s="144"/>
      <c r="DG4313" s="143"/>
    </row>
    <row r="4314" spans="89:111" ht="11.25" customHeight="1">
      <c r="CK4314" s="1"/>
      <c r="CW4314" s="144"/>
      <c r="DG4314" s="143"/>
    </row>
    <row r="4315" spans="89:111" ht="11.25" customHeight="1">
      <c r="CK4315" s="1"/>
      <c r="CW4315" s="144"/>
      <c r="DG4315" s="143"/>
    </row>
    <row r="4316" spans="89:111" ht="11.25" customHeight="1">
      <c r="CK4316" s="1"/>
      <c r="CW4316" s="144"/>
      <c r="DG4316" s="143"/>
    </row>
    <row r="4317" spans="89:111" ht="11.25" customHeight="1">
      <c r="CK4317" s="1"/>
      <c r="CW4317" s="144"/>
      <c r="DG4317" s="143"/>
    </row>
    <row r="4318" spans="89:111" ht="11.25" customHeight="1">
      <c r="CK4318" s="1"/>
      <c r="CW4318" s="144"/>
      <c r="DG4318" s="143"/>
    </row>
    <row r="4319" spans="89:111" ht="11.25" customHeight="1">
      <c r="CK4319" s="1"/>
      <c r="CW4319" s="144"/>
      <c r="DG4319" s="143"/>
    </row>
    <row r="4320" spans="89:111" ht="11.25" customHeight="1">
      <c r="CK4320" s="1"/>
      <c r="CW4320" s="144"/>
      <c r="DG4320" s="143"/>
    </row>
    <row r="4321" spans="89:111" ht="11.25" customHeight="1">
      <c r="CK4321" s="1"/>
      <c r="CW4321" s="144"/>
      <c r="DG4321" s="143"/>
    </row>
    <row r="4322" spans="89:111" ht="11.25" customHeight="1">
      <c r="CK4322" s="1"/>
      <c r="CW4322" s="144"/>
      <c r="DG4322" s="143"/>
    </row>
    <row r="4323" spans="89:111" ht="11.25" customHeight="1">
      <c r="CK4323" s="1"/>
      <c r="CW4323" s="144"/>
      <c r="DG4323" s="143"/>
    </row>
    <row r="4324" spans="89:111" ht="11.25" customHeight="1">
      <c r="CK4324" s="1"/>
      <c r="CW4324" s="144"/>
      <c r="DG4324" s="143"/>
    </row>
    <row r="4325" spans="89:111" ht="11.25" customHeight="1">
      <c r="CK4325" s="1"/>
      <c r="CW4325" s="144"/>
      <c r="DG4325" s="143"/>
    </row>
    <row r="4326" spans="89:111" ht="11.25" customHeight="1">
      <c r="CK4326" s="1"/>
      <c r="CW4326" s="144"/>
      <c r="DG4326" s="143"/>
    </row>
    <row r="4327" spans="89:111" ht="11.25" customHeight="1">
      <c r="CK4327" s="1"/>
      <c r="CW4327" s="144"/>
      <c r="DG4327" s="143"/>
    </row>
    <row r="4328" spans="89:111" ht="11.25" customHeight="1">
      <c r="CK4328" s="1"/>
      <c r="CW4328" s="144"/>
      <c r="DG4328" s="143"/>
    </row>
    <row r="4329" spans="89:111" ht="11.25" customHeight="1">
      <c r="CK4329" s="1"/>
      <c r="CW4329" s="144"/>
      <c r="DG4329" s="143"/>
    </row>
    <row r="4330" spans="89:111" ht="11.25" customHeight="1">
      <c r="CK4330" s="1"/>
      <c r="CW4330" s="144"/>
      <c r="DG4330" s="143"/>
    </row>
    <row r="4331" spans="89:111" ht="11.25" customHeight="1">
      <c r="CK4331" s="1"/>
      <c r="CW4331" s="144"/>
      <c r="DG4331" s="143"/>
    </row>
    <row r="4332" spans="89:111" ht="11.25" customHeight="1">
      <c r="CK4332" s="1"/>
      <c r="CW4332" s="144"/>
      <c r="DG4332" s="143"/>
    </row>
    <row r="4333" spans="89:111" ht="11.25" customHeight="1">
      <c r="CK4333" s="1"/>
      <c r="CW4333" s="144"/>
      <c r="DG4333" s="143"/>
    </row>
    <row r="4334" spans="89:111" ht="11.25" customHeight="1">
      <c r="CK4334" s="1"/>
      <c r="CW4334" s="144"/>
      <c r="DG4334" s="143"/>
    </row>
    <row r="4335" spans="89:111" ht="11.25" customHeight="1">
      <c r="CK4335" s="1"/>
      <c r="CW4335" s="144"/>
      <c r="DG4335" s="143"/>
    </row>
    <row r="4336" spans="89:111" ht="11.25" customHeight="1">
      <c r="CK4336" s="1"/>
      <c r="CW4336" s="144"/>
      <c r="DG4336" s="143"/>
    </row>
    <row r="4337" spans="89:111" ht="11.25" customHeight="1">
      <c r="CK4337" s="1"/>
      <c r="CW4337" s="144"/>
      <c r="DG4337" s="143"/>
    </row>
    <row r="4338" spans="89:111" ht="11.25" customHeight="1">
      <c r="CK4338" s="1"/>
      <c r="CW4338" s="144"/>
      <c r="DG4338" s="143"/>
    </row>
    <row r="4339" spans="89:111" ht="11.25" customHeight="1">
      <c r="CK4339" s="1"/>
      <c r="CW4339" s="144"/>
      <c r="DG4339" s="143"/>
    </row>
    <row r="4340" spans="89:111" ht="11.25" customHeight="1">
      <c r="CK4340" s="1"/>
      <c r="CW4340" s="144"/>
      <c r="DG4340" s="143"/>
    </row>
    <row r="4341" spans="89:111" ht="11.25" customHeight="1">
      <c r="CK4341" s="1"/>
      <c r="CW4341" s="144"/>
      <c r="DG4341" s="143"/>
    </row>
    <row r="4342" spans="89:111" ht="11.25" customHeight="1">
      <c r="CK4342" s="1"/>
      <c r="CW4342" s="144"/>
      <c r="DG4342" s="143"/>
    </row>
    <row r="4343" spans="89:111" ht="11.25" customHeight="1">
      <c r="CK4343" s="1"/>
      <c r="CW4343" s="144"/>
      <c r="DG4343" s="143"/>
    </row>
    <row r="4344" spans="89:111" ht="11.25" customHeight="1">
      <c r="CK4344" s="1"/>
      <c r="CW4344" s="144"/>
      <c r="DG4344" s="143"/>
    </row>
    <row r="4345" spans="89:111" ht="11.25" customHeight="1">
      <c r="CK4345" s="1"/>
      <c r="CW4345" s="144"/>
      <c r="DG4345" s="143"/>
    </row>
    <row r="4346" spans="89:111" ht="11.25" customHeight="1">
      <c r="CK4346" s="1"/>
      <c r="CW4346" s="144"/>
      <c r="DG4346" s="143"/>
    </row>
    <row r="4347" spans="89:111" ht="11.25" customHeight="1">
      <c r="CK4347" s="1"/>
      <c r="CW4347" s="144"/>
      <c r="DG4347" s="143"/>
    </row>
    <row r="4348" spans="89:111" ht="11.25" customHeight="1">
      <c r="CK4348" s="1"/>
      <c r="CW4348" s="144"/>
      <c r="DG4348" s="143"/>
    </row>
    <row r="4349" spans="89:111" ht="11.25" customHeight="1">
      <c r="CK4349" s="1"/>
      <c r="CW4349" s="144"/>
      <c r="DG4349" s="143"/>
    </row>
    <row r="4350" spans="89:111" ht="11.25" customHeight="1">
      <c r="CK4350" s="1"/>
      <c r="CW4350" s="144"/>
      <c r="DG4350" s="143"/>
    </row>
    <row r="4351" spans="89:111" ht="11.25" customHeight="1">
      <c r="CK4351" s="1"/>
      <c r="CW4351" s="144"/>
      <c r="DG4351" s="143"/>
    </row>
    <row r="4352" spans="89:111" ht="11.25" customHeight="1">
      <c r="CK4352" s="1"/>
      <c r="CW4352" s="144"/>
      <c r="DG4352" s="143"/>
    </row>
    <row r="4353" spans="89:111" ht="11.25" customHeight="1">
      <c r="CK4353" s="1"/>
      <c r="CW4353" s="144"/>
      <c r="DG4353" s="143"/>
    </row>
    <row r="4354" spans="89:111" ht="11.25" customHeight="1">
      <c r="CK4354" s="1"/>
      <c r="CW4354" s="144"/>
      <c r="DG4354" s="143"/>
    </row>
    <row r="4355" spans="89:111" ht="11.25" customHeight="1">
      <c r="CK4355" s="1"/>
      <c r="CW4355" s="144"/>
      <c r="DG4355" s="143"/>
    </row>
    <row r="4356" spans="89:111" ht="11.25" customHeight="1">
      <c r="CK4356" s="1"/>
      <c r="CW4356" s="144"/>
      <c r="DG4356" s="143"/>
    </row>
    <row r="4357" spans="89:111" ht="11.25" customHeight="1">
      <c r="CK4357" s="1"/>
      <c r="CW4357" s="144"/>
      <c r="DG4357" s="143"/>
    </row>
    <row r="4358" spans="89:111" ht="11.25" customHeight="1">
      <c r="CK4358" s="1"/>
      <c r="CW4358" s="144"/>
      <c r="DG4358" s="143"/>
    </row>
    <row r="4359" spans="89:111" ht="11.25" customHeight="1">
      <c r="CK4359" s="1"/>
      <c r="CW4359" s="144"/>
      <c r="DG4359" s="143"/>
    </row>
    <row r="4360" spans="89:111" ht="11.25" customHeight="1">
      <c r="CK4360" s="1"/>
      <c r="CW4360" s="144"/>
      <c r="DG4360" s="143"/>
    </row>
    <row r="4361" spans="89:111" ht="11.25" customHeight="1">
      <c r="CK4361" s="1"/>
      <c r="CW4361" s="144"/>
      <c r="DG4361" s="143"/>
    </row>
    <row r="4362" spans="89:111" ht="11.25" customHeight="1">
      <c r="CK4362" s="1"/>
      <c r="CW4362" s="144"/>
      <c r="DG4362" s="143"/>
    </row>
    <row r="4363" spans="89:111" ht="11.25" customHeight="1">
      <c r="CK4363" s="1"/>
      <c r="CW4363" s="144"/>
      <c r="DG4363" s="143"/>
    </row>
    <row r="4364" spans="89:111" ht="11.25" customHeight="1">
      <c r="CK4364" s="1"/>
      <c r="CW4364" s="144"/>
      <c r="DG4364" s="143"/>
    </row>
    <row r="4365" spans="89:111" ht="11.25" customHeight="1">
      <c r="CK4365" s="1"/>
      <c r="CW4365" s="144"/>
      <c r="DG4365" s="143"/>
    </row>
    <row r="4366" spans="89:111" ht="11.25" customHeight="1">
      <c r="CK4366" s="1"/>
      <c r="CW4366" s="144"/>
      <c r="DG4366" s="143"/>
    </row>
    <row r="4367" spans="89:111" ht="11.25" customHeight="1">
      <c r="CK4367" s="1"/>
      <c r="CW4367" s="144"/>
      <c r="DG4367" s="143"/>
    </row>
    <row r="4368" spans="89:111" ht="11.25" customHeight="1">
      <c r="CK4368" s="1"/>
      <c r="CW4368" s="144"/>
      <c r="DG4368" s="143"/>
    </row>
    <row r="4369" spans="89:111" ht="11.25" customHeight="1">
      <c r="CK4369" s="1"/>
      <c r="CW4369" s="144"/>
      <c r="DG4369" s="143"/>
    </row>
    <row r="4370" spans="89:111" ht="11.25" customHeight="1">
      <c r="CK4370" s="1"/>
      <c r="CW4370" s="144"/>
      <c r="DG4370" s="143"/>
    </row>
    <row r="4371" spans="89:111" ht="11.25" customHeight="1">
      <c r="CK4371" s="1"/>
      <c r="CW4371" s="144"/>
      <c r="DG4371" s="143"/>
    </row>
    <row r="4372" spans="89:111" ht="11.25" customHeight="1">
      <c r="CK4372" s="1"/>
      <c r="CW4372" s="144"/>
      <c r="DG4372" s="143"/>
    </row>
    <row r="4373" spans="89:111" ht="11.25" customHeight="1">
      <c r="CK4373" s="1"/>
      <c r="CW4373" s="144"/>
      <c r="DG4373" s="143"/>
    </row>
    <row r="4374" spans="89:111" ht="11.25" customHeight="1">
      <c r="CK4374" s="1"/>
      <c r="CW4374" s="144"/>
      <c r="DG4374" s="143"/>
    </row>
    <row r="4375" spans="89:111" ht="11.25" customHeight="1">
      <c r="CK4375" s="1"/>
      <c r="CW4375" s="144"/>
      <c r="DG4375" s="143"/>
    </row>
    <row r="4376" spans="89:111" ht="11.25" customHeight="1">
      <c r="CK4376" s="1"/>
      <c r="CW4376" s="144"/>
      <c r="DG4376" s="143"/>
    </row>
    <row r="4377" spans="89:111" ht="11.25" customHeight="1">
      <c r="CK4377" s="1"/>
      <c r="CW4377" s="144"/>
      <c r="DG4377" s="143"/>
    </row>
    <row r="4378" spans="89:111" ht="11.25" customHeight="1">
      <c r="CK4378" s="1"/>
      <c r="CW4378" s="144"/>
      <c r="DG4378" s="143"/>
    </row>
    <row r="4379" spans="89:111" ht="11.25" customHeight="1">
      <c r="CK4379" s="1"/>
      <c r="CW4379" s="144"/>
      <c r="DG4379" s="143"/>
    </row>
    <row r="4380" spans="89:111" ht="11.25" customHeight="1">
      <c r="CK4380" s="1"/>
      <c r="CW4380" s="144"/>
      <c r="DG4380" s="143"/>
    </row>
    <row r="4381" spans="89:111" ht="11.25" customHeight="1">
      <c r="CK4381" s="1"/>
      <c r="CW4381" s="144"/>
      <c r="DG4381" s="143"/>
    </row>
    <row r="4382" spans="89:111" ht="11.25" customHeight="1">
      <c r="CK4382" s="1"/>
      <c r="CW4382" s="144"/>
      <c r="DG4382" s="143"/>
    </row>
    <row r="4383" spans="89:111" ht="11.25" customHeight="1">
      <c r="CK4383" s="1"/>
      <c r="CW4383" s="144"/>
      <c r="DG4383" s="143"/>
    </row>
    <row r="4384" spans="89:111" ht="11.25" customHeight="1">
      <c r="CK4384" s="1"/>
      <c r="CW4384" s="144"/>
      <c r="DG4384" s="143"/>
    </row>
    <row r="4385" spans="89:111" ht="11.25" customHeight="1">
      <c r="CK4385" s="1"/>
      <c r="CW4385" s="144"/>
      <c r="DG4385" s="143"/>
    </row>
    <row r="4386" spans="89:111" ht="11.25" customHeight="1">
      <c r="CK4386" s="1"/>
      <c r="CW4386" s="144"/>
      <c r="DG4386" s="143"/>
    </row>
    <row r="4387" spans="89:111" ht="11.25" customHeight="1">
      <c r="CK4387" s="1"/>
      <c r="CW4387" s="144"/>
      <c r="DG4387" s="143"/>
    </row>
    <row r="4388" spans="89:111" ht="11.25" customHeight="1">
      <c r="CK4388" s="1"/>
      <c r="CW4388" s="144"/>
      <c r="DG4388" s="143"/>
    </row>
    <row r="4389" spans="89:111" ht="11.25" customHeight="1">
      <c r="CK4389" s="1"/>
      <c r="CW4389" s="144"/>
      <c r="DG4389" s="143"/>
    </row>
    <row r="4390" spans="89:111" ht="11.25" customHeight="1">
      <c r="CK4390" s="1"/>
      <c r="CW4390" s="144"/>
      <c r="DG4390" s="143"/>
    </row>
    <row r="4391" spans="89:111" ht="11.25" customHeight="1">
      <c r="CK4391" s="1"/>
      <c r="CW4391" s="144"/>
      <c r="DG4391" s="143"/>
    </row>
    <row r="4392" spans="89:111" ht="11.25" customHeight="1">
      <c r="CK4392" s="1"/>
      <c r="CW4392" s="144"/>
      <c r="DG4392" s="143"/>
    </row>
    <row r="4393" spans="89:111" ht="11.25" customHeight="1">
      <c r="CK4393" s="1"/>
      <c r="CW4393" s="144"/>
      <c r="DG4393" s="143"/>
    </row>
    <row r="4394" spans="89:111" ht="11.25" customHeight="1">
      <c r="CK4394" s="1"/>
      <c r="CW4394" s="144"/>
      <c r="DG4394" s="143"/>
    </row>
    <row r="4395" spans="89:111" ht="11.25" customHeight="1">
      <c r="CK4395" s="1"/>
      <c r="CW4395" s="144"/>
      <c r="DG4395" s="143"/>
    </row>
    <row r="4396" spans="89:111" ht="11.25" customHeight="1">
      <c r="CK4396" s="1"/>
      <c r="CW4396" s="144"/>
      <c r="DG4396" s="143"/>
    </row>
    <row r="4397" spans="89:111" ht="11.25" customHeight="1">
      <c r="CK4397" s="1"/>
      <c r="CW4397" s="144"/>
      <c r="DG4397" s="143"/>
    </row>
    <row r="4398" spans="89:111" ht="11.25" customHeight="1">
      <c r="CK4398" s="1"/>
      <c r="CW4398" s="144"/>
      <c r="DG4398" s="143"/>
    </row>
    <row r="4399" spans="89:111" ht="11.25" customHeight="1">
      <c r="CK4399" s="1"/>
      <c r="CW4399" s="144"/>
      <c r="DG4399" s="143"/>
    </row>
    <row r="4400" spans="89:111" ht="11.25" customHeight="1">
      <c r="CK4400" s="1"/>
      <c r="CW4400" s="144"/>
      <c r="DG4400" s="143"/>
    </row>
    <row r="4401" spans="89:111" ht="11.25" customHeight="1">
      <c r="CK4401" s="1"/>
      <c r="CW4401" s="144"/>
      <c r="DG4401" s="143"/>
    </row>
    <row r="4402" spans="89:111" ht="11.25" customHeight="1">
      <c r="CK4402" s="1"/>
      <c r="CW4402" s="144"/>
      <c r="DG4402" s="143"/>
    </row>
    <row r="4403" spans="89:111" ht="11.25" customHeight="1">
      <c r="CK4403" s="1"/>
      <c r="CW4403" s="144"/>
      <c r="DG4403" s="143"/>
    </row>
    <row r="4404" spans="89:111" ht="11.25" customHeight="1">
      <c r="CK4404" s="1"/>
      <c r="CW4404" s="144"/>
      <c r="DG4404" s="143"/>
    </row>
    <row r="4405" spans="89:111" ht="11.25" customHeight="1">
      <c r="CK4405" s="1"/>
      <c r="CW4405" s="144"/>
      <c r="DG4405" s="143"/>
    </row>
    <row r="4406" spans="89:111" ht="11.25" customHeight="1">
      <c r="CK4406" s="1"/>
      <c r="CW4406" s="144"/>
      <c r="DG4406" s="143"/>
    </row>
    <row r="4407" spans="89:111" ht="11.25" customHeight="1">
      <c r="CK4407" s="1"/>
      <c r="CW4407" s="144"/>
      <c r="DG4407" s="143"/>
    </row>
    <row r="4408" spans="89:111" ht="11.25" customHeight="1">
      <c r="CK4408" s="1"/>
      <c r="CW4408" s="144"/>
      <c r="DG4408" s="143"/>
    </row>
    <row r="4409" spans="89:111" ht="11.25" customHeight="1">
      <c r="CK4409" s="1"/>
      <c r="CW4409" s="144"/>
      <c r="DG4409" s="143"/>
    </row>
    <row r="4410" spans="89:111" ht="11.25" customHeight="1">
      <c r="CK4410" s="1"/>
      <c r="CW4410" s="144"/>
      <c r="DG4410" s="143"/>
    </row>
    <row r="4411" spans="89:111" ht="11.25" customHeight="1">
      <c r="CK4411" s="1"/>
      <c r="CW4411" s="144"/>
      <c r="DG4411" s="143"/>
    </row>
    <row r="4412" spans="89:111" ht="11.25" customHeight="1">
      <c r="CK4412" s="1"/>
      <c r="CW4412" s="144"/>
      <c r="DG4412" s="143"/>
    </row>
    <row r="4413" spans="89:111" ht="11.25" customHeight="1">
      <c r="CK4413" s="1"/>
      <c r="CW4413" s="144"/>
      <c r="DG4413" s="143"/>
    </row>
    <row r="4414" spans="89:111" ht="11.25" customHeight="1">
      <c r="CK4414" s="1"/>
      <c r="CW4414" s="144"/>
      <c r="DG4414" s="143"/>
    </row>
    <row r="4415" spans="89:111" ht="11.25" customHeight="1">
      <c r="CK4415" s="1"/>
      <c r="CW4415" s="144"/>
      <c r="DG4415" s="143"/>
    </row>
    <row r="4416" spans="89:111" ht="11.25" customHeight="1">
      <c r="CK4416" s="1"/>
      <c r="CW4416" s="144"/>
      <c r="DG4416" s="143"/>
    </row>
    <row r="4417" spans="89:111" ht="11.25" customHeight="1">
      <c r="CK4417" s="1"/>
      <c r="CW4417" s="144"/>
      <c r="DG4417" s="143"/>
    </row>
    <row r="4418" spans="89:111" ht="11.25" customHeight="1">
      <c r="CK4418" s="1"/>
      <c r="CW4418" s="144"/>
      <c r="DG4418" s="143"/>
    </row>
    <row r="4419" spans="89:111" ht="11.25" customHeight="1">
      <c r="CK4419" s="1"/>
      <c r="CW4419" s="144"/>
      <c r="DG4419" s="143"/>
    </row>
    <row r="4420" spans="89:111" ht="11.25" customHeight="1">
      <c r="CK4420" s="1"/>
      <c r="CW4420" s="144"/>
      <c r="DG4420" s="143"/>
    </row>
    <row r="4421" spans="89:111" ht="11.25" customHeight="1">
      <c r="CK4421" s="1"/>
      <c r="CW4421" s="144"/>
      <c r="DG4421" s="143"/>
    </row>
    <row r="4422" spans="89:111" ht="11.25" customHeight="1">
      <c r="CK4422" s="1"/>
      <c r="CW4422" s="144"/>
      <c r="DG4422" s="143"/>
    </row>
    <row r="4423" spans="89:111" ht="11.25" customHeight="1">
      <c r="CK4423" s="1"/>
      <c r="CW4423" s="144"/>
      <c r="DG4423" s="143"/>
    </row>
    <row r="4424" spans="89:111" ht="11.25" customHeight="1">
      <c r="CK4424" s="1"/>
      <c r="CW4424" s="144"/>
      <c r="DG4424" s="143"/>
    </row>
    <row r="4425" spans="89:111" ht="11.25" customHeight="1">
      <c r="CK4425" s="1"/>
      <c r="CW4425" s="144"/>
      <c r="DG4425" s="143"/>
    </row>
    <row r="4426" spans="89:111" ht="11.25" customHeight="1">
      <c r="CK4426" s="1"/>
      <c r="CW4426" s="144"/>
      <c r="DG4426" s="143"/>
    </row>
    <row r="4427" spans="89:111" ht="11.25" customHeight="1">
      <c r="CK4427" s="1"/>
      <c r="CW4427" s="144"/>
      <c r="DG4427" s="143"/>
    </row>
    <row r="4428" spans="89:111" ht="11.25" customHeight="1">
      <c r="CK4428" s="1"/>
      <c r="CW4428" s="144"/>
      <c r="DG4428" s="143"/>
    </row>
    <row r="4429" spans="89:111" ht="11.25" customHeight="1">
      <c r="CK4429" s="1"/>
      <c r="CW4429" s="144"/>
      <c r="DG4429" s="143"/>
    </row>
    <row r="4430" spans="89:111" ht="11.25" customHeight="1">
      <c r="CK4430" s="1"/>
      <c r="CW4430" s="144"/>
      <c r="DG4430" s="143"/>
    </row>
    <row r="4431" spans="89:111" ht="11.25" customHeight="1">
      <c r="CK4431" s="1"/>
      <c r="CW4431" s="144"/>
      <c r="DG4431" s="143"/>
    </row>
    <row r="4432" spans="89:111" ht="11.25" customHeight="1">
      <c r="CK4432" s="1"/>
      <c r="CW4432" s="144"/>
      <c r="DG4432" s="143"/>
    </row>
    <row r="4433" spans="89:111" ht="11.25" customHeight="1">
      <c r="CK4433" s="1"/>
      <c r="CW4433" s="144"/>
      <c r="DG4433" s="143"/>
    </row>
    <row r="4434" spans="89:111" ht="11.25" customHeight="1">
      <c r="CK4434" s="1"/>
      <c r="CW4434" s="144"/>
      <c r="DG4434" s="143"/>
    </row>
    <row r="4435" spans="89:111" ht="11.25" customHeight="1">
      <c r="CK4435" s="1"/>
      <c r="CW4435" s="144"/>
      <c r="DG4435" s="143"/>
    </row>
    <row r="4436" spans="89:111" ht="11.25" customHeight="1">
      <c r="CK4436" s="1"/>
      <c r="CW4436" s="144"/>
      <c r="DG4436" s="143"/>
    </row>
    <row r="4437" spans="89:111" ht="11.25" customHeight="1">
      <c r="CK4437" s="1"/>
      <c r="CW4437" s="144"/>
      <c r="DG4437" s="143"/>
    </row>
    <row r="4438" spans="89:111" ht="11.25" customHeight="1">
      <c r="CK4438" s="1"/>
      <c r="CW4438" s="144"/>
      <c r="DG4438" s="143"/>
    </row>
    <row r="4439" spans="89:111" ht="11.25" customHeight="1">
      <c r="CK4439" s="1"/>
      <c r="CW4439" s="144"/>
      <c r="DG4439" s="143"/>
    </row>
    <row r="4440" spans="89:111" ht="11.25" customHeight="1">
      <c r="CK4440" s="1"/>
      <c r="CW4440" s="144"/>
      <c r="DG4440" s="143"/>
    </row>
    <row r="4441" spans="89:111" ht="11.25" customHeight="1">
      <c r="CK4441" s="1"/>
      <c r="CW4441" s="144"/>
      <c r="DG4441" s="143"/>
    </row>
    <row r="4442" spans="89:111" ht="11.25" customHeight="1">
      <c r="CK4442" s="1"/>
      <c r="CW4442" s="144"/>
      <c r="DG4442" s="143"/>
    </row>
    <row r="4443" spans="89:111" ht="11.25" customHeight="1">
      <c r="CK4443" s="1"/>
      <c r="CW4443" s="144"/>
      <c r="DG4443" s="143"/>
    </row>
    <row r="4444" spans="89:111" ht="11.25" customHeight="1">
      <c r="CK4444" s="1"/>
      <c r="CW4444" s="144"/>
      <c r="DG4444" s="143"/>
    </row>
    <row r="4445" spans="89:111" ht="11.25" customHeight="1">
      <c r="CK4445" s="1"/>
      <c r="CW4445" s="144"/>
      <c r="DG4445" s="143"/>
    </row>
    <row r="4446" spans="89:111" ht="11.25" customHeight="1">
      <c r="CK4446" s="1"/>
      <c r="CW4446" s="144"/>
      <c r="DG4446" s="143"/>
    </row>
    <row r="4447" spans="89:111" ht="11.25" customHeight="1">
      <c r="CK4447" s="1"/>
      <c r="CW4447" s="144"/>
      <c r="DG4447" s="143"/>
    </row>
    <row r="4448" spans="89:111" ht="11.25" customHeight="1">
      <c r="CK4448" s="1"/>
      <c r="CW4448" s="144"/>
      <c r="DG4448" s="143"/>
    </row>
    <row r="4449" spans="89:111" ht="11.25" customHeight="1">
      <c r="CK4449" s="1"/>
      <c r="CW4449" s="144"/>
      <c r="DG4449" s="143"/>
    </row>
    <row r="4450" spans="89:111" ht="11.25" customHeight="1">
      <c r="CK4450" s="1"/>
      <c r="CW4450" s="144"/>
      <c r="DG4450" s="143"/>
    </row>
    <row r="4451" spans="89:111" ht="11.25" customHeight="1">
      <c r="CK4451" s="1"/>
      <c r="CW4451" s="144"/>
      <c r="DG4451" s="143"/>
    </row>
    <row r="4452" spans="89:111" ht="11.25" customHeight="1">
      <c r="CK4452" s="1"/>
      <c r="CW4452" s="144"/>
      <c r="DG4452" s="143"/>
    </row>
    <row r="4453" spans="89:111" ht="11.25" customHeight="1">
      <c r="CK4453" s="1"/>
      <c r="CW4453" s="144"/>
      <c r="DG4453" s="143"/>
    </row>
    <row r="4454" spans="89:111" ht="11.25" customHeight="1">
      <c r="CK4454" s="1"/>
      <c r="CW4454" s="144"/>
      <c r="DG4454" s="143"/>
    </row>
    <row r="4455" spans="89:111" ht="11.25" customHeight="1">
      <c r="CK4455" s="1"/>
      <c r="CW4455" s="144"/>
      <c r="DG4455" s="143"/>
    </row>
    <row r="4456" spans="89:111" ht="11.25" customHeight="1">
      <c r="CK4456" s="1"/>
      <c r="CW4456" s="144"/>
      <c r="DG4456" s="143"/>
    </row>
    <row r="4457" spans="89:111" ht="11.25" customHeight="1">
      <c r="CK4457" s="1"/>
      <c r="CW4457" s="144"/>
      <c r="DG4457" s="143"/>
    </row>
    <row r="4458" spans="89:111" ht="11.25" customHeight="1">
      <c r="CK4458" s="1"/>
      <c r="CW4458" s="144"/>
      <c r="DG4458" s="143"/>
    </row>
    <row r="4459" spans="89:111" ht="11.25" customHeight="1">
      <c r="CK4459" s="1"/>
      <c r="CW4459" s="144"/>
      <c r="DG4459" s="143"/>
    </row>
    <row r="4460" spans="89:111" ht="11.25" customHeight="1">
      <c r="CK4460" s="1"/>
      <c r="CW4460" s="144"/>
      <c r="DG4460" s="143"/>
    </row>
    <row r="4461" spans="89:111" ht="11.25" customHeight="1">
      <c r="CK4461" s="1"/>
      <c r="CW4461" s="144"/>
      <c r="DG4461" s="143"/>
    </row>
    <row r="4462" spans="89:111" ht="11.25" customHeight="1">
      <c r="CK4462" s="1"/>
      <c r="CW4462" s="144"/>
      <c r="DG4462" s="143"/>
    </row>
    <row r="4463" spans="89:111" ht="11.25" customHeight="1">
      <c r="CK4463" s="1"/>
      <c r="CW4463" s="144"/>
      <c r="DG4463" s="143"/>
    </row>
    <row r="4464" spans="89:111" ht="11.25" customHeight="1">
      <c r="CK4464" s="1"/>
      <c r="CW4464" s="144"/>
      <c r="DG4464" s="143"/>
    </row>
    <row r="4465" spans="89:111" ht="11.25" customHeight="1">
      <c r="CK4465" s="1"/>
      <c r="CW4465" s="144"/>
      <c r="DG4465" s="143"/>
    </row>
    <row r="4466" spans="89:111" ht="11.25" customHeight="1">
      <c r="CK4466" s="1"/>
      <c r="CW4466" s="144"/>
      <c r="DG4466" s="143"/>
    </row>
    <row r="4467" spans="89:111" ht="11.25" customHeight="1">
      <c r="CK4467" s="1"/>
      <c r="CW4467" s="144"/>
      <c r="DG4467" s="143"/>
    </row>
    <row r="4468" spans="89:111" ht="11.25" customHeight="1">
      <c r="CK4468" s="1"/>
      <c r="CW4468" s="144"/>
      <c r="DG4468" s="143"/>
    </row>
    <row r="4469" spans="89:111" ht="11.25" customHeight="1">
      <c r="CK4469" s="1"/>
      <c r="CW4469" s="144"/>
      <c r="DG4469" s="143"/>
    </row>
    <row r="4470" spans="89:111" ht="11.25" customHeight="1">
      <c r="CK4470" s="1"/>
      <c r="CW4470" s="144"/>
      <c r="DG4470" s="143"/>
    </row>
    <row r="4471" spans="89:111" ht="11.25" customHeight="1">
      <c r="CK4471" s="1"/>
      <c r="CW4471" s="144"/>
      <c r="DG4471" s="143"/>
    </row>
    <row r="4472" spans="89:111" ht="11.25" customHeight="1">
      <c r="CK4472" s="1"/>
      <c r="CW4472" s="144"/>
      <c r="DG4472" s="143"/>
    </row>
    <row r="4473" spans="89:111" ht="11.25" customHeight="1">
      <c r="CK4473" s="1"/>
      <c r="CW4473" s="144"/>
      <c r="DG4473" s="143"/>
    </row>
    <row r="4474" spans="89:111" ht="11.25" customHeight="1">
      <c r="CK4474" s="1"/>
      <c r="CW4474" s="144"/>
      <c r="DG4474" s="143"/>
    </row>
    <row r="4475" spans="89:111" ht="11.25" customHeight="1">
      <c r="CK4475" s="1"/>
      <c r="CW4475" s="144"/>
      <c r="DG4475" s="143"/>
    </row>
    <row r="4476" spans="89:111" ht="11.25" customHeight="1">
      <c r="CK4476" s="1"/>
      <c r="CW4476" s="144"/>
      <c r="DG4476" s="143"/>
    </row>
    <row r="4477" spans="89:111" ht="11.25" customHeight="1">
      <c r="CK4477" s="1"/>
      <c r="CW4477" s="144"/>
      <c r="DG4477" s="143"/>
    </row>
    <row r="4478" spans="89:111" ht="11.25" customHeight="1">
      <c r="CK4478" s="1"/>
      <c r="CW4478" s="144"/>
      <c r="DG4478" s="143"/>
    </row>
    <row r="4479" spans="89:111" ht="11.25" customHeight="1">
      <c r="CK4479" s="1"/>
      <c r="CW4479" s="144"/>
      <c r="DG4479" s="143"/>
    </row>
    <row r="4480" spans="89:111" ht="11.25" customHeight="1">
      <c r="CK4480" s="1"/>
      <c r="CW4480" s="144"/>
      <c r="DG4480" s="143"/>
    </row>
    <row r="4481" spans="89:111" ht="11.25" customHeight="1">
      <c r="CK4481" s="1"/>
      <c r="CW4481" s="144"/>
      <c r="DG4481" s="143"/>
    </row>
    <row r="4482" spans="89:111" ht="11.25" customHeight="1">
      <c r="CK4482" s="1"/>
      <c r="CW4482" s="144"/>
      <c r="DG4482" s="143"/>
    </row>
    <row r="4483" spans="89:111" ht="11.25" customHeight="1">
      <c r="CK4483" s="1"/>
      <c r="CW4483" s="144"/>
      <c r="DG4483" s="143"/>
    </row>
    <row r="4484" spans="89:111" ht="11.25" customHeight="1">
      <c r="CK4484" s="1"/>
      <c r="CW4484" s="144"/>
      <c r="DG4484" s="143"/>
    </row>
    <row r="4485" spans="89:111" ht="11.25" customHeight="1">
      <c r="CK4485" s="1"/>
      <c r="CW4485" s="144"/>
      <c r="DG4485" s="143"/>
    </row>
    <row r="4486" spans="89:111" ht="11.25" customHeight="1">
      <c r="CK4486" s="1"/>
      <c r="CW4486" s="144"/>
      <c r="DG4486" s="143"/>
    </row>
    <row r="4487" spans="89:111" ht="11.25" customHeight="1">
      <c r="CK4487" s="1"/>
      <c r="CW4487" s="144"/>
      <c r="DG4487" s="143"/>
    </row>
    <row r="4488" spans="89:111" ht="11.25" customHeight="1">
      <c r="CK4488" s="1"/>
      <c r="CW4488" s="144"/>
      <c r="DG4488" s="143"/>
    </row>
    <row r="4489" spans="89:111" ht="11.25" customHeight="1">
      <c r="CK4489" s="1"/>
      <c r="CW4489" s="144"/>
      <c r="DG4489" s="143"/>
    </row>
    <row r="4490" spans="89:111" ht="11.25" customHeight="1">
      <c r="CK4490" s="1"/>
      <c r="CW4490" s="144"/>
      <c r="DG4490" s="143"/>
    </row>
    <row r="4491" spans="89:111" ht="11.25" customHeight="1">
      <c r="CK4491" s="1"/>
      <c r="CW4491" s="144"/>
      <c r="DG4491" s="143"/>
    </row>
    <row r="4492" spans="89:111" ht="11.25" customHeight="1">
      <c r="CK4492" s="1"/>
      <c r="CW4492" s="144"/>
      <c r="DG4492" s="143"/>
    </row>
    <row r="4493" spans="89:111" ht="11.25" customHeight="1">
      <c r="CK4493" s="1"/>
      <c r="CW4493" s="144"/>
      <c r="DG4493" s="143"/>
    </row>
    <row r="4494" spans="89:111" ht="11.25" customHeight="1">
      <c r="CK4494" s="1"/>
      <c r="CW4494" s="144"/>
      <c r="DG4494" s="143"/>
    </row>
    <row r="4495" spans="89:111" ht="11.25" customHeight="1">
      <c r="CK4495" s="1"/>
      <c r="CW4495" s="144"/>
      <c r="DG4495" s="143"/>
    </row>
    <row r="4496" spans="89:111" ht="11.25" customHeight="1">
      <c r="CK4496" s="1"/>
      <c r="CW4496" s="144"/>
      <c r="DG4496" s="143"/>
    </row>
    <row r="4497" spans="89:111" ht="11.25" customHeight="1">
      <c r="CK4497" s="1"/>
      <c r="CW4497" s="144"/>
      <c r="DG4497" s="143"/>
    </row>
    <row r="4498" spans="89:111" ht="11.25" customHeight="1">
      <c r="CK4498" s="1"/>
      <c r="CW4498" s="144"/>
      <c r="DG4498" s="143"/>
    </row>
    <row r="4499" spans="89:111" ht="11.25" customHeight="1">
      <c r="CK4499" s="1"/>
      <c r="CW4499" s="144"/>
      <c r="DG4499" s="143"/>
    </row>
    <row r="4500" spans="89:111" ht="11.25" customHeight="1">
      <c r="CK4500" s="1"/>
      <c r="CW4500" s="144"/>
      <c r="DG4500" s="143"/>
    </row>
    <row r="4501" spans="89:111" ht="11.25" customHeight="1">
      <c r="CK4501" s="1"/>
      <c r="CW4501" s="144"/>
      <c r="DG4501" s="143"/>
    </row>
    <row r="4502" spans="89:111" ht="11.25" customHeight="1">
      <c r="CK4502" s="1"/>
      <c r="CW4502" s="144"/>
      <c r="DG4502" s="143"/>
    </row>
    <row r="4503" spans="89:111" ht="11.25" customHeight="1">
      <c r="CK4503" s="1"/>
      <c r="CW4503" s="144"/>
      <c r="DG4503" s="143"/>
    </row>
    <row r="4504" spans="89:111" ht="11.25" customHeight="1">
      <c r="CK4504" s="1"/>
      <c r="CW4504" s="144"/>
      <c r="DG4504" s="143"/>
    </row>
    <row r="4505" spans="89:111" ht="11.25" customHeight="1">
      <c r="CK4505" s="1"/>
      <c r="CW4505" s="144"/>
      <c r="DG4505" s="143"/>
    </row>
    <row r="4506" spans="89:111" ht="11.25" customHeight="1">
      <c r="CK4506" s="1"/>
      <c r="CW4506" s="144"/>
      <c r="DG4506" s="143"/>
    </row>
    <row r="4507" spans="89:111" ht="11.25" customHeight="1">
      <c r="CK4507" s="1"/>
      <c r="CW4507" s="144"/>
      <c r="DG4507" s="143"/>
    </row>
    <row r="4508" spans="89:111" ht="11.25" customHeight="1">
      <c r="CK4508" s="1"/>
      <c r="CW4508" s="144"/>
      <c r="DG4508" s="143"/>
    </row>
    <row r="4509" spans="89:111" ht="11.25" customHeight="1">
      <c r="CK4509" s="1"/>
      <c r="CW4509" s="144"/>
      <c r="DG4509" s="143"/>
    </row>
    <row r="4510" spans="89:111" ht="11.25" customHeight="1">
      <c r="CK4510" s="1"/>
      <c r="CW4510" s="144"/>
      <c r="DG4510" s="143"/>
    </row>
    <row r="4511" spans="89:111" ht="11.25" customHeight="1">
      <c r="CK4511" s="1"/>
      <c r="CW4511" s="144"/>
      <c r="DG4511" s="143"/>
    </row>
    <row r="4512" spans="89:111" ht="11.25" customHeight="1">
      <c r="CK4512" s="1"/>
      <c r="CW4512" s="144"/>
      <c r="DG4512" s="143"/>
    </row>
    <row r="4513" spans="89:111" ht="11.25" customHeight="1">
      <c r="CK4513" s="1"/>
      <c r="CW4513" s="144"/>
      <c r="DG4513" s="143"/>
    </row>
    <row r="4514" spans="89:111" ht="11.25" customHeight="1">
      <c r="CK4514" s="1"/>
      <c r="CW4514" s="144"/>
      <c r="DG4514" s="143"/>
    </row>
    <row r="4515" spans="89:111" ht="11.25" customHeight="1">
      <c r="CK4515" s="1"/>
      <c r="CW4515" s="144"/>
      <c r="DG4515" s="143"/>
    </row>
    <row r="4516" spans="89:111" ht="11.25" customHeight="1">
      <c r="CK4516" s="1"/>
      <c r="CW4516" s="144"/>
      <c r="DG4516" s="143"/>
    </row>
    <row r="4517" spans="89:111" ht="11.25" customHeight="1">
      <c r="CK4517" s="1"/>
      <c r="CW4517" s="144"/>
      <c r="DG4517" s="143"/>
    </row>
    <row r="4518" spans="89:111" ht="11.25" customHeight="1">
      <c r="CK4518" s="1"/>
      <c r="CW4518" s="144"/>
      <c r="DG4518" s="143"/>
    </row>
    <row r="4519" spans="89:111" ht="11.25" customHeight="1">
      <c r="CK4519" s="1"/>
      <c r="CW4519" s="144"/>
      <c r="DG4519" s="143"/>
    </row>
    <row r="4520" spans="89:111" ht="11.25" customHeight="1">
      <c r="CK4520" s="1"/>
      <c r="CW4520" s="144"/>
      <c r="DG4520" s="143"/>
    </row>
    <row r="4521" spans="89:111" ht="11.25" customHeight="1">
      <c r="CK4521" s="1"/>
      <c r="CW4521" s="144"/>
      <c r="DG4521" s="143"/>
    </row>
    <row r="4522" spans="89:111" ht="11.25" customHeight="1">
      <c r="CK4522" s="1"/>
      <c r="CW4522" s="144"/>
      <c r="DG4522" s="143"/>
    </row>
    <row r="4523" spans="89:111" ht="11.25" customHeight="1">
      <c r="CK4523" s="1"/>
      <c r="CW4523" s="144"/>
      <c r="DG4523" s="143"/>
    </row>
    <row r="4524" spans="89:111" ht="11.25" customHeight="1">
      <c r="CK4524" s="1"/>
      <c r="CW4524" s="144"/>
      <c r="DG4524" s="143"/>
    </row>
    <row r="4525" spans="89:111" ht="11.25" customHeight="1">
      <c r="CK4525" s="1"/>
      <c r="CW4525" s="144"/>
      <c r="DG4525" s="143"/>
    </row>
    <row r="4526" spans="89:111" ht="11.25" customHeight="1">
      <c r="CK4526" s="1"/>
      <c r="CW4526" s="144"/>
      <c r="DG4526" s="143"/>
    </row>
    <row r="4527" spans="89:111" ht="11.25" customHeight="1">
      <c r="CK4527" s="1"/>
      <c r="CW4527" s="144"/>
      <c r="DG4527" s="143"/>
    </row>
    <row r="4528" spans="89:111" ht="11.25" customHeight="1">
      <c r="CK4528" s="1"/>
      <c r="CW4528" s="144"/>
      <c r="DG4528" s="143"/>
    </row>
    <row r="4529" spans="89:111" ht="11.25" customHeight="1">
      <c r="CK4529" s="1"/>
      <c r="CW4529" s="144"/>
      <c r="DG4529" s="143"/>
    </row>
    <row r="4530" spans="89:111" ht="11.25" customHeight="1">
      <c r="CK4530" s="1"/>
      <c r="CW4530" s="144"/>
      <c r="DG4530" s="143"/>
    </row>
    <row r="4531" spans="89:111" ht="11.25" customHeight="1">
      <c r="CK4531" s="1"/>
      <c r="CW4531" s="144"/>
      <c r="DG4531" s="143"/>
    </row>
    <row r="4532" spans="89:111" ht="11.25" customHeight="1">
      <c r="CK4532" s="1"/>
      <c r="CW4532" s="144"/>
      <c r="DG4532" s="143"/>
    </row>
    <row r="4533" spans="89:111" ht="11.25" customHeight="1">
      <c r="CK4533" s="1"/>
      <c r="CW4533" s="144"/>
      <c r="DG4533" s="143"/>
    </row>
    <row r="4534" spans="89:111" ht="11.25" customHeight="1">
      <c r="CK4534" s="1"/>
      <c r="CW4534" s="144"/>
      <c r="DG4534" s="143"/>
    </row>
    <row r="4535" spans="89:111" ht="11.25" customHeight="1">
      <c r="CK4535" s="1"/>
      <c r="CW4535" s="144"/>
      <c r="DG4535" s="143"/>
    </row>
    <row r="4536" spans="89:111" ht="11.25" customHeight="1">
      <c r="CK4536" s="1"/>
      <c r="CW4536" s="144"/>
      <c r="DG4536" s="143"/>
    </row>
    <row r="4537" spans="89:111" ht="11.25" customHeight="1">
      <c r="CK4537" s="1"/>
      <c r="CW4537" s="144"/>
      <c r="DG4537" s="143"/>
    </row>
    <row r="4538" spans="89:111" ht="11.25" customHeight="1">
      <c r="CK4538" s="1"/>
      <c r="CW4538" s="144"/>
      <c r="DG4538" s="143"/>
    </row>
    <row r="4539" spans="89:111" ht="11.25" customHeight="1">
      <c r="CK4539" s="1"/>
      <c r="CW4539" s="144"/>
      <c r="DG4539" s="143"/>
    </row>
    <row r="4540" spans="89:111" ht="11.25" customHeight="1">
      <c r="CK4540" s="1"/>
      <c r="CW4540" s="144"/>
      <c r="DG4540" s="143"/>
    </row>
    <row r="4541" spans="89:111" ht="11.25" customHeight="1">
      <c r="CK4541" s="1"/>
      <c r="CW4541" s="144"/>
      <c r="DG4541" s="143"/>
    </row>
    <row r="4542" spans="89:111" ht="11.25" customHeight="1">
      <c r="CK4542" s="1"/>
      <c r="CW4542" s="144"/>
      <c r="DG4542" s="143"/>
    </row>
    <row r="4543" spans="89:111" ht="11.25" customHeight="1">
      <c r="CK4543" s="1"/>
      <c r="CW4543" s="144"/>
      <c r="DG4543" s="143"/>
    </row>
    <row r="4544" spans="89:111" ht="11.25" customHeight="1">
      <c r="CK4544" s="1"/>
      <c r="CW4544" s="144"/>
      <c r="DG4544" s="143"/>
    </row>
    <row r="4545" spans="89:111" ht="11.25" customHeight="1">
      <c r="CK4545" s="1"/>
      <c r="CW4545" s="144"/>
      <c r="DG4545" s="143"/>
    </row>
    <row r="4546" spans="89:111" ht="11.25" customHeight="1">
      <c r="CK4546" s="1"/>
      <c r="CW4546" s="144"/>
      <c r="DG4546" s="143"/>
    </row>
    <row r="4547" spans="89:111" ht="11.25" customHeight="1">
      <c r="CK4547" s="1"/>
      <c r="CW4547" s="144"/>
      <c r="DG4547" s="143"/>
    </row>
    <row r="4548" spans="89:111" ht="11.25" customHeight="1">
      <c r="CK4548" s="1"/>
      <c r="CW4548" s="144"/>
      <c r="DG4548" s="143"/>
    </row>
    <row r="4549" spans="89:111" ht="11.25" customHeight="1">
      <c r="CK4549" s="1"/>
      <c r="CW4549" s="144"/>
      <c r="DG4549" s="143"/>
    </row>
    <row r="4550" spans="89:111" ht="11.25" customHeight="1">
      <c r="CK4550" s="1"/>
      <c r="CW4550" s="144"/>
      <c r="DG4550" s="143"/>
    </row>
    <row r="4551" spans="89:111" ht="11.25" customHeight="1">
      <c r="CK4551" s="1"/>
      <c r="CW4551" s="144"/>
      <c r="DG4551" s="143"/>
    </row>
    <row r="4552" spans="89:111" ht="11.25" customHeight="1">
      <c r="CK4552" s="1"/>
      <c r="CW4552" s="144"/>
      <c r="DG4552" s="143"/>
    </row>
    <row r="4553" spans="89:111" ht="11.25" customHeight="1">
      <c r="CK4553" s="1"/>
      <c r="CW4553" s="144"/>
      <c r="DG4553" s="143"/>
    </row>
    <row r="4554" spans="89:111" ht="11.25" customHeight="1">
      <c r="CK4554" s="1"/>
      <c r="CW4554" s="144"/>
      <c r="DG4554" s="143"/>
    </row>
    <row r="4555" spans="89:111" ht="11.25" customHeight="1">
      <c r="CK4555" s="1"/>
      <c r="CW4555" s="144"/>
      <c r="DG4555" s="143"/>
    </row>
    <row r="4556" spans="89:111" ht="11.25" customHeight="1">
      <c r="CK4556" s="1"/>
      <c r="CW4556" s="144"/>
      <c r="DG4556" s="143"/>
    </row>
    <row r="4557" spans="89:111" ht="11.25" customHeight="1">
      <c r="CK4557" s="1"/>
      <c r="CW4557" s="144"/>
      <c r="DG4557" s="143"/>
    </row>
    <row r="4558" spans="89:111" ht="11.25" customHeight="1">
      <c r="CK4558" s="1"/>
      <c r="CW4558" s="144"/>
      <c r="DG4558" s="143"/>
    </row>
    <row r="4559" spans="89:111" ht="11.25" customHeight="1">
      <c r="CK4559" s="1"/>
      <c r="CW4559" s="144"/>
      <c r="DG4559" s="143"/>
    </row>
    <row r="4560" spans="89:111" ht="11.25" customHeight="1">
      <c r="CK4560" s="1"/>
      <c r="CW4560" s="144"/>
      <c r="DG4560" s="143"/>
    </row>
    <row r="4561" spans="89:111" ht="11.25" customHeight="1">
      <c r="CK4561" s="1"/>
      <c r="CW4561" s="144"/>
      <c r="DG4561" s="143"/>
    </row>
    <row r="4562" spans="89:111" ht="11.25" customHeight="1">
      <c r="CK4562" s="1"/>
      <c r="CW4562" s="144"/>
      <c r="DG4562" s="143"/>
    </row>
    <row r="4563" spans="89:111" ht="11.25" customHeight="1">
      <c r="CK4563" s="1"/>
      <c r="CW4563" s="144"/>
      <c r="DG4563" s="143"/>
    </row>
    <row r="4564" spans="89:111" ht="11.25" customHeight="1">
      <c r="CK4564" s="1"/>
      <c r="CW4564" s="144"/>
      <c r="DG4564" s="143"/>
    </row>
    <row r="4565" spans="89:111" ht="11.25" customHeight="1">
      <c r="CK4565" s="1"/>
      <c r="CW4565" s="144"/>
      <c r="DG4565" s="143"/>
    </row>
    <row r="4566" spans="89:111" ht="11.25" customHeight="1">
      <c r="CK4566" s="1"/>
      <c r="CW4566" s="144"/>
      <c r="DG4566" s="143"/>
    </row>
    <row r="4567" spans="89:111" ht="11.25" customHeight="1">
      <c r="CK4567" s="1"/>
      <c r="CW4567" s="144"/>
      <c r="DG4567" s="143"/>
    </row>
    <row r="4568" spans="89:111" ht="11.25" customHeight="1">
      <c r="CK4568" s="1"/>
      <c r="CW4568" s="144"/>
      <c r="DG4568" s="143"/>
    </row>
    <row r="4569" spans="89:111" ht="11.25" customHeight="1">
      <c r="CK4569" s="1"/>
      <c r="CW4569" s="144"/>
      <c r="DG4569" s="143"/>
    </row>
    <row r="4570" spans="89:111" ht="11.25" customHeight="1">
      <c r="CK4570" s="1"/>
      <c r="CW4570" s="144"/>
      <c r="DG4570" s="143"/>
    </row>
    <row r="4571" spans="89:111" ht="11.25" customHeight="1">
      <c r="CK4571" s="1"/>
      <c r="CW4571" s="144"/>
      <c r="DG4571" s="143"/>
    </row>
    <row r="4572" spans="89:111" ht="11.25" customHeight="1">
      <c r="CK4572" s="1"/>
      <c r="CW4572" s="144"/>
      <c r="DG4572" s="143"/>
    </row>
    <row r="4573" spans="89:111" ht="11.25" customHeight="1">
      <c r="CK4573" s="1"/>
      <c r="CW4573" s="144"/>
      <c r="DG4573" s="143"/>
    </row>
    <row r="4574" spans="89:111" ht="11.25" customHeight="1">
      <c r="CK4574" s="1"/>
      <c r="CW4574" s="144"/>
      <c r="DG4574" s="143"/>
    </row>
    <row r="4575" spans="89:111" ht="11.25" customHeight="1">
      <c r="CK4575" s="1"/>
      <c r="CW4575" s="144"/>
      <c r="DG4575" s="143"/>
    </row>
    <row r="4576" spans="89:111" ht="11.25" customHeight="1">
      <c r="CK4576" s="1"/>
      <c r="CW4576" s="144"/>
      <c r="DG4576" s="143"/>
    </row>
    <row r="4577" spans="89:111" ht="11.25" customHeight="1">
      <c r="CK4577" s="1"/>
      <c r="CW4577" s="144"/>
      <c r="DG4577" s="143"/>
    </row>
    <row r="4578" spans="89:111" ht="11.25" customHeight="1">
      <c r="CK4578" s="1"/>
      <c r="CW4578" s="144"/>
      <c r="DG4578" s="143"/>
    </row>
    <row r="4579" spans="89:111" ht="11.25" customHeight="1">
      <c r="CK4579" s="1"/>
      <c r="CW4579" s="144"/>
      <c r="DG4579" s="143"/>
    </row>
    <row r="4580" spans="89:111" ht="11.25" customHeight="1">
      <c r="CK4580" s="1"/>
      <c r="CW4580" s="144"/>
      <c r="DG4580" s="143"/>
    </row>
    <row r="4581" spans="89:111" ht="11.25" customHeight="1">
      <c r="CK4581" s="1"/>
      <c r="CW4581" s="144"/>
      <c r="DG4581" s="143"/>
    </row>
    <row r="4582" spans="89:111" ht="11.25" customHeight="1">
      <c r="CK4582" s="1"/>
      <c r="CW4582" s="144"/>
      <c r="DG4582" s="143"/>
    </row>
    <row r="4583" spans="89:111" ht="11.25" customHeight="1">
      <c r="CK4583" s="1"/>
      <c r="CW4583" s="144"/>
      <c r="DG4583" s="143"/>
    </row>
    <row r="4584" spans="89:111" ht="11.25" customHeight="1">
      <c r="CK4584" s="1"/>
      <c r="CW4584" s="144"/>
      <c r="DG4584" s="143"/>
    </row>
    <row r="4585" spans="89:111" ht="11.25" customHeight="1">
      <c r="CK4585" s="1"/>
      <c r="CW4585" s="144"/>
      <c r="DG4585" s="143"/>
    </row>
    <row r="4586" spans="89:111" ht="11.25" customHeight="1">
      <c r="CK4586" s="1"/>
      <c r="CW4586" s="144"/>
      <c r="DG4586" s="143"/>
    </row>
    <row r="4587" spans="89:111" ht="11.25" customHeight="1">
      <c r="CK4587" s="1"/>
      <c r="CW4587" s="144"/>
      <c r="DG4587" s="143"/>
    </row>
    <row r="4588" spans="89:111" ht="11.25" customHeight="1">
      <c r="CK4588" s="1"/>
      <c r="CW4588" s="144"/>
      <c r="DG4588" s="143"/>
    </row>
    <row r="4589" spans="89:111" ht="11.25" customHeight="1">
      <c r="CK4589" s="1"/>
      <c r="CW4589" s="144"/>
      <c r="DG4589" s="143"/>
    </row>
    <row r="4590" spans="89:111" ht="11.25" customHeight="1">
      <c r="CK4590" s="1"/>
      <c r="CW4590" s="144"/>
      <c r="DG4590" s="143"/>
    </row>
    <row r="4591" spans="89:111" ht="11.25" customHeight="1">
      <c r="CK4591" s="1"/>
      <c r="CW4591" s="144"/>
      <c r="DG4591" s="143"/>
    </row>
    <row r="4592" spans="89:111" ht="11.25" customHeight="1">
      <c r="CK4592" s="1"/>
      <c r="CW4592" s="144"/>
      <c r="DG4592" s="143"/>
    </row>
    <row r="4593" spans="89:111" ht="11.25" customHeight="1">
      <c r="CK4593" s="1"/>
      <c r="CW4593" s="144"/>
      <c r="DG4593" s="143"/>
    </row>
    <row r="4594" spans="89:111" ht="11.25" customHeight="1">
      <c r="CK4594" s="1"/>
      <c r="CW4594" s="144"/>
      <c r="DG4594" s="143"/>
    </row>
    <row r="4595" spans="89:111" ht="11.25" customHeight="1">
      <c r="CK4595" s="1"/>
      <c r="CW4595" s="144"/>
      <c r="DG4595" s="143"/>
    </row>
    <row r="4596" spans="89:111" ht="11.25" customHeight="1">
      <c r="CK4596" s="1"/>
      <c r="CW4596" s="144"/>
      <c r="DG4596" s="143"/>
    </row>
    <row r="4597" spans="89:111" ht="11.25" customHeight="1">
      <c r="CK4597" s="1"/>
      <c r="CW4597" s="144"/>
      <c r="DG4597" s="143"/>
    </row>
    <row r="4598" spans="89:111" ht="11.25" customHeight="1">
      <c r="CK4598" s="1"/>
      <c r="CW4598" s="144"/>
      <c r="DG4598" s="143"/>
    </row>
    <row r="4599" spans="89:111" ht="11.25" customHeight="1">
      <c r="CK4599" s="1"/>
      <c r="CW4599" s="144"/>
      <c r="DG4599" s="143"/>
    </row>
    <row r="4600" spans="89:111" ht="11.25" customHeight="1">
      <c r="CK4600" s="1"/>
      <c r="CW4600" s="144"/>
      <c r="DG4600" s="143"/>
    </row>
    <row r="4601" spans="89:111" ht="11.25" customHeight="1">
      <c r="CK4601" s="1"/>
      <c r="CW4601" s="144"/>
      <c r="DG4601" s="143"/>
    </row>
    <row r="4602" spans="89:111" ht="11.25" customHeight="1">
      <c r="CK4602" s="1"/>
      <c r="CW4602" s="144"/>
      <c r="DG4602" s="143"/>
    </row>
    <row r="4603" spans="89:111" ht="11.25" customHeight="1">
      <c r="CK4603" s="1"/>
      <c r="CW4603" s="144"/>
      <c r="DG4603" s="143"/>
    </row>
    <row r="4604" spans="89:111" ht="11.25" customHeight="1">
      <c r="CK4604" s="1"/>
      <c r="CW4604" s="144"/>
      <c r="DG4604" s="143"/>
    </row>
    <row r="4605" spans="89:111" ht="11.25" customHeight="1">
      <c r="CK4605" s="1"/>
      <c r="CW4605" s="144"/>
      <c r="DG4605" s="143"/>
    </row>
    <row r="4606" spans="89:111" ht="11.25" customHeight="1">
      <c r="CK4606" s="1"/>
      <c r="CW4606" s="144"/>
      <c r="DG4606" s="143"/>
    </row>
    <row r="4607" spans="89:111" ht="11.25" customHeight="1">
      <c r="CK4607" s="1"/>
      <c r="CW4607" s="144"/>
      <c r="DG4607" s="143"/>
    </row>
    <row r="4608" spans="89:111" ht="11.25" customHeight="1">
      <c r="CK4608" s="1"/>
      <c r="CW4608" s="144"/>
      <c r="DG4608" s="143"/>
    </row>
    <row r="4609" spans="89:111" ht="11.25" customHeight="1">
      <c r="CK4609" s="1"/>
      <c r="CW4609" s="144"/>
      <c r="DG4609" s="143"/>
    </row>
    <row r="4610" spans="89:111" ht="11.25" customHeight="1">
      <c r="CK4610" s="1"/>
      <c r="CW4610" s="144"/>
      <c r="DG4610" s="143"/>
    </row>
    <row r="4611" spans="89:111" ht="11.25" customHeight="1">
      <c r="CK4611" s="1"/>
      <c r="CW4611" s="144"/>
      <c r="DG4611" s="143"/>
    </row>
    <row r="4612" spans="89:111" ht="11.25" customHeight="1">
      <c r="CK4612" s="1"/>
      <c r="CW4612" s="144"/>
      <c r="DG4612" s="143"/>
    </row>
    <row r="4613" spans="89:111" ht="11.25" customHeight="1">
      <c r="CK4613" s="1"/>
      <c r="CW4613" s="144"/>
      <c r="DG4613" s="143"/>
    </row>
    <row r="4614" spans="89:111" ht="11.25" customHeight="1">
      <c r="CK4614" s="1"/>
      <c r="CW4614" s="144"/>
      <c r="DG4614" s="143"/>
    </row>
    <row r="4615" spans="89:111" ht="11.25" customHeight="1">
      <c r="CK4615" s="1"/>
      <c r="CW4615" s="144"/>
      <c r="DG4615" s="143"/>
    </row>
    <row r="4616" spans="89:111" ht="11.25" customHeight="1">
      <c r="CK4616" s="1"/>
      <c r="CW4616" s="144"/>
      <c r="DG4616" s="143"/>
    </row>
    <row r="4617" spans="89:111" ht="11.25" customHeight="1">
      <c r="CK4617" s="1"/>
      <c r="CW4617" s="144"/>
      <c r="DG4617" s="143"/>
    </row>
    <row r="4618" spans="89:111" ht="11.25" customHeight="1">
      <c r="CK4618" s="1"/>
      <c r="CW4618" s="144"/>
      <c r="DG4618" s="143"/>
    </row>
    <row r="4619" spans="89:111" ht="11.25" customHeight="1">
      <c r="CK4619" s="1"/>
      <c r="CW4619" s="144"/>
      <c r="DG4619" s="143"/>
    </row>
    <row r="4620" spans="89:111" ht="11.25" customHeight="1">
      <c r="CK4620" s="1"/>
      <c r="CW4620" s="144"/>
      <c r="DG4620" s="143"/>
    </row>
    <row r="4621" spans="89:111" ht="11.25" customHeight="1">
      <c r="CK4621" s="1"/>
      <c r="CW4621" s="144"/>
      <c r="DG4621" s="143"/>
    </row>
    <row r="4622" spans="89:111" ht="11.25" customHeight="1">
      <c r="CK4622" s="1"/>
      <c r="CW4622" s="144"/>
      <c r="DG4622" s="143"/>
    </row>
    <row r="4623" spans="89:111" ht="11.25" customHeight="1">
      <c r="CK4623" s="1"/>
      <c r="CW4623" s="144"/>
      <c r="DG4623" s="143"/>
    </row>
    <row r="4624" spans="89:111" ht="11.25" customHeight="1">
      <c r="CK4624" s="1"/>
      <c r="CW4624" s="144"/>
      <c r="DG4624" s="143"/>
    </row>
    <row r="4625" spans="89:111" ht="11.25" customHeight="1">
      <c r="CK4625" s="1"/>
      <c r="CW4625" s="144"/>
      <c r="DG4625" s="143"/>
    </row>
    <row r="4626" spans="89:111" ht="11.25" customHeight="1">
      <c r="CK4626" s="1"/>
      <c r="CW4626" s="144"/>
      <c r="DG4626" s="143"/>
    </row>
    <row r="4627" spans="89:111" ht="11.25" customHeight="1">
      <c r="CK4627" s="1"/>
      <c r="CW4627" s="144"/>
      <c r="DG4627" s="143"/>
    </row>
    <row r="4628" spans="89:111" ht="11.25" customHeight="1">
      <c r="CK4628" s="1"/>
      <c r="CW4628" s="144"/>
      <c r="DG4628" s="143"/>
    </row>
    <row r="4629" spans="89:111" ht="11.25" customHeight="1">
      <c r="CK4629" s="1"/>
      <c r="CW4629" s="144"/>
      <c r="DG4629" s="143"/>
    </row>
    <row r="4630" spans="89:111" ht="11.25" customHeight="1">
      <c r="CK4630" s="1"/>
      <c r="CW4630" s="144"/>
      <c r="DG4630" s="143"/>
    </row>
    <row r="4631" spans="89:111" ht="11.25" customHeight="1">
      <c r="CK4631" s="1"/>
      <c r="CW4631" s="144"/>
      <c r="DG4631" s="143"/>
    </row>
    <row r="4632" spans="89:111" ht="11.25" customHeight="1">
      <c r="CK4632" s="1"/>
      <c r="CW4632" s="144"/>
      <c r="DG4632" s="143"/>
    </row>
    <row r="4633" spans="89:111" ht="11.25" customHeight="1">
      <c r="CK4633" s="1"/>
      <c r="CW4633" s="144"/>
      <c r="DG4633" s="143"/>
    </row>
    <row r="4634" spans="89:111" ht="11.25" customHeight="1">
      <c r="CK4634" s="1"/>
      <c r="CW4634" s="144"/>
      <c r="DG4634" s="143"/>
    </row>
    <row r="4635" spans="89:111" ht="11.25" customHeight="1">
      <c r="CK4635" s="1"/>
      <c r="CW4635" s="144"/>
      <c r="DG4635" s="143"/>
    </row>
    <row r="4636" spans="89:111" ht="11.25" customHeight="1">
      <c r="CK4636" s="1"/>
      <c r="CW4636" s="144"/>
      <c r="DG4636" s="143"/>
    </row>
    <row r="4637" spans="89:111" ht="11.25" customHeight="1">
      <c r="CK4637" s="1"/>
      <c r="CW4637" s="144"/>
      <c r="DG4637" s="143"/>
    </row>
    <row r="4638" spans="89:111" ht="11.25" customHeight="1">
      <c r="CK4638" s="1"/>
      <c r="CW4638" s="144"/>
      <c r="DG4638" s="143"/>
    </row>
    <row r="4639" spans="89:111" ht="11.25" customHeight="1">
      <c r="CK4639" s="1"/>
      <c r="CW4639" s="144"/>
      <c r="DG4639" s="143"/>
    </row>
    <row r="4640" spans="89:111" ht="11.25" customHeight="1">
      <c r="CK4640" s="1"/>
      <c r="CW4640" s="144"/>
      <c r="DG4640" s="143"/>
    </row>
    <row r="4641" spans="89:111" ht="11.25" customHeight="1">
      <c r="CK4641" s="1"/>
      <c r="CW4641" s="144"/>
      <c r="DG4641" s="143"/>
    </row>
    <row r="4642" spans="89:111" ht="11.25" customHeight="1">
      <c r="CK4642" s="1"/>
      <c r="CW4642" s="144"/>
      <c r="DG4642" s="143"/>
    </row>
    <row r="4643" spans="89:111" ht="11.25" customHeight="1">
      <c r="CK4643" s="1"/>
      <c r="CW4643" s="144"/>
      <c r="DG4643" s="143"/>
    </row>
    <row r="4644" spans="89:111" ht="11.25" customHeight="1">
      <c r="CK4644" s="1"/>
      <c r="CW4644" s="144"/>
      <c r="DG4644" s="143"/>
    </row>
    <row r="4645" spans="89:111" ht="11.25" customHeight="1">
      <c r="CK4645" s="1"/>
      <c r="CW4645" s="144"/>
      <c r="DG4645" s="143"/>
    </row>
    <row r="4646" spans="89:111" ht="11.25" customHeight="1">
      <c r="CK4646" s="1"/>
      <c r="CW4646" s="144"/>
      <c r="DG4646" s="143"/>
    </row>
    <row r="4647" spans="89:111" ht="11.25" customHeight="1">
      <c r="CK4647" s="1"/>
      <c r="CW4647" s="144"/>
      <c r="DG4647" s="143"/>
    </row>
    <row r="4648" spans="89:111" ht="11.25" customHeight="1">
      <c r="CK4648" s="1"/>
      <c r="CW4648" s="144"/>
      <c r="DG4648" s="143"/>
    </row>
    <row r="4649" spans="89:111" ht="11.25" customHeight="1">
      <c r="CK4649" s="1"/>
      <c r="CW4649" s="144"/>
      <c r="DG4649" s="143"/>
    </row>
    <row r="4650" spans="89:111" ht="11.25" customHeight="1">
      <c r="CK4650" s="1"/>
      <c r="CW4650" s="144"/>
      <c r="DG4650" s="143"/>
    </row>
    <row r="4651" spans="89:111" ht="11.25" customHeight="1">
      <c r="CK4651" s="1"/>
      <c r="CW4651" s="144"/>
      <c r="DG4651" s="143"/>
    </row>
    <row r="4652" spans="89:111" ht="11.25" customHeight="1">
      <c r="CK4652" s="1"/>
      <c r="CW4652" s="144"/>
      <c r="DG4652" s="143"/>
    </row>
    <row r="4653" spans="89:111" ht="11.25" customHeight="1">
      <c r="CK4653" s="1"/>
      <c r="CW4653" s="144"/>
      <c r="DG4653" s="143"/>
    </row>
    <row r="4654" spans="89:111" ht="11.25" customHeight="1">
      <c r="CK4654" s="1"/>
      <c r="CW4654" s="144"/>
      <c r="DG4654" s="143"/>
    </row>
    <row r="4655" spans="89:111" ht="11.25" customHeight="1">
      <c r="CK4655" s="1"/>
      <c r="CW4655" s="144"/>
      <c r="DG4655" s="143"/>
    </row>
    <row r="4656" spans="89:111" ht="11.25" customHeight="1">
      <c r="CK4656" s="1"/>
      <c r="CW4656" s="144"/>
      <c r="DG4656" s="143"/>
    </row>
    <row r="4657" spans="89:111" ht="11.25" customHeight="1">
      <c r="CK4657" s="1"/>
      <c r="CW4657" s="144"/>
      <c r="DG4657" s="143"/>
    </row>
    <row r="4658" spans="89:111" ht="11.25" customHeight="1">
      <c r="CK4658" s="1"/>
      <c r="CW4658" s="144"/>
      <c r="DG4658" s="143"/>
    </row>
    <row r="4659" spans="89:111" ht="11.25" customHeight="1">
      <c r="CK4659" s="1"/>
      <c r="CW4659" s="144"/>
      <c r="DG4659" s="143"/>
    </row>
    <row r="4660" spans="89:111" ht="11.25" customHeight="1">
      <c r="CK4660" s="1"/>
      <c r="CW4660" s="144"/>
      <c r="DG4660" s="143"/>
    </row>
    <row r="4661" spans="89:111" ht="11.25" customHeight="1">
      <c r="CK4661" s="1"/>
      <c r="CW4661" s="144"/>
      <c r="DG4661" s="143"/>
    </row>
    <row r="4662" spans="89:111" ht="11.25" customHeight="1">
      <c r="CK4662" s="1"/>
      <c r="CW4662" s="144"/>
      <c r="DG4662" s="143"/>
    </row>
    <row r="4663" spans="89:111" ht="11.25" customHeight="1">
      <c r="CK4663" s="1"/>
      <c r="CW4663" s="144"/>
      <c r="DG4663" s="143"/>
    </row>
    <row r="4664" spans="89:111" ht="11.25" customHeight="1">
      <c r="CK4664" s="1"/>
      <c r="CW4664" s="144"/>
      <c r="DG4664" s="143"/>
    </row>
    <row r="4665" spans="89:111" ht="11.25" customHeight="1">
      <c r="CK4665" s="1"/>
      <c r="CW4665" s="144"/>
      <c r="DG4665" s="143"/>
    </row>
    <row r="4666" spans="89:111" ht="11.25" customHeight="1">
      <c r="CK4666" s="1"/>
      <c r="CW4666" s="144"/>
      <c r="DG4666" s="143"/>
    </row>
    <row r="4667" spans="89:111" ht="11.25" customHeight="1">
      <c r="CK4667" s="1"/>
      <c r="CW4667" s="144"/>
      <c r="DG4667" s="143"/>
    </row>
    <row r="4668" spans="89:111" ht="11.25" customHeight="1">
      <c r="CK4668" s="1"/>
      <c r="CW4668" s="144"/>
      <c r="DG4668" s="143"/>
    </row>
    <row r="4669" spans="89:111" ht="11.25" customHeight="1">
      <c r="CK4669" s="1"/>
      <c r="CW4669" s="144"/>
      <c r="DG4669" s="143"/>
    </row>
    <row r="4670" spans="89:111" ht="11.25" customHeight="1">
      <c r="CK4670" s="1"/>
      <c r="CW4670" s="144"/>
      <c r="DG4670" s="143"/>
    </row>
    <row r="4671" spans="89:111" ht="11.25" customHeight="1">
      <c r="CK4671" s="1"/>
      <c r="CW4671" s="144"/>
      <c r="DG4671" s="143"/>
    </row>
    <row r="4672" spans="89:111" ht="11.25" customHeight="1">
      <c r="CK4672" s="1"/>
      <c r="CW4672" s="144"/>
      <c r="DG4672" s="143"/>
    </row>
    <row r="4673" spans="89:111" ht="11.25" customHeight="1">
      <c r="CK4673" s="1"/>
      <c r="CW4673" s="144"/>
      <c r="DG4673" s="143"/>
    </row>
    <row r="4674" spans="89:111" ht="11.25" customHeight="1">
      <c r="CK4674" s="1"/>
      <c r="CW4674" s="144"/>
      <c r="DG4674" s="143"/>
    </row>
    <row r="4675" spans="89:111" ht="11.25" customHeight="1">
      <c r="CK4675" s="1"/>
      <c r="CW4675" s="144"/>
      <c r="DG4675" s="143"/>
    </row>
    <row r="4676" spans="89:111" ht="11.25" customHeight="1">
      <c r="CK4676" s="1"/>
      <c r="CW4676" s="144"/>
      <c r="DG4676" s="143"/>
    </row>
    <row r="4677" spans="89:111" ht="11.25" customHeight="1">
      <c r="CK4677" s="1"/>
      <c r="CW4677" s="144"/>
      <c r="DG4677" s="143"/>
    </row>
    <row r="4678" spans="89:111" ht="11.25" customHeight="1">
      <c r="CK4678" s="1"/>
      <c r="CW4678" s="144"/>
      <c r="DG4678" s="143"/>
    </row>
    <row r="4679" spans="89:111" ht="11.25" customHeight="1">
      <c r="CK4679" s="1"/>
      <c r="CW4679" s="144"/>
      <c r="DG4679" s="143"/>
    </row>
    <row r="4680" spans="89:111" ht="11.25" customHeight="1">
      <c r="CK4680" s="1"/>
      <c r="CW4680" s="144"/>
      <c r="DG4680" s="143"/>
    </row>
    <row r="4681" spans="89:111" ht="11.25" customHeight="1">
      <c r="CK4681" s="1"/>
      <c r="CW4681" s="144"/>
      <c r="DG4681" s="143"/>
    </row>
    <row r="4682" spans="89:111" ht="11.25" customHeight="1">
      <c r="CK4682" s="1"/>
      <c r="CW4682" s="144"/>
      <c r="DG4682" s="143"/>
    </row>
    <row r="4683" spans="89:111" ht="11.25" customHeight="1">
      <c r="CK4683" s="1"/>
      <c r="CW4683" s="144"/>
      <c r="DG4683" s="143"/>
    </row>
    <row r="4684" spans="89:111" ht="11.25" customHeight="1">
      <c r="CK4684" s="1"/>
      <c r="CW4684" s="144"/>
      <c r="DG4684" s="143"/>
    </row>
    <row r="4685" spans="89:111" ht="11.25" customHeight="1">
      <c r="CK4685" s="1"/>
      <c r="CW4685" s="144"/>
      <c r="DG4685" s="143"/>
    </row>
    <row r="4686" spans="89:111" ht="11.25" customHeight="1">
      <c r="CK4686" s="1"/>
      <c r="CW4686" s="144"/>
      <c r="DG4686" s="143"/>
    </row>
    <row r="4687" spans="89:111" ht="11.25" customHeight="1">
      <c r="CK4687" s="1"/>
      <c r="CW4687" s="144"/>
      <c r="DG4687" s="143"/>
    </row>
    <row r="4688" spans="89:111" ht="11.25" customHeight="1">
      <c r="CK4688" s="1"/>
      <c r="CW4688" s="144"/>
      <c r="DG4688" s="143"/>
    </row>
    <row r="4689" spans="89:111" ht="11.25" customHeight="1">
      <c r="CK4689" s="1"/>
      <c r="CW4689" s="144"/>
      <c r="DG4689" s="143"/>
    </row>
    <row r="4690" spans="89:111" ht="11.25" customHeight="1">
      <c r="CK4690" s="1"/>
      <c r="CW4690" s="144"/>
      <c r="DG4690" s="143"/>
    </row>
    <row r="4691" spans="89:111" ht="11.25" customHeight="1">
      <c r="CK4691" s="1"/>
      <c r="CW4691" s="144"/>
      <c r="DG4691" s="143"/>
    </row>
    <row r="4692" spans="89:111" ht="11.25" customHeight="1">
      <c r="CK4692" s="1"/>
      <c r="CW4692" s="144"/>
      <c r="DG4692" s="143"/>
    </row>
    <row r="4693" spans="89:111" ht="11.25" customHeight="1">
      <c r="CK4693" s="1"/>
      <c r="CW4693" s="144"/>
      <c r="DG4693" s="143"/>
    </row>
    <row r="4694" spans="89:111" ht="11.25" customHeight="1">
      <c r="CK4694" s="1"/>
      <c r="CW4694" s="144"/>
      <c r="DG4694" s="143"/>
    </row>
    <row r="4695" spans="89:111" ht="11.25" customHeight="1">
      <c r="CK4695" s="1"/>
      <c r="CW4695" s="144"/>
      <c r="DG4695" s="143"/>
    </row>
    <row r="4696" spans="89:111" ht="11.25" customHeight="1">
      <c r="CK4696" s="1"/>
      <c r="CW4696" s="144"/>
      <c r="DG4696" s="143"/>
    </row>
    <row r="4697" spans="89:111" ht="11.25" customHeight="1">
      <c r="CK4697" s="1"/>
      <c r="CW4697" s="144"/>
      <c r="DG4697" s="143"/>
    </row>
    <row r="4698" spans="89:111" ht="11.25" customHeight="1">
      <c r="CK4698" s="1"/>
      <c r="CW4698" s="144"/>
      <c r="DG4698" s="143"/>
    </row>
    <row r="4699" spans="89:111" ht="11.25" customHeight="1">
      <c r="CK4699" s="1"/>
      <c r="CW4699" s="144"/>
      <c r="DG4699" s="143"/>
    </row>
    <row r="4700" spans="89:111" ht="11.25" customHeight="1">
      <c r="CK4700" s="1"/>
      <c r="CW4700" s="144"/>
      <c r="DG4700" s="143"/>
    </row>
    <row r="4701" spans="89:111" ht="11.25" customHeight="1">
      <c r="CK4701" s="1"/>
      <c r="CW4701" s="144"/>
      <c r="DG4701" s="143"/>
    </row>
    <row r="4702" spans="89:111" ht="11.25" customHeight="1">
      <c r="CK4702" s="1"/>
      <c r="CW4702" s="144"/>
      <c r="DG4702" s="143"/>
    </row>
    <row r="4703" spans="89:111" ht="11.25" customHeight="1">
      <c r="CK4703" s="1"/>
      <c r="CW4703" s="144"/>
      <c r="DG4703" s="143"/>
    </row>
    <row r="4704" spans="89:111" ht="11.25" customHeight="1">
      <c r="CK4704" s="1"/>
      <c r="CW4704" s="144"/>
      <c r="DG4704" s="143"/>
    </row>
    <row r="4705" spans="89:111" ht="11.25" customHeight="1">
      <c r="CK4705" s="1"/>
      <c r="CW4705" s="144"/>
      <c r="DG4705" s="143"/>
    </row>
    <row r="4706" spans="89:111" ht="11.25" customHeight="1">
      <c r="CK4706" s="1"/>
      <c r="CW4706" s="144"/>
      <c r="DG4706" s="143"/>
    </row>
    <row r="4707" spans="89:111" ht="11.25" customHeight="1">
      <c r="CK4707" s="1"/>
      <c r="CW4707" s="144"/>
      <c r="DG4707" s="143"/>
    </row>
    <row r="4708" spans="89:111" ht="11.25" customHeight="1">
      <c r="CK4708" s="1"/>
      <c r="CW4708" s="144"/>
      <c r="DG4708" s="143"/>
    </row>
    <row r="4709" spans="89:111" ht="11.25" customHeight="1">
      <c r="CK4709" s="1"/>
      <c r="CW4709" s="144"/>
      <c r="DG4709" s="143"/>
    </row>
    <row r="4710" spans="89:111" ht="11.25" customHeight="1">
      <c r="CK4710" s="1"/>
      <c r="CW4710" s="144"/>
      <c r="DG4710" s="143"/>
    </row>
    <row r="4711" spans="89:111" ht="11.25" customHeight="1">
      <c r="CK4711" s="1"/>
      <c r="CW4711" s="144"/>
      <c r="DG4711" s="143"/>
    </row>
    <row r="4712" spans="89:111" ht="11.25" customHeight="1">
      <c r="CK4712" s="1"/>
      <c r="CW4712" s="144"/>
      <c r="DG4712" s="143"/>
    </row>
    <row r="4713" spans="89:111" ht="11.25" customHeight="1">
      <c r="CK4713" s="1"/>
      <c r="CW4713" s="144"/>
      <c r="DG4713" s="143"/>
    </row>
    <row r="4714" spans="89:111" ht="11.25" customHeight="1">
      <c r="CK4714" s="1"/>
      <c r="CW4714" s="144"/>
      <c r="DG4714" s="143"/>
    </row>
    <row r="4715" spans="89:111" ht="11.25" customHeight="1">
      <c r="CK4715" s="1"/>
      <c r="CW4715" s="144"/>
      <c r="DG4715" s="143"/>
    </row>
    <row r="4716" spans="89:111" ht="11.25" customHeight="1">
      <c r="CK4716" s="1"/>
      <c r="CW4716" s="144"/>
      <c r="DG4716" s="143"/>
    </row>
    <row r="4717" spans="89:111" ht="11.25" customHeight="1">
      <c r="CK4717" s="1"/>
      <c r="CW4717" s="144"/>
      <c r="DG4717" s="143"/>
    </row>
    <row r="4718" spans="89:111" ht="11.25" customHeight="1">
      <c r="CK4718" s="1"/>
      <c r="CW4718" s="144"/>
      <c r="DG4718" s="143"/>
    </row>
    <row r="4719" spans="89:111" ht="11.25" customHeight="1">
      <c r="CK4719" s="1"/>
      <c r="CW4719" s="144"/>
      <c r="DG4719" s="143"/>
    </row>
    <row r="4720" spans="89:111" ht="11.25" customHeight="1">
      <c r="CK4720" s="1"/>
      <c r="CW4720" s="144"/>
      <c r="DG4720" s="143"/>
    </row>
    <row r="4721" spans="89:111" ht="11.25" customHeight="1">
      <c r="CK4721" s="1"/>
      <c r="CW4721" s="144"/>
      <c r="DG4721" s="143"/>
    </row>
    <row r="4722" spans="89:111" ht="11.25" customHeight="1">
      <c r="CK4722" s="1"/>
      <c r="CW4722" s="144"/>
      <c r="DG4722" s="143"/>
    </row>
    <row r="4723" spans="89:111" ht="11.25" customHeight="1">
      <c r="CK4723" s="1"/>
      <c r="CW4723" s="144"/>
      <c r="DG4723" s="143"/>
    </row>
    <row r="4724" spans="89:111" ht="11.25" customHeight="1">
      <c r="CK4724" s="1"/>
      <c r="CW4724" s="144"/>
      <c r="DG4724" s="143"/>
    </row>
    <row r="4725" spans="89:111" ht="11.25" customHeight="1">
      <c r="CK4725" s="1"/>
      <c r="CW4725" s="144"/>
      <c r="DG4725" s="143"/>
    </row>
    <row r="4726" spans="89:111" ht="11.25" customHeight="1">
      <c r="CK4726" s="1"/>
      <c r="CW4726" s="144"/>
      <c r="DG4726" s="143"/>
    </row>
    <row r="4727" spans="89:111" ht="11.25" customHeight="1">
      <c r="CK4727" s="1"/>
      <c r="CW4727" s="144"/>
      <c r="DG4727" s="143"/>
    </row>
    <row r="4728" spans="89:111" ht="11.25" customHeight="1">
      <c r="CK4728" s="1"/>
      <c r="CW4728" s="144"/>
      <c r="DG4728" s="143"/>
    </row>
    <row r="4729" spans="89:111" ht="11.25" customHeight="1">
      <c r="CK4729" s="1"/>
      <c r="CW4729" s="144"/>
      <c r="DG4729" s="143"/>
    </row>
    <row r="4730" spans="89:111" ht="11.25" customHeight="1">
      <c r="CK4730" s="1"/>
      <c r="CW4730" s="144"/>
      <c r="DG4730" s="143"/>
    </row>
    <row r="4731" spans="89:111" ht="11.25" customHeight="1">
      <c r="CK4731" s="1"/>
      <c r="CW4731" s="144"/>
      <c r="DG4731" s="143"/>
    </row>
    <row r="4732" spans="89:111" ht="11.25" customHeight="1">
      <c r="CK4732" s="1"/>
      <c r="CW4732" s="144"/>
      <c r="DG4732" s="143"/>
    </row>
    <row r="4733" spans="89:111" ht="11.25" customHeight="1">
      <c r="CK4733" s="1"/>
      <c r="CW4733" s="144"/>
      <c r="DG4733" s="143"/>
    </row>
    <row r="4734" spans="89:111" ht="11.25" customHeight="1">
      <c r="CK4734" s="1"/>
      <c r="CW4734" s="144"/>
      <c r="DG4734" s="143"/>
    </row>
    <row r="4735" spans="89:111" ht="11.25" customHeight="1">
      <c r="CK4735" s="1"/>
      <c r="CW4735" s="144"/>
      <c r="DG4735" s="143"/>
    </row>
    <row r="4736" spans="89:111" ht="11.25" customHeight="1">
      <c r="CK4736" s="1"/>
      <c r="CW4736" s="144"/>
      <c r="DG4736" s="143"/>
    </row>
    <row r="4737" spans="89:111" ht="11.25" customHeight="1">
      <c r="CK4737" s="1"/>
      <c r="CW4737" s="144"/>
      <c r="DG4737" s="143"/>
    </row>
    <row r="4738" spans="89:111" ht="11.25" customHeight="1">
      <c r="CK4738" s="1"/>
      <c r="CW4738" s="144"/>
      <c r="DG4738" s="143"/>
    </row>
    <row r="4739" spans="89:111" ht="11.25" customHeight="1">
      <c r="CK4739" s="1"/>
      <c r="CW4739" s="144"/>
      <c r="DG4739" s="143"/>
    </row>
    <row r="4740" spans="89:111" ht="11.25" customHeight="1">
      <c r="CK4740" s="1"/>
      <c r="CW4740" s="144"/>
      <c r="DG4740" s="143"/>
    </row>
    <row r="4741" spans="89:111" ht="11.25" customHeight="1">
      <c r="CK4741" s="1"/>
      <c r="CW4741" s="144"/>
      <c r="DG4741" s="143"/>
    </row>
    <row r="4742" spans="89:111" ht="11.25" customHeight="1">
      <c r="CK4742" s="1"/>
      <c r="CW4742" s="144"/>
      <c r="DG4742" s="143"/>
    </row>
    <row r="4743" spans="89:111" ht="11.25" customHeight="1">
      <c r="CK4743" s="1"/>
      <c r="CW4743" s="144"/>
      <c r="DG4743" s="143"/>
    </row>
    <row r="4744" spans="89:111" ht="11.25" customHeight="1">
      <c r="CK4744" s="1"/>
      <c r="CW4744" s="144"/>
      <c r="DG4744" s="143"/>
    </row>
    <row r="4745" spans="89:111" ht="11.25" customHeight="1">
      <c r="CK4745" s="1"/>
      <c r="CW4745" s="144"/>
      <c r="DG4745" s="143"/>
    </row>
    <row r="4746" spans="89:111" ht="11.25" customHeight="1">
      <c r="CK4746" s="1"/>
      <c r="CW4746" s="144"/>
      <c r="DG4746" s="143"/>
    </row>
    <row r="4747" spans="89:111" ht="11.25" customHeight="1">
      <c r="CK4747" s="1"/>
      <c r="CW4747" s="144"/>
      <c r="DG4747" s="143"/>
    </row>
    <row r="4748" spans="89:111" ht="11.25" customHeight="1">
      <c r="CK4748" s="1"/>
      <c r="CW4748" s="144"/>
      <c r="DG4748" s="143"/>
    </row>
    <row r="4749" spans="89:111" ht="11.25" customHeight="1">
      <c r="CK4749" s="1"/>
      <c r="CW4749" s="144"/>
      <c r="DG4749" s="143"/>
    </row>
    <row r="4750" spans="89:111" ht="11.25" customHeight="1">
      <c r="CK4750" s="1"/>
      <c r="CW4750" s="144"/>
      <c r="DG4750" s="143"/>
    </row>
    <row r="4751" spans="89:111" ht="11.25" customHeight="1">
      <c r="CK4751" s="1"/>
      <c r="CW4751" s="144"/>
      <c r="DG4751" s="143"/>
    </row>
    <row r="4752" spans="89:111" ht="11.25" customHeight="1">
      <c r="CK4752" s="1"/>
      <c r="CW4752" s="144"/>
      <c r="DG4752" s="143"/>
    </row>
    <row r="4753" spans="89:111" ht="11.25" customHeight="1">
      <c r="CK4753" s="1"/>
      <c r="CW4753" s="144"/>
      <c r="DG4753" s="143"/>
    </row>
    <row r="4754" spans="89:111" ht="11.25" customHeight="1">
      <c r="CK4754" s="1"/>
      <c r="CW4754" s="144"/>
      <c r="DG4754" s="143"/>
    </row>
    <row r="4755" spans="89:111" ht="11.25" customHeight="1">
      <c r="CK4755" s="1"/>
      <c r="CW4755" s="144"/>
      <c r="DG4755" s="143"/>
    </row>
    <row r="4756" spans="89:111" ht="11.25" customHeight="1">
      <c r="CK4756" s="1"/>
      <c r="CW4756" s="144"/>
      <c r="DG4756" s="143"/>
    </row>
    <row r="4757" spans="89:111" ht="11.25" customHeight="1">
      <c r="CK4757" s="1"/>
      <c r="CW4757" s="144"/>
      <c r="DG4757" s="143"/>
    </row>
    <row r="4758" spans="89:111" ht="11.25" customHeight="1">
      <c r="CK4758" s="1"/>
      <c r="CW4758" s="144"/>
      <c r="DG4758" s="143"/>
    </row>
    <row r="4759" spans="89:111" ht="11.25" customHeight="1">
      <c r="CK4759" s="1"/>
      <c r="CW4759" s="144"/>
      <c r="DG4759" s="143"/>
    </row>
    <row r="4760" spans="89:111" ht="11.25" customHeight="1">
      <c r="CK4760" s="1"/>
      <c r="CW4760" s="144"/>
      <c r="DG4760" s="143"/>
    </row>
    <row r="4761" spans="89:111" ht="11.25" customHeight="1">
      <c r="CK4761" s="1"/>
      <c r="CW4761" s="144"/>
      <c r="DG4761" s="143"/>
    </row>
    <row r="4762" spans="89:111" ht="11.25" customHeight="1">
      <c r="CK4762" s="1"/>
      <c r="CW4762" s="144"/>
      <c r="DG4762" s="143"/>
    </row>
    <row r="4763" spans="89:111" ht="11.25" customHeight="1">
      <c r="CK4763" s="1"/>
      <c r="CW4763" s="144"/>
      <c r="DG4763" s="143"/>
    </row>
    <row r="4764" spans="89:111" ht="11.25" customHeight="1">
      <c r="CK4764" s="1"/>
      <c r="CW4764" s="144"/>
      <c r="DG4764" s="143"/>
    </row>
    <row r="4765" spans="89:111" ht="11.25" customHeight="1">
      <c r="CK4765" s="1"/>
      <c r="CW4765" s="144"/>
      <c r="DG4765" s="143"/>
    </row>
    <row r="4766" spans="89:111" ht="11.25" customHeight="1">
      <c r="CK4766" s="1"/>
      <c r="CW4766" s="144"/>
      <c r="DG4766" s="143"/>
    </row>
    <row r="4767" spans="89:111" ht="11.25" customHeight="1">
      <c r="CK4767" s="1"/>
      <c r="CW4767" s="144"/>
      <c r="DG4767" s="143"/>
    </row>
    <row r="4768" spans="89:111" ht="11.25" customHeight="1">
      <c r="CK4768" s="1"/>
      <c r="CW4768" s="144"/>
      <c r="DG4768" s="143"/>
    </row>
    <row r="4769" spans="89:111" ht="11.25" customHeight="1">
      <c r="CK4769" s="1"/>
      <c r="CW4769" s="144"/>
      <c r="DG4769" s="143"/>
    </row>
    <row r="4770" spans="89:111" ht="11.25" customHeight="1">
      <c r="CK4770" s="1"/>
      <c r="CW4770" s="144"/>
      <c r="DG4770" s="143"/>
    </row>
    <row r="4771" spans="89:111" ht="11.25" customHeight="1">
      <c r="CK4771" s="1"/>
      <c r="CW4771" s="144"/>
      <c r="DG4771" s="143"/>
    </row>
    <row r="4772" spans="89:111" ht="11.25" customHeight="1">
      <c r="CK4772" s="1"/>
      <c r="CW4772" s="144"/>
      <c r="DG4772" s="143"/>
    </row>
    <row r="4773" spans="89:111" ht="11.25" customHeight="1">
      <c r="CK4773" s="1"/>
      <c r="CW4773" s="144"/>
      <c r="DG4773" s="143"/>
    </row>
    <row r="4774" spans="89:111" ht="11.25" customHeight="1">
      <c r="CK4774" s="1"/>
      <c r="CW4774" s="144"/>
      <c r="DG4774" s="143"/>
    </row>
    <row r="4775" spans="89:111" ht="11.25" customHeight="1">
      <c r="CK4775" s="1"/>
      <c r="CW4775" s="144"/>
      <c r="DG4775" s="143"/>
    </row>
    <row r="4776" spans="89:111" ht="11.25" customHeight="1">
      <c r="CK4776" s="1"/>
      <c r="CW4776" s="144"/>
      <c r="DG4776" s="143"/>
    </row>
    <row r="4777" spans="89:111" ht="11.25" customHeight="1">
      <c r="CK4777" s="1"/>
      <c r="CW4777" s="144"/>
      <c r="DG4777" s="143"/>
    </row>
    <row r="4778" spans="89:111" ht="11.25" customHeight="1">
      <c r="CK4778" s="1"/>
      <c r="CW4778" s="144"/>
      <c r="DG4778" s="143"/>
    </row>
    <row r="4779" spans="89:111" ht="11.25" customHeight="1">
      <c r="CK4779" s="1"/>
      <c r="CW4779" s="144"/>
      <c r="DG4779" s="143"/>
    </row>
    <row r="4780" spans="89:111" ht="11.25" customHeight="1">
      <c r="CK4780" s="1"/>
      <c r="CW4780" s="144"/>
      <c r="DG4780" s="143"/>
    </row>
    <row r="4781" spans="89:111" ht="11.25" customHeight="1">
      <c r="CK4781" s="1"/>
      <c r="CW4781" s="144"/>
      <c r="DG4781" s="143"/>
    </row>
    <row r="4782" spans="89:111" ht="11.25" customHeight="1">
      <c r="CK4782" s="1"/>
      <c r="CW4782" s="144"/>
      <c r="DG4782" s="143"/>
    </row>
    <row r="4783" spans="89:111" ht="11.25" customHeight="1">
      <c r="CK4783" s="1"/>
      <c r="CW4783" s="144"/>
      <c r="DG4783" s="143"/>
    </row>
    <row r="4784" spans="89:111" ht="11.25" customHeight="1">
      <c r="CK4784" s="1"/>
      <c r="CW4784" s="144"/>
      <c r="DG4784" s="143"/>
    </row>
    <row r="4785" spans="89:111" ht="11.25" customHeight="1">
      <c r="CK4785" s="1"/>
      <c r="CW4785" s="144"/>
      <c r="DG4785" s="143"/>
    </row>
    <row r="4786" spans="89:111" ht="11.25" customHeight="1">
      <c r="CK4786" s="1"/>
      <c r="CW4786" s="144"/>
      <c r="DG4786" s="143"/>
    </row>
    <row r="4787" spans="89:111" ht="11.25" customHeight="1">
      <c r="CK4787" s="1"/>
      <c r="CW4787" s="144"/>
      <c r="DG4787" s="143"/>
    </row>
    <row r="4788" spans="89:111" ht="11.25" customHeight="1">
      <c r="CK4788" s="1"/>
      <c r="CW4788" s="144"/>
      <c r="DG4788" s="143"/>
    </row>
    <row r="4789" spans="89:111" ht="11.25" customHeight="1">
      <c r="CK4789" s="1"/>
      <c r="CW4789" s="144"/>
      <c r="DG4789" s="143"/>
    </row>
    <row r="4790" spans="89:111" ht="11.25" customHeight="1">
      <c r="CK4790" s="1"/>
      <c r="CW4790" s="144"/>
      <c r="DG4790" s="143"/>
    </row>
    <row r="4791" spans="89:111" ht="11.25" customHeight="1">
      <c r="CK4791" s="1"/>
      <c r="CW4791" s="144"/>
      <c r="DG4791" s="143"/>
    </row>
    <row r="4792" spans="89:111" ht="11.25" customHeight="1">
      <c r="CK4792" s="1"/>
      <c r="CW4792" s="144"/>
      <c r="DG4792" s="143"/>
    </row>
    <row r="4793" spans="89:111" ht="11.25" customHeight="1">
      <c r="CK4793" s="1"/>
      <c r="CW4793" s="144"/>
      <c r="DG4793" s="143"/>
    </row>
    <row r="4794" spans="89:111" ht="11.25" customHeight="1">
      <c r="CK4794" s="1"/>
      <c r="CW4794" s="144"/>
      <c r="DG4794" s="143"/>
    </row>
    <row r="4795" spans="89:111" ht="11.25" customHeight="1">
      <c r="CK4795" s="1"/>
      <c r="CW4795" s="144"/>
      <c r="DG4795" s="143"/>
    </row>
    <row r="4796" spans="89:111" ht="11.25" customHeight="1">
      <c r="CK4796" s="1"/>
      <c r="CW4796" s="144"/>
      <c r="DG4796" s="143"/>
    </row>
    <row r="4797" spans="89:111" ht="11.25" customHeight="1">
      <c r="CK4797" s="1"/>
      <c r="CW4797" s="144"/>
      <c r="DG4797" s="143"/>
    </row>
    <row r="4798" spans="89:111" ht="11.25" customHeight="1">
      <c r="CK4798" s="1"/>
      <c r="CW4798" s="144"/>
      <c r="DG4798" s="143"/>
    </row>
    <row r="4799" spans="89:111" ht="11.25" customHeight="1">
      <c r="CK4799" s="1"/>
      <c r="CW4799" s="144"/>
      <c r="DG4799" s="143"/>
    </row>
    <row r="4800" spans="89:111" ht="11.25" customHeight="1">
      <c r="CK4800" s="1"/>
      <c r="CW4800" s="144"/>
      <c r="DG4800" s="143"/>
    </row>
    <row r="4801" spans="89:111" ht="11.25" customHeight="1">
      <c r="CK4801" s="1"/>
      <c r="CW4801" s="144"/>
      <c r="DG4801" s="143"/>
    </row>
    <row r="4802" spans="89:111" ht="11.25" customHeight="1">
      <c r="CK4802" s="1"/>
      <c r="CW4802" s="144"/>
      <c r="DG4802" s="143"/>
    </row>
    <row r="4803" spans="89:111" ht="11.25" customHeight="1">
      <c r="CK4803" s="1"/>
      <c r="CW4803" s="144"/>
      <c r="DG4803" s="143"/>
    </row>
    <row r="4804" spans="89:111" ht="11.25" customHeight="1">
      <c r="CK4804" s="1"/>
      <c r="CW4804" s="144"/>
      <c r="DG4804" s="143"/>
    </row>
    <row r="4805" spans="89:111" ht="11.25" customHeight="1">
      <c r="CK4805" s="1"/>
      <c r="CW4805" s="144"/>
      <c r="DG4805" s="143"/>
    </row>
    <row r="4806" spans="89:111" ht="11.25" customHeight="1">
      <c r="CK4806" s="1"/>
      <c r="CW4806" s="144"/>
      <c r="DG4806" s="143"/>
    </row>
    <row r="4807" spans="89:111" ht="11.25" customHeight="1">
      <c r="CK4807" s="1"/>
      <c r="CW4807" s="144"/>
      <c r="DG4807" s="143"/>
    </row>
    <row r="4808" spans="89:111" ht="11.25" customHeight="1">
      <c r="CK4808" s="1"/>
      <c r="CW4808" s="144"/>
      <c r="DG4808" s="143"/>
    </row>
    <row r="4809" spans="89:111" ht="11.25" customHeight="1">
      <c r="CK4809" s="1"/>
      <c r="CW4809" s="144"/>
      <c r="DG4809" s="143"/>
    </row>
    <row r="4810" spans="89:111" ht="11.25" customHeight="1">
      <c r="CK4810" s="1"/>
      <c r="CW4810" s="144"/>
      <c r="DG4810" s="143"/>
    </row>
    <row r="4811" spans="89:111" ht="11.25" customHeight="1">
      <c r="CK4811" s="1"/>
      <c r="CW4811" s="144"/>
      <c r="DG4811" s="143"/>
    </row>
    <row r="4812" spans="89:111" ht="11.25" customHeight="1">
      <c r="CK4812" s="1"/>
      <c r="CW4812" s="144"/>
      <c r="DG4812" s="143"/>
    </row>
    <row r="4813" spans="89:111" ht="11.25" customHeight="1">
      <c r="CK4813" s="1"/>
      <c r="CW4813" s="144"/>
      <c r="DG4813" s="143"/>
    </row>
    <row r="4814" spans="89:111" ht="11.25" customHeight="1">
      <c r="CK4814" s="1"/>
      <c r="CW4814" s="144"/>
      <c r="DG4814" s="143"/>
    </row>
    <row r="4815" spans="89:111" ht="11.25" customHeight="1">
      <c r="CK4815" s="1"/>
      <c r="CW4815" s="144"/>
      <c r="DG4815" s="143"/>
    </row>
    <row r="4816" spans="89:111" ht="11.25" customHeight="1">
      <c r="CK4816" s="1"/>
      <c r="CW4816" s="144"/>
      <c r="DG4816" s="143"/>
    </row>
    <row r="4817" spans="89:111" ht="11.25" customHeight="1">
      <c r="CK4817" s="1"/>
      <c r="CW4817" s="144"/>
      <c r="DG4817" s="143"/>
    </row>
    <row r="4818" spans="89:111" ht="11.25" customHeight="1">
      <c r="CK4818" s="1"/>
      <c r="CW4818" s="144"/>
      <c r="DG4818" s="143"/>
    </row>
    <row r="4819" spans="89:111" ht="11.25" customHeight="1">
      <c r="CK4819" s="1"/>
      <c r="CW4819" s="144"/>
      <c r="DG4819" s="143"/>
    </row>
    <row r="4820" spans="89:111" ht="11.25" customHeight="1">
      <c r="CK4820" s="1"/>
      <c r="CW4820" s="144"/>
      <c r="DG4820" s="143"/>
    </row>
    <row r="4821" spans="89:111" ht="11.25" customHeight="1">
      <c r="CK4821" s="1"/>
      <c r="CW4821" s="144"/>
      <c r="DG4821" s="143"/>
    </row>
    <row r="4822" spans="89:111" ht="11.25" customHeight="1">
      <c r="CK4822" s="1"/>
      <c r="CW4822" s="144"/>
      <c r="DG4822" s="143"/>
    </row>
    <row r="4823" spans="89:111" ht="11.25" customHeight="1">
      <c r="CK4823" s="1"/>
      <c r="CW4823" s="144"/>
      <c r="DG4823" s="143"/>
    </row>
    <row r="4824" spans="89:111" ht="11.25" customHeight="1">
      <c r="CK4824" s="1"/>
      <c r="CW4824" s="144"/>
      <c r="DG4824" s="143"/>
    </row>
    <row r="4825" spans="89:111" ht="11.25" customHeight="1">
      <c r="CK4825" s="1"/>
      <c r="CW4825" s="144"/>
      <c r="DG4825" s="143"/>
    </row>
    <row r="4826" spans="89:111" ht="11.25" customHeight="1">
      <c r="CK4826" s="1"/>
      <c r="CW4826" s="144"/>
      <c r="DG4826" s="143"/>
    </row>
    <row r="4827" spans="89:111" ht="11.25" customHeight="1">
      <c r="CK4827" s="1"/>
      <c r="CW4827" s="144"/>
      <c r="DG4827" s="143"/>
    </row>
    <row r="4828" spans="89:111" ht="11.25" customHeight="1">
      <c r="CK4828" s="1"/>
      <c r="CW4828" s="144"/>
      <c r="DG4828" s="143"/>
    </row>
    <row r="4829" spans="89:111" ht="11.25" customHeight="1">
      <c r="CK4829" s="1"/>
      <c r="CW4829" s="144"/>
      <c r="DG4829" s="143"/>
    </row>
    <row r="4830" spans="89:111" ht="11.25" customHeight="1">
      <c r="CK4830" s="1"/>
      <c r="CW4830" s="144"/>
      <c r="DG4830" s="143"/>
    </row>
    <row r="4831" spans="89:111" ht="11.25" customHeight="1">
      <c r="CK4831" s="1"/>
      <c r="CW4831" s="144"/>
      <c r="DG4831" s="143"/>
    </row>
    <row r="4832" spans="89:111" ht="11.25" customHeight="1">
      <c r="CK4832" s="1"/>
      <c r="CW4832" s="144"/>
      <c r="DG4832" s="143"/>
    </row>
    <row r="4833" spans="89:111" ht="11.25" customHeight="1">
      <c r="CK4833" s="1"/>
      <c r="CW4833" s="144"/>
      <c r="DG4833" s="143"/>
    </row>
    <row r="4834" spans="89:111" ht="11.25" customHeight="1">
      <c r="CK4834" s="1"/>
      <c r="CW4834" s="144"/>
      <c r="DG4834" s="143"/>
    </row>
    <row r="4835" spans="89:111" ht="11.25" customHeight="1">
      <c r="CK4835" s="1"/>
      <c r="CW4835" s="144"/>
      <c r="DG4835" s="143"/>
    </row>
    <row r="4836" spans="89:111" ht="11.25" customHeight="1">
      <c r="CK4836" s="1"/>
      <c r="CW4836" s="144"/>
      <c r="DG4836" s="143"/>
    </row>
    <row r="4837" spans="89:111" ht="11.25" customHeight="1">
      <c r="CK4837" s="1"/>
      <c r="CW4837" s="144"/>
      <c r="DG4837" s="143"/>
    </row>
    <row r="4838" spans="89:111" ht="11.25" customHeight="1">
      <c r="CK4838" s="1"/>
      <c r="CW4838" s="144"/>
      <c r="DG4838" s="143"/>
    </row>
    <row r="4839" spans="89:111" ht="11.25" customHeight="1">
      <c r="CK4839" s="1"/>
      <c r="CW4839" s="144"/>
      <c r="DG4839" s="143"/>
    </row>
    <row r="4840" spans="89:111" ht="11.25" customHeight="1">
      <c r="CK4840" s="1"/>
      <c r="CW4840" s="144"/>
      <c r="DG4840" s="143"/>
    </row>
    <row r="4841" spans="89:111" ht="11.25" customHeight="1">
      <c r="CK4841" s="1"/>
      <c r="CW4841" s="144"/>
      <c r="DG4841" s="143"/>
    </row>
    <row r="4842" spans="89:111" ht="11.25" customHeight="1">
      <c r="CK4842" s="1"/>
      <c r="CW4842" s="144"/>
      <c r="DG4842" s="143"/>
    </row>
    <row r="4843" spans="89:111" ht="11.25" customHeight="1">
      <c r="CK4843" s="1"/>
      <c r="CW4843" s="144"/>
      <c r="DG4843" s="143"/>
    </row>
    <row r="4844" spans="89:111" ht="11.25" customHeight="1">
      <c r="CK4844" s="1"/>
      <c r="CW4844" s="144"/>
      <c r="DG4844" s="143"/>
    </row>
    <row r="4845" spans="89:111" ht="11.25" customHeight="1">
      <c r="CK4845" s="1"/>
      <c r="CW4845" s="144"/>
      <c r="DG4845" s="143"/>
    </row>
    <row r="4846" spans="89:111" ht="11.25" customHeight="1">
      <c r="CK4846" s="1"/>
      <c r="CW4846" s="144"/>
      <c r="DG4846" s="143"/>
    </row>
    <row r="4847" spans="89:111" ht="11.25" customHeight="1">
      <c r="CK4847" s="1"/>
      <c r="CW4847" s="144"/>
      <c r="DG4847" s="143"/>
    </row>
    <row r="4848" spans="89:111" ht="11.25" customHeight="1">
      <c r="CK4848" s="1"/>
      <c r="CW4848" s="144"/>
      <c r="DG4848" s="143"/>
    </row>
    <row r="4849" spans="89:111" ht="11.25" customHeight="1">
      <c r="CK4849" s="1"/>
      <c r="CW4849" s="144"/>
      <c r="DG4849" s="143"/>
    </row>
    <row r="4850" spans="89:111" ht="11.25" customHeight="1">
      <c r="CK4850" s="1"/>
      <c r="CW4850" s="144"/>
      <c r="DG4850" s="143"/>
    </row>
    <row r="4851" spans="89:111" ht="11.25" customHeight="1">
      <c r="CK4851" s="1"/>
      <c r="CW4851" s="144"/>
      <c r="DG4851" s="143"/>
    </row>
    <row r="4852" spans="89:111" ht="11.25" customHeight="1">
      <c r="CK4852" s="1"/>
      <c r="CW4852" s="144"/>
      <c r="DG4852" s="143"/>
    </row>
    <row r="4853" spans="89:111" ht="11.25" customHeight="1">
      <c r="CK4853" s="1"/>
      <c r="CW4853" s="144"/>
      <c r="DG4853" s="143"/>
    </row>
    <row r="4854" spans="89:111" ht="11.25" customHeight="1">
      <c r="CK4854" s="1"/>
      <c r="CW4854" s="144"/>
      <c r="DG4854" s="143"/>
    </row>
    <row r="4855" spans="89:111" ht="11.25" customHeight="1">
      <c r="CK4855" s="1"/>
      <c r="CW4855" s="144"/>
      <c r="DG4855" s="143"/>
    </row>
    <row r="4856" spans="89:111" ht="11.25" customHeight="1">
      <c r="CK4856" s="1"/>
      <c r="CW4856" s="144"/>
      <c r="DG4856" s="143"/>
    </row>
    <row r="4857" spans="89:111" ht="11.25" customHeight="1">
      <c r="CK4857" s="1"/>
      <c r="CW4857" s="144"/>
      <c r="DG4857" s="143"/>
    </row>
    <row r="4858" spans="89:111" ht="11.25" customHeight="1">
      <c r="CK4858" s="1"/>
      <c r="CW4858" s="144"/>
      <c r="DG4858" s="143"/>
    </row>
    <row r="4859" spans="89:111" ht="11.25" customHeight="1">
      <c r="CK4859" s="1"/>
      <c r="CW4859" s="144"/>
      <c r="DG4859" s="143"/>
    </row>
    <row r="4860" spans="89:111" ht="11.25" customHeight="1">
      <c r="CK4860" s="1"/>
      <c r="CW4860" s="144"/>
      <c r="DG4860" s="143"/>
    </row>
    <row r="4861" spans="89:111" ht="11.25" customHeight="1">
      <c r="CK4861" s="1"/>
      <c r="CW4861" s="144"/>
      <c r="DG4861" s="143"/>
    </row>
    <row r="4862" spans="89:111" ht="11.25" customHeight="1">
      <c r="CK4862" s="1"/>
      <c r="CW4862" s="144"/>
      <c r="DG4862" s="143"/>
    </row>
    <row r="4863" spans="89:111" ht="11.25" customHeight="1">
      <c r="CK4863" s="1"/>
      <c r="CW4863" s="144"/>
      <c r="DG4863" s="143"/>
    </row>
    <row r="4864" spans="89:111" ht="11.25" customHeight="1">
      <c r="CK4864" s="1"/>
      <c r="CW4864" s="144"/>
      <c r="DG4864" s="143"/>
    </row>
    <row r="4865" spans="89:111" ht="11.25" customHeight="1">
      <c r="CK4865" s="1"/>
      <c r="CW4865" s="144"/>
      <c r="DG4865" s="143"/>
    </row>
    <row r="4866" spans="89:111" ht="11.25" customHeight="1">
      <c r="CK4866" s="1"/>
      <c r="CW4866" s="144"/>
      <c r="DG4866" s="143"/>
    </row>
    <row r="4867" spans="89:111" ht="11.25" customHeight="1">
      <c r="CK4867" s="1"/>
      <c r="CW4867" s="144"/>
      <c r="DG4867" s="143"/>
    </row>
    <row r="4868" spans="89:111" ht="11.25" customHeight="1">
      <c r="CK4868" s="1"/>
      <c r="CW4868" s="144"/>
      <c r="DG4868" s="143"/>
    </row>
    <row r="4869" spans="89:111" ht="11.25" customHeight="1">
      <c r="CK4869" s="1"/>
      <c r="CW4869" s="144"/>
      <c r="DG4869" s="143"/>
    </row>
    <row r="4870" spans="89:111" ht="11.25" customHeight="1">
      <c r="CK4870" s="1"/>
      <c r="CW4870" s="144"/>
      <c r="DG4870" s="143"/>
    </row>
    <row r="4871" spans="89:111" ht="11.25" customHeight="1">
      <c r="CK4871" s="1"/>
      <c r="CW4871" s="144"/>
      <c r="DG4871" s="143"/>
    </row>
    <row r="4872" spans="89:111" ht="11.25" customHeight="1">
      <c r="CK4872" s="1"/>
      <c r="CW4872" s="144"/>
      <c r="DG4872" s="143"/>
    </row>
    <row r="4873" spans="89:111" ht="11.25" customHeight="1">
      <c r="CK4873" s="1"/>
      <c r="CW4873" s="144"/>
      <c r="DG4873" s="143"/>
    </row>
    <row r="4874" spans="89:111" ht="11.25" customHeight="1">
      <c r="CK4874" s="1"/>
      <c r="CW4874" s="144"/>
      <c r="DG4874" s="143"/>
    </row>
    <row r="4875" spans="89:111" ht="11.25" customHeight="1">
      <c r="CK4875" s="1"/>
      <c r="CW4875" s="144"/>
      <c r="DG4875" s="143"/>
    </row>
    <row r="4876" spans="89:111" ht="11.25" customHeight="1">
      <c r="CK4876" s="1"/>
      <c r="CW4876" s="144"/>
      <c r="DG4876" s="143"/>
    </row>
    <row r="4877" spans="89:111" ht="11.25" customHeight="1">
      <c r="CK4877" s="1"/>
      <c r="CW4877" s="144"/>
      <c r="DG4877" s="143"/>
    </row>
    <row r="4878" spans="89:111" ht="11.25" customHeight="1">
      <c r="CK4878" s="1"/>
      <c r="CW4878" s="144"/>
      <c r="DG4878" s="143"/>
    </row>
    <row r="4879" spans="89:111" ht="11.25" customHeight="1">
      <c r="CK4879" s="1"/>
      <c r="CW4879" s="144"/>
      <c r="DG4879" s="143"/>
    </row>
    <row r="4880" spans="89:111" ht="11.25" customHeight="1">
      <c r="CK4880" s="1"/>
      <c r="CW4880" s="144"/>
      <c r="DG4880" s="143"/>
    </row>
    <row r="4881" spans="89:111" ht="11.25" customHeight="1">
      <c r="CK4881" s="1"/>
      <c r="CW4881" s="144"/>
      <c r="DG4881" s="143"/>
    </row>
    <row r="4882" spans="89:111" ht="11.25" customHeight="1">
      <c r="CK4882" s="1"/>
      <c r="CW4882" s="144"/>
      <c r="DG4882" s="143"/>
    </row>
    <row r="4883" spans="89:111" ht="11.25" customHeight="1">
      <c r="CK4883" s="1"/>
      <c r="CW4883" s="144"/>
      <c r="DG4883" s="143"/>
    </row>
    <row r="4884" spans="89:111" ht="11.25" customHeight="1">
      <c r="CK4884" s="1"/>
      <c r="CW4884" s="144"/>
      <c r="DG4884" s="143"/>
    </row>
    <row r="4885" spans="89:111" ht="11.25" customHeight="1">
      <c r="CK4885" s="1"/>
      <c r="CW4885" s="144"/>
      <c r="DG4885" s="143"/>
    </row>
    <row r="4886" spans="89:111" ht="11.25" customHeight="1">
      <c r="CK4886" s="1"/>
      <c r="CW4886" s="144"/>
      <c r="DG4886" s="143"/>
    </row>
    <row r="4887" spans="89:111" ht="11.25" customHeight="1">
      <c r="CK4887" s="1"/>
      <c r="CW4887" s="144"/>
      <c r="DG4887" s="143"/>
    </row>
    <row r="4888" spans="89:111" ht="11.25" customHeight="1">
      <c r="CK4888" s="1"/>
      <c r="CW4888" s="144"/>
      <c r="DG4888" s="143"/>
    </row>
    <row r="4889" spans="89:111" ht="11.25" customHeight="1">
      <c r="CK4889" s="1"/>
      <c r="CW4889" s="144"/>
      <c r="DG4889" s="143"/>
    </row>
    <row r="4890" spans="89:111" ht="11.25" customHeight="1">
      <c r="CK4890" s="1"/>
      <c r="CW4890" s="144"/>
      <c r="DG4890" s="143"/>
    </row>
    <row r="4891" spans="89:111" ht="11.25" customHeight="1">
      <c r="CK4891" s="1"/>
      <c r="CW4891" s="144"/>
      <c r="DG4891" s="143"/>
    </row>
    <row r="4892" spans="89:111" ht="11.25" customHeight="1">
      <c r="CK4892" s="1"/>
      <c r="CW4892" s="144"/>
      <c r="DG4892" s="143"/>
    </row>
    <row r="4893" spans="89:111" ht="11.25" customHeight="1">
      <c r="CK4893" s="1"/>
      <c r="CW4893" s="144"/>
      <c r="DG4893" s="143"/>
    </row>
    <row r="4894" spans="89:111" ht="11.25" customHeight="1">
      <c r="CK4894" s="1"/>
      <c r="CW4894" s="144"/>
      <c r="DG4894" s="143"/>
    </row>
    <row r="4895" spans="89:111" ht="11.25" customHeight="1">
      <c r="CK4895" s="1"/>
      <c r="CW4895" s="144"/>
      <c r="DG4895" s="143"/>
    </row>
    <row r="4896" spans="89:111" ht="11.25" customHeight="1">
      <c r="CK4896" s="1"/>
      <c r="CW4896" s="144"/>
      <c r="DG4896" s="143"/>
    </row>
    <row r="4897" spans="89:111" ht="11.25" customHeight="1">
      <c r="CK4897" s="1"/>
      <c r="CW4897" s="144"/>
      <c r="DG4897" s="143"/>
    </row>
    <row r="4898" spans="89:111" ht="11.25" customHeight="1">
      <c r="CK4898" s="1"/>
      <c r="CW4898" s="144"/>
      <c r="DG4898" s="143"/>
    </row>
    <row r="4899" spans="89:111" ht="11.25" customHeight="1">
      <c r="CK4899" s="1"/>
      <c r="CW4899" s="144"/>
      <c r="DG4899" s="143"/>
    </row>
    <row r="4900" spans="89:111" ht="11.25" customHeight="1">
      <c r="CK4900" s="1"/>
      <c r="CW4900" s="144"/>
      <c r="DG4900" s="143"/>
    </row>
    <row r="4901" spans="89:111" ht="11.25" customHeight="1">
      <c r="CK4901" s="1"/>
      <c r="CW4901" s="144"/>
      <c r="DG4901" s="143"/>
    </row>
    <row r="4902" spans="89:111" ht="11.25" customHeight="1">
      <c r="CK4902" s="1"/>
      <c r="CW4902" s="144"/>
      <c r="DG4902" s="143"/>
    </row>
    <row r="4903" spans="89:111" ht="11.25" customHeight="1">
      <c r="CK4903" s="1"/>
      <c r="CW4903" s="144"/>
      <c r="DG4903" s="143"/>
    </row>
    <row r="4904" spans="89:111" ht="11.25" customHeight="1">
      <c r="CK4904" s="1"/>
      <c r="CW4904" s="144"/>
      <c r="DG4904" s="143"/>
    </row>
    <row r="4905" spans="89:111" ht="11.25" customHeight="1">
      <c r="CK4905" s="1"/>
      <c r="CW4905" s="144"/>
      <c r="DG4905" s="143"/>
    </row>
    <row r="4906" spans="89:111" ht="11.25" customHeight="1">
      <c r="CK4906" s="1"/>
      <c r="CW4906" s="144"/>
      <c r="DG4906" s="143"/>
    </row>
    <row r="4907" spans="89:111" ht="11.25" customHeight="1">
      <c r="CK4907" s="1"/>
      <c r="CW4907" s="144"/>
      <c r="DG4907" s="143"/>
    </row>
    <row r="4908" spans="89:111" ht="11.25" customHeight="1">
      <c r="CK4908" s="1"/>
      <c r="CW4908" s="144"/>
      <c r="DG4908" s="143"/>
    </row>
    <row r="4909" spans="89:111" ht="11.25" customHeight="1">
      <c r="CK4909" s="1"/>
      <c r="CW4909" s="144"/>
      <c r="DG4909" s="143"/>
    </row>
    <row r="4910" spans="89:111" ht="11.25" customHeight="1">
      <c r="CK4910" s="1"/>
      <c r="CW4910" s="144"/>
      <c r="DG4910" s="143"/>
    </row>
    <row r="4911" spans="89:111" ht="11.25" customHeight="1">
      <c r="CK4911" s="1"/>
      <c r="CW4911" s="144"/>
      <c r="DG4911" s="143"/>
    </row>
    <row r="4912" spans="89:111" ht="11.25" customHeight="1">
      <c r="CK4912" s="1"/>
      <c r="CW4912" s="144"/>
      <c r="DG4912" s="143"/>
    </row>
    <row r="4913" spans="89:111" ht="11.25" customHeight="1">
      <c r="CK4913" s="1"/>
      <c r="CW4913" s="144"/>
      <c r="DG4913" s="143"/>
    </row>
    <row r="4914" spans="89:111" ht="11.25" customHeight="1">
      <c r="CK4914" s="1"/>
      <c r="CW4914" s="144"/>
      <c r="DG4914" s="143"/>
    </row>
    <row r="4915" spans="89:111" ht="11.25" customHeight="1">
      <c r="CK4915" s="1"/>
      <c r="CW4915" s="144"/>
      <c r="DG4915" s="143"/>
    </row>
    <row r="4916" spans="89:111" ht="11.25" customHeight="1">
      <c r="CK4916" s="1"/>
      <c r="CW4916" s="144"/>
      <c r="DG4916" s="143"/>
    </row>
    <row r="4917" spans="89:111" ht="11.25" customHeight="1">
      <c r="CK4917" s="1"/>
      <c r="CW4917" s="144"/>
      <c r="DG4917" s="143"/>
    </row>
    <row r="4918" spans="89:111" ht="11.25" customHeight="1">
      <c r="CK4918" s="1"/>
      <c r="CW4918" s="144"/>
      <c r="DG4918" s="143"/>
    </row>
    <row r="4919" spans="89:111" ht="11.25" customHeight="1">
      <c r="CK4919" s="1"/>
      <c r="CW4919" s="144"/>
      <c r="DG4919" s="143"/>
    </row>
    <row r="4920" spans="89:111" ht="11.25" customHeight="1">
      <c r="CK4920" s="1"/>
      <c r="CW4920" s="144"/>
      <c r="DG4920" s="143"/>
    </row>
    <row r="4921" spans="89:111" ht="11.25" customHeight="1">
      <c r="CK4921" s="1"/>
      <c r="CW4921" s="144"/>
      <c r="DG4921" s="143"/>
    </row>
    <row r="4922" spans="89:111" ht="11.25" customHeight="1">
      <c r="CK4922" s="1"/>
      <c r="CW4922" s="144"/>
      <c r="DG4922" s="143"/>
    </row>
    <row r="4923" spans="89:111" ht="11.25" customHeight="1">
      <c r="CK4923" s="1"/>
      <c r="CW4923" s="144"/>
      <c r="DG4923" s="143"/>
    </row>
    <row r="4924" spans="89:111" ht="11.25" customHeight="1">
      <c r="CK4924" s="1"/>
      <c r="CW4924" s="144"/>
      <c r="DG4924" s="143"/>
    </row>
    <row r="4925" spans="89:111" ht="11.25" customHeight="1">
      <c r="CK4925" s="1"/>
      <c r="CW4925" s="144"/>
      <c r="DG4925" s="143"/>
    </row>
    <row r="4926" spans="89:111" ht="11.25" customHeight="1">
      <c r="CK4926" s="1"/>
      <c r="CW4926" s="144"/>
      <c r="DG4926" s="143"/>
    </row>
    <row r="4927" spans="89:111" ht="11.25" customHeight="1">
      <c r="CK4927" s="1"/>
      <c r="CW4927" s="144"/>
      <c r="DG4927" s="143"/>
    </row>
    <row r="4928" spans="89:111" ht="11.25" customHeight="1">
      <c r="CK4928" s="1"/>
      <c r="CW4928" s="144"/>
      <c r="DG4928" s="143"/>
    </row>
    <row r="4929" spans="89:111" ht="11.25" customHeight="1">
      <c r="CK4929" s="1"/>
      <c r="CW4929" s="144"/>
      <c r="DG4929" s="143"/>
    </row>
    <row r="4930" spans="89:111" ht="11.25" customHeight="1">
      <c r="CK4930" s="1"/>
      <c r="CW4930" s="144"/>
      <c r="DG4930" s="143"/>
    </row>
    <row r="4931" spans="89:111" ht="11.25" customHeight="1">
      <c r="CK4931" s="1"/>
      <c r="CW4931" s="144"/>
      <c r="DG4931" s="143"/>
    </row>
    <row r="4932" spans="89:111" ht="11.25" customHeight="1">
      <c r="CK4932" s="1"/>
      <c r="CW4932" s="144"/>
      <c r="DG4932" s="143"/>
    </row>
    <row r="4933" spans="89:111" ht="11.25" customHeight="1">
      <c r="CK4933" s="1"/>
      <c r="CW4933" s="144"/>
      <c r="DG4933" s="143"/>
    </row>
    <row r="4934" spans="89:111" ht="11.25" customHeight="1">
      <c r="CK4934" s="1"/>
      <c r="CW4934" s="144"/>
      <c r="DG4934" s="143"/>
    </row>
    <row r="4935" spans="89:111" ht="11.25" customHeight="1">
      <c r="CK4935" s="1"/>
      <c r="CW4935" s="144"/>
      <c r="DG4935" s="143"/>
    </row>
    <row r="4936" spans="89:111" ht="11.25" customHeight="1">
      <c r="CK4936" s="1"/>
      <c r="CW4936" s="144"/>
      <c r="DG4936" s="143"/>
    </row>
    <row r="4937" spans="89:111" ht="11.25" customHeight="1">
      <c r="CK4937" s="1"/>
      <c r="CW4937" s="144"/>
      <c r="DG4937" s="143"/>
    </row>
    <row r="4938" spans="89:111" ht="11.25" customHeight="1">
      <c r="CK4938" s="1"/>
      <c r="CW4938" s="144"/>
      <c r="DG4938" s="143"/>
    </row>
    <row r="4939" spans="89:111" ht="11.25" customHeight="1">
      <c r="CK4939" s="1"/>
      <c r="CW4939" s="144"/>
      <c r="DG4939" s="143"/>
    </row>
    <row r="4940" spans="89:111" ht="11.25" customHeight="1">
      <c r="CK4940" s="1"/>
      <c r="CW4940" s="144"/>
      <c r="DG4940" s="143"/>
    </row>
    <row r="4941" spans="89:111" ht="11.25" customHeight="1">
      <c r="CK4941" s="1"/>
      <c r="CW4941" s="144"/>
      <c r="DG4941" s="143"/>
    </row>
    <row r="4942" spans="89:111" ht="11.25" customHeight="1">
      <c r="CK4942" s="1"/>
      <c r="CW4942" s="144"/>
      <c r="DG4942" s="143"/>
    </row>
    <row r="4943" spans="89:111" ht="11.25" customHeight="1">
      <c r="CK4943" s="1"/>
      <c r="CW4943" s="144"/>
      <c r="DG4943" s="143"/>
    </row>
    <row r="4944" spans="89:111" ht="11.25" customHeight="1">
      <c r="CK4944" s="1"/>
      <c r="CW4944" s="144"/>
      <c r="DG4944" s="143"/>
    </row>
    <row r="4945" spans="89:111" ht="11.25" customHeight="1">
      <c r="CK4945" s="1"/>
      <c r="CW4945" s="144"/>
      <c r="DG4945" s="143"/>
    </row>
    <row r="4946" spans="89:111" ht="11.25" customHeight="1">
      <c r="CK4946" s="1"/>
      <c r="CW4946" s="144"/>
      <c r="DG4946" s="143"/>
    </row>
    <row r="4947" spans="89:111" ht="11.25" customHeight="1">
      <c r="CK4947" s="1"/>
      <c r="CW4947" s="144"/>
      <c r="DG4947" s="143"/>
    </row>
    <row r="4948" spans="89:111" ht="11.25" customHeight="1">
      <c r="CK4948" s="1"/>
      <c r="CW4948" s="144"/>
      <c r="DG4948" s="143"/>
    </row>
    <row r="4949" spans="89:111" ht="11.25" customHeight="1">
      <c r="CK4949" s="1"/>
      <c r="CW4949" s="144"/>
      <c r="DG4949" s="143"/>
    </row>
    <row r="4950" spans="89:111" ht="11.25" customHeight="1">
      <c r="CK4950" s="1"/>
      <c r="CW4950" s="144"/>
      <c r="DG4950" s="143"/>
    </row>
    <row r="4951" spans="89:111" ht="11.25" customHeight="1">
      <c r="CK4951" s="1"/>
      <c r="CW4951" s="144"/>
      <c r="DG4951" s="143"/>
    </row>
    <row r="4952" spans="89:111" ht="11.25" customHeight="1">
      <c r="CK4952" s="1"/>
      <c r="CW4952" s="144"/>
      <c r="DG4952" s="143"/>
    </row>
    <row r="4953" spans="89:111" ht="11.25" customHeight="1">
      <c r="CK4953" s="1"/>
      <c r="CW4953" s="144"/>
      <c r="DG4953" s="143"/>
    </row>
    <row r="4954" spans="89:111" ht="11.25" customHeight="1">
      <c r="CK4954" s="1"/>
      <c r="CW4954" s="144"/>
      <c r="DG4954" s="143"/>
    </row>
    <row r="4955" spans="89:111" ht="11.25" customHeight="1">
      <c r="CK4955" s="1"/>
      <c r="CW4955" s="144"/>
      <c r="DG4955" s="143"/>
    </row>
    <row r="4956" spans="89:111" ht="11.25" customHeight="1">
      <c r="CK4956" s="1"/>
      <c r="CW4956" s="144"/>
      <c r="DG4956" s="143"/>
    </row>
    <row r="4957" spans="89:111" ht="11.25" customHeight="1">
      <c r="CK4957" s="1"/>
      <c r="CW4957" s="144"/>
      <c r="DG4957" s="143"/>
    </row>
    <row r="4958" spans="89:111" ht="11.25" customHeight="1">
      <c r="CK4958" s="1"/>
      <c r="CW4958" s="144"/>
      <c r="DG4958" s="143"/>
    </row>
    <row r="4959" spans="89:111" ht="11.25" customHeight="1">
      <c r="CK4959" s="1"/>
      <c r="CW4959" s="144"/>
      <c r="DG4959" s="143"/>
    </row>
    <row r="4960" spans="89:111" ht="11.25" customHeight="1">
      <c r="CK4960" s="1"/>
      <c r="CW4960" s="144"/>
      <c r="DG4960" s="143"/>
    </row>
    <row r="4961" spans="89:111" ht="11.25" customHeight="1">
      <c r="CK4961" s="1"/>
      <c r="CW4961" s="144"/>
      <c r="DG4961" s="143"/>
    </row>
    <row r="4962" spans="89:111" ht="11.25" customHeight="1">
      <c r="CK4962" s="1"/>
      <c r="CW4962" s="144"/>
      <c r="DG4962" s="143"/>
    </row>
    <row r="4963" spans="89:111" ht="11.25" customHeight="1">
      <c r="CK4963" s="1"/>
      <c r="CW4963" s="144"/>
      <c r="DG4963" s="143"/>
    </row>
    <row r="4964" spans="89:111" ht="11.25" customHeight="1">
      <c r="CK4964" s="1"/>
      <c r="CW4964" s="144"/>
      <c r="DG4964" s="143"/>
    </row>
    <row r="4965" spans="89:111" ht="11.25" customHeight="1">
      <c r="CK4965" s="1"/>
      <c r="CW4965" s="144"/>
      <c r="DG4965" s="143"/>
    </row>
    <row r="4966" spans="89:111" ht="11.25" customHeight="1">
      <c r="CK4966" s="1"/>
      <c r="CW4966" s="144"/>
      <c r="DG4966" s="143"/>
    </row>
    <row r="4967" spans="89:111" ht="11.25" customHeight="1">
      <c r="CK4967" s="1"/>
      <c r="CW4967" s="144"/>
      <c r="DG4967" s="143"/>
    </row>
    <row r="4968" spans="89:111" ht="11.25" customHeight="1">
      <c r="CK4968" s="1"/>
      <c r="CW4968" s="144"/>
      <c r="DG4968" s="143"/>
    </row>
    <row r="4969" spans="89:111" ht="11.25" customHeight="1">
      <c r="CK4969" s="1"/>
      <c r="CW4969" s="144"/>
      <c r="DG4969" s="143"/>
    </row>
    <row r="4970" spans="89:111" ht="11.25" customHeight="1">
      <c r="CK4970" s="1"/>
      <c r="CW4970" s="144"/>
      <c r="DG4970" s="143"/>
    </row>
    <row r="4971" spans="89:111" ht="11.25" customHeight="1">
      <c r="CK4971" s="1"/>
      <c r="CW4971" s="144"/>
      <c r="DG4971" s="143"/>
    </row>
    <row r="4972" spans="89:111" ht="11.25" customHeight="1">
      <c r="CK4972" s="1"/>
      <c r="CW4972" s="144"/>
      <c r="DG4972" s="143"/>
    </row>
    <row r="4973" spans="89:111" ht="11.25" customHeight="1">
      <c r="CK4973" s="1"/>
      <c r="CW4973" s="144"/>
      <c r="DG4973" s="143"/>
    </row>
    <row r="4974" spans="89:111" ht="11.25" customHeight="1">
      <c r="CK4974" s="1"/>
      <c r="CW4974" s="144"/>
      <c r="DG4974" s="143"/>
    </row>
    <row r="4975" spans="89:111" ht="11.25" customHeight="1">
      <c r="CK4975" s="1"/>
      <c r="CW4975" s="144"/>
      <c r="DG4975" s="143"/>
    </row>
    <row r="4976" spans="89:111" ht="11.25" customHeight="1">
      <c r="CK4976" s="1"/>
      <c r="CW4976" s="144"/>
      <c r="DG4976" s="143"/>
    </row>
    <row r="4977" spans="89:111" ht="11.25" customHeight="1">
      <c r="CK4977" s="1"/>
      <c r="CW4977" s="144"/>
      <c r="DG4977" s="143"/>
    </row>
    <row r="4978" spans="89:111" ht="11.25" customHeight="1">
      <c r="CK4978" s="1"/>
      <c r="CW4978" s="144"/>
      <c r="DG4978" s="143"/>
    </row>
    <row r="4979" spans="89:111" ht="11.25" customHeight="1">
      <c r="CK4979" s="1"/>
      <c r="CW4979" s="144"/>
      <c r="DG4979" s="143"/>
    </row>
    <row r="4980" spans="89:111" ht="11.25" customHeight="1">
      <c r="CK4980" s="1"/>
      <c r="CW4980" s="144"/>
      <c r="DG4980" s="143"/>
    </row>
    <row r="4981" spans="89:111" ht="11.25" customHeight="1">
      <c r="CK4981" s="1"/>
      <c r="CW4981" s="144"/>
      <c r="DG4981" s="143"/>
    </row>
    <row r="4982" spans="89:111" ht="11.25" customHeight="1">
      <c r="CK4982" s="1"/>
      <c r="CW4982" s="144"/>
      <c r="DG4982" s="143"/>
    </row>
    <row r="4983" spans="89:111" ht="11.25" customHeight="1">
      <c r="CK4983" s="1"/>
      <c r="CW4983" s="144"/>
      <c r="DG4983" s="143"/>
    </row>
    <row r="4984" spans="89:111" ht="11.25" customHeight="1">
      <c r="CK4984" s="1"/>
      <c r="CW4984" s="144"/>
      <c r="DG4984" s="143"/>
    </row>
    <row r="4985" spans="89:111" ht="11.25" customHeight="1">
      <c r="CK4985" s="1"/>
      <c r="CW4985" s="144"/>
      <c r="DG4985" s="143"/>
    </row>
    <row r="4986" spans="89:111" ht="11.25" customHeight="1">
      <c r="CK4986" s="1"/>
      <c r="CW4986" s="144"/>
      <c r="DG4986" s="143"/>
    </row>
    <row r="4987" spans="89:111" ht="11.25" customHeight="1">
      <c r="CK4987" s="1"/>
      <c r="CW4987" s="144"/>
      <c r="DG4987" s="143"/>
    </row>
    <row r="4988" spans="89:111" ht="11.25" customHeight="1">
      <c r="CK4988" s="1"/>
      <c r="CW4988" s="144"/>
      <c r="DG4988" s="143"/>
    </row>
    <row r="4989" spans="89:111" ht="11.25" customHeight="1">
      <c r="CK4989" s="1"/>
      <c r="CW4989" s="144"/>
      <c r="DG4989" s="143"/>
    </row>
    <row r="4990" spans="89:111" ht="11.25" customHeight="1">
      <c r="CK4990" s="1"/>
      <c r="CW4990" s="144"/>
      <c r="DG4990" s="143"/>
    </row>
    <row r="4991" spans="89:111" ht="11.25" customHeight="1">
      <c r="CK4991" s="1"/>
      <c r="CW4991" s="144"/>
      <c r="DG4991" s="143"/>
    </row>
    <row r="4992" spans="89:111" ht="11.25" customHeight="1">
      <c r="CK4992" s="1"/>
      <c r="CW4992" s="144"/>
      <c r="DG4992" s="143"/>
    </row>
    <row r="4993" spans="89:111" ht="11.25" customHeight="1">
      <c r="CK4993" s="1"/>
      <c r="CW4993" s="144"/>
      <c r="DG4993" s="143"/>
    </row>
    <row r="4994" spans="89:111" ht="11.25" customHeight="1">
      <c r="CK4994" s="1"/>
      <c r="CW4994" s="144"/>
      <c r="DG4994" s="143"/>
    </row>
    <row r="4995" spans="89:111" ht="11.25" customHeight="1">
      <c r="CK4995" s="1"/>
      <c r="CW4995" s="144"/>
      <c r="DG4995" s="143"/>
    </row>
    <row r="4996" spans="89:111" ht="11.25" customHeight="1">
      <c r="CK4996" s="1"/>
      <c r="CW4996" s="144"/>
      <c r="DG4996" s="143"/>
    </row>
    <row r="4997" spans="89:111" ht="11.25" customHeight="1">
      <c r="CK4997" s="1"/>
      <c r="CW4997" s="144"/>
      <c r="DG4997" s="143"/>
    </row>
    <row r="4998" spans="89:111" ht="11.25" customHeight="1">
      <c r="CK4998" s="1"/>
      <c r="CW4998" s="144"/>
      <c r="DG4998" s="143"/>
    </row>
    <row r="4999" spans="89:111" ht="11.25" customHeight="1">
      <c r="CK4999" s="1"/>
      <c r="CW4999" s="144"/>
      <c r="DG4999" s="143"/>
    </row>
    <row r="5000" spans="89:111" ht="11.25" customHeight="1">
      <c r="CK5000" s="1"/>
      <c r="CW5000" s="144"/>
      <c r="DG5000" s="143"/>
    </row>
    <row r="5001" spans="89:111" ht="11.25" customHeight="1">
      <c r="CK5001" s="1"/>
      <c r="CW5001" s="144"/>
      <c r="DG5001" s="143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99"/>
  <sheetViews>
    <sheetView zoomScale="84" zoomScaleNormal="84" workbookViewId="0">
      <selection activeCell="X9" sqref="X9"/>
    </sheetView>
  </sheetViews>
  <sheetFormatPr defaultColWidth="8.7109375" defaultRowHeight="12.75" customHeight="1"/>
  <cols>
    <col min="1" max="1" width="32" style="7" customWidth="1"/>
    <col min="2" max="2" width="36.42578125" style="7" customWidth="1"/>
    <col min="3" max="4" width="22" style="7" customWidth="1"/>
    <col min="5" max="5" width="30" style="7" customWidth="1"/>
    <col min="6" max="6" width="12" style="7" customWidth="1"/>
    <col min="7" max="7" width="26.42578125" style="7" bestFit="1" customWidth="1"/>
    <col min="8" max="8" width="63.42578125" style="7" customWidth="1"/>
    <col min="9" max="9" width="10.42578125" style="7" customWidth="1"/>
    <col min="10" max="10" width="25" style="7" customWidth="1"/>
    <col min="11" max="16" width="8.7109375" style="7"/>
    <col min="17" max="17" width="22" style="7" customWidth="1"/>
    <col min="18" max="18" width="13.85546875" style="7" customWidth="1"/>
    <col min="19" max="19" width="12.140625" style="7" bestFit="1" customWidth="1"/>
    <col min="20" max="20" width="26.42578125" style="7" bestFit="1" customWidth="1"/>
    <col min="21" max="21" width="14.85546875" style="7" customWidth="1"/>
    <col min="22" max="22" width="8.7109375" style="7"/>
    <col min="23" max="23" width="55.28515625" style="7" customWidth="1"/>
    <col min="24" max="24" width="14.7109375" style="7" customWidth="1"/>
    <col min="25" max="26" width="8.7109375" style="7"/>
    <col min="27" max="27" width="35.5703125" style="7" bestFit="1" customWidth="1"/>
    <col min="28" max="28" width="10.42578125" style="7" customWidth="1"/>
    <col min="29" max="29" width="8.7109375" style="7"/>
    <col min="30" max="30" width="48.5703125" style="7" bestFit="1" customWidth="1"/>
    <col min="31" max="32" width="8.7109375" style="7"/>
    <col min="33" max="33" width="32.28515625" style="7" bestFit="1" customWidth="1"/>
    <col min="34" max="34" width="6.140625" style="7" bestFit="1" customWidth="1"/>
    <col min="35" max="35" width="8.7109375" style="7"/>
    <col min="36" max="36" width="43.7109375" style="7" customWidth="1"/>
    <col min="37" max="16384" width="8.7109375" style="7"/>
  </cols>
  <sheetData>
    <row r="1" spans="1:40" ht="15.75" customHeight="1">
      <c r="A1" s="8" t="s">
        <v>930</v>
      </c>
      <c r="B1" s="8"/>
      <c r="C1" s="9"/>
      <c r="D1" s="10"/>
      <c r="E1" s="10"/>
      <c r="G1" s="8" t="s">
        <v>931</v>
      </c>
      <c r="H1" s="8"/>
      <c r="J1" s="193" t="s">
        <v>932</v>
      </c>
      <c r="K1" s="193"/>
      <c r="L1" s="193"/>
      <c r="M1" s="193"/>
      <c r="N1" s="193"/>
      <c r="O1" s="193"/>
      <c r="Q1" s="192" t="s">
        <v>933</v>
      </c>
      <c r="R1" s="192"/>
      <c r="S1" s="192"/>
      <c r="T1" s="192"/>
      <c r="W1" s="8" t="s">
        <v>934</v>
      </c>
      <c r="X1" s="8"/>
      <c r="AA1" s="11" t="s">
        <v>935</v>
      </c>
      <c r="AD1" s="11" t="s">
        <v>936</v>
      </c>
      <c r="AG1" s="11" t="s">
        <v>937</v>
      </c>
      <c r="AJ1" s="11" t="s">
        <v>938</v>
      </c>
    </row>
    <row r="2" spans="1:40" ht="24">
      <c r="A2" s="12" t="s">
        <v>939</v>
      </c>
      <c r="B2" s="12" t="s">
        <v>940</v>
      </c>
      <c r="D2" s="13"/>
      <c r="E2" s="13"/>
      <c r="G2" s="12" t="s">
        <v>941</v>
      </c>
      <c r="H2" s="12" t="s">
        <v>942</v>
      </c>
      <c r="J2" s="12" t="s">
        <v>14</v>
      </c>
      <c r="K2" s="12" t="s">
        <v>116</v>
      </c>
      <c r="L2" s="12" t="s">
        <v>151</v>
      </c>
      <c r="M2" s="12" t="s">
        <v>129</v>
      </c>
      <c r="N2" s="12" t="s">
        <v>943</v>
      </c>
      <c r="Q2" s="14" t="s">
        <v>944</v>
      </c>
      <c r="R2" s="14" t="s">
        <v>945</v>
      </c>
      <c r="S2" s="14" t="s">
        <v>946</v>
      </c>
      <c r="T2" s="14" t="s">
        <v>947</v>
      </c>
      <c r="W2" s="12" t="s">
        <v>948</v>
      </c>
      <c r="X2" s="12" t="s">
        <v>949</v>
      </c>
      <c r="AA2" s="14" t="s">
        <v>950</v>
      </c>
      <c r="AB2" s="14" t="s">
        <v>951</v>
      </c>
      <c r="AD2" s="15" t="s">
        <v>952</v>
      </c>
      <c r="AE2" s="15" t="s">
        <v>953</v>
      </c>
      <c r="AG2" s="15" t="s">
        <v>8</v>
      </c>
      <c r="AH2" s="15" t="s">
        <v>942</v>
      </c>
      <c r="AJ2" s="14" t="s">
        <v>954</v>
      </c>
      <c r="AK2" s="14" t="s">
        <v>942</v>
      </c>
    </row>
    <row r="3" spans="1:40" ht="30" customHeight="1">
      <c r="A3" s="16" t="s">
        <v>955</v>
      </c>
      <c r="B3" s="17">
        <f>COUNTA(RawData[ID])</f>
        <v>165</v>
      </c>
      <c r="D3" s="18"/>
      <c r="E3" s="18"/>
      <c r="G3" s="19" t="s">
        <v>135</v>
      </c>
      <c r="H3" s="20">
        <f>COUNTIF(RawData[Engagement Type],G3)</f>
        <v>46</v>
      </c>
      <c r="J3" s="18" t="s">
        <v>136</v>
      </c>
      <c r="K3" s="18">
        <f>COUNTIFS(RawData[Service Line],J3,RawData[Severity],"High")</f>
        <v>18</v>
      </c>
      <c r="L3" s="18">
        <f>COUNTIFS(RawData[Service Line],J3,RawData[Severity],"Moderate")</f>
        <v>47</v>
      </c>
      <c r="M3" s="18">
        <f>COUNTIFS(RawData[Service Line],J3,RawData[Severity],"Low")</f>
        <v>49</v>
      </c>
      <c r="N3" s="18">
        <f>SUM(K3:M3)</f>
        <v>114</v>
      </c>
      <c r="Q3" s="136" t="str">
        <f t="array" aca="1" ref="Q3" ca="1">IFERROR(INDEX($AJ$2:$AJ$599,MATCH(1,($AK$2:$AK$599=R3)*(COUNTIF($Q2:$Q$3,$AJ$2:$AJ$599)=0)*($AJ$2:$AJ$599&lt;&gt;""),0)),"")</f>
        <v>Bench Policy &amp; Compliance Clarity</v>
      </c>
      <c r="R3" s="133">
        <f>IFERROR(LARGE($AK$2:$AK$599,1),"")</f>
        <v>19</v>
      </c>
      <c r="S3" s="133">
        <f t="shared" ref="S3:S34" ca="1" si="0">IF(Q3="","",IFERROR(R3/$B$3,0))</f>
        <v>0.110236220472441</v>
      </c>
      <c r="T3" s="133" t="str">
        <f t="array" aca="1" ref="T3" ca="1">IF(Q3="","",IFERROR(INDEX(SummaryData[Engagement Type],MATCH(TRIM(Q3),TRIM(SummaryData[Statement]),0)),""))</f>
        <v>Large Connect</v>
      </c>
      <c r="W3" s="18" t="s">
        <v>124</v>
      </c>
      <c r="X3" s="18">
        <f>SUMPRODUCT((TRIM(RawData[Alignment])=TRIM(W3))*1)</f>
        <v>25</v>
      </c>
      <c r="AA3" s="7" t="str">
        <f t="array" aca="1" ref="AA3" ca="1">IFERROR(INDEX($AM$2:$AM$199,MATCH(1,($AN$2:$AN$199=AB3)*(COUNTIF($AA2:$AA$3,$AM$2:$AM$199)=0)*($AM$2:$AM$199&lt;&gt;""),0)),"")</f>
        <v>HR Connect (General)</v>
      </c>
      <c r="AB3" s="7">
        <f>IFERROR(LARGE($AN$2:$AN$199,1),"")</f>
        <v>22</v>
      </c>
      <c r="AD3" s="7" t="str">
        <f ca="1">IF(Calc!Q3="","",Calc!Q3)</f>
        <v>Bench Policy &amp; Compliance Clarity</v>
      </c>
      <c r="AE3" s="7">
        <f ca="1">IF(Calc!Q3="","",Calc!R3)</f>
        <v>14</v>
      </c>
      <c r="AG3" s="7" t="str">
        <f t="array" aca="1" ref="AG3" ca="1">IFERROR(INDEX($G$3:$G$15,MATCH(1,(($H$3:$H$15)=AH3)*(COUNTIF($AG2:$AG$3,$G$3:$G$15)=0),0)),"")</f>
        <v>Large Connect</v>
      </c>
      <c r="AH3" s="7">
        <f>IFERROR(LARGE($H$3:$H$15,1),"")</f>
        <v>46</v>
      </c>
      <c r="AJ3" s="7" t="str">
        <f>IF(Data_Summary!Y3&lt;&gt;"Coverage","",IF(Data_Summary!AA3="","",IF(COUNTIFS(Data_Summary!$Y$2:$Y3,"Coverage",Data_Summary!$AA$2:$AA3,Data_Summary!AA3)=1,Data_Summary!AA3,"")))</f>
        <v/>
      </c>
      <c r="AK3" s="7" t="str">
        <f>IF(AJ3="","",COUNTIFS(Data_Summary!$Y$2:$Y$5002,"Coverage",Data_Summary!$AA$2:$AA$5002,AJ3))</f>
        <v/>
      </c>
    </row>
    <row r="4" spans="1:40" ht="25.5">
      <c r="A4" s="16" t="s">
        <v>956</v>
      </c>
      <c r="B4" s="17">
        <f>COUNTIF(RawData[Status],"Open")</f>
        <v>15</v>
      </c>
      <c r="D4" s="18"/>
      <c r="E4" s="18"/>
      <c r="G4" s="18" t="s">
        <v>107</v>
      </c>
      <c r="H4" s="21">
        <f>COUNTIF(RawData[Engagement Type],G4)</f>
        <v>37</v>
      </c>
      <c r="J4" s="18" t="s">
        <v>241</v>
      </c>
      <c r="K4" s="18">
        <f>COUNTIFS(RawData[Service Line],J4,RawData[Severity],"High")</f>
        <v>1</v>
      </c>
      <c r="L4" s="18">
        <f>COUNTIFS(RawData[Service Line],J4,RawData[Severity],"Moderate")</f>
        <v>2</v>
      </c>
      <c r="M4" s="18">
        <f>COUNTIFS(RawData[Service Line],J4,RawData[Severity],"Low")</f>
        <v>1</v>
      </c>
      <c r="N4" s="18">
        <f>SUM(K4:M4)</f>
        <v>4</v>
      </c>
      <c r="Q4" s="137" t="str">
        <f t="array" aca="1" ref="Q4" ca="1">IFERROR(INDEX($AJ$2:$AJ$599,MATCH(1,($AK$2:$AK$599=R4)*(COUNTIF($Q$3:$Q3,$AJ$2:$AJ$599)=0)*($AJ$2:$AJ$599&lt;&gt;""),0)),"")</f>
        <v>Upskilling &amp; Deployment Readiness</v>
      </c>
      <c r="R4" s="133">
        <f>IFERROR(LARGE($AK$2:$AK$599,2),"")</f>
        <v>15</v>
      </c>
      <c r="S4" s="131">
        <f t="shared" ca="1" si="0"/>
        <v>8.6614173228346497E-2</v>
      </c>
      <c r="T4" s="132" t="str">
        <f t="array" aca="1" ref="T4" ca="1">IF(Q4="","",IFERROR(INDEX(SummaryData[Engagement Type],MATCH(TRIM(Q4),TRIM(SummaryData[Statement]),0)),""))</f>
        <v>Large Connect</v>
      </c>
      <c r="W4" s="18" t="s">
        <v>329</v>
      </c>
      <c r="X4" s="18">
        <f>SUMPRODUCT((TRIM(RawData[Alignment])=TRIM(W4))*1)</f>
        <v>22</v>
      </c>
      <c r="AA4" s="7" t="str">
        <f t="array" aca="1" ref="AA4" ca="1">IFERROR(INDEX($AM$2:$AM$199,MATCH(1,($AN$2:$AN$199=AB4)*(COUNTIF($AA$3:$AA3,$AM$2:$AM$199)=0)*($AM$2:$AM$199&lt;&gt;""),0)),"")</f>
        <v>HR Connect (Project-Wise)</v>
      </c>
      <c r="AB4" s="7">
        <f>IFERROR(LARGE($AN$2:$AN$199,2),"")</f>
        <v>8</v>
      </c>
      <c r="AD4" s="7" t="str">
        <f ca="1">IF(Calc!Q4="","",Calc!Q4)</f>
        <v>Upskilling &amp; Deployment Readiness</v>
      </c>
      <c r="AE4" s="7">
        <f ca="1">IF(Calc!Q4="","",Calc!R4)</f>
        <v>11</v>
      </c>
      <c r="AG4" s="7" t="str">
        <f t="array" aca="1" ref="AG4" ca="1">IFERROR(INDEX($G$3:$G$15,MATCH(1,(($H$3:$H$15)=AH4)*(COUNTIF($AG$3:$AG3,$G$3:$G$15)=0),0)),"")</f>
        <v>FGD</v>
      </c>
      <c r="AH4" s="7">
        <f>IFERROR(LARGE($H$3:$H$15,2),"")</f>
        <v>37</v>
      </c>
      <c r="AJ4" s="7" t="str">
        <f>IF(Data_Summary!Y5&lt;&gt;"Coverage","",IF(Data_Summary!AA5="","",IF(COUNTIFS(Data_Summary!$Y$2:$Y5,"Coverage",Data_Summary!$AA$2:$AA5,Data_Summary!AA5)=1,Data_Summary!AA5,"")))</f>
        <v>Business &amp; Practice Awareness</v>
      </c>
      <c r="AK4" s="7">
        <f>IF(AJ4="","",COUNTIFS(Data_Summary!$Y$2:$Y$5002,"Coverage",Data_Summary!$AA$2:$AA$5002,AJ4))</f>
        <v>7</v>
      </c>
    </row>
    <row r="5" spans="1:40" ht="25.5">
      <c r="A5" s="16" t="s">
        <v>957</v>
      </c>
      <c r="B5" s="17">
        <f>COUNTIF(RawData[Status],"In-progress")</f>
        <v>26</v>
      </c>
      <c r="D5" s="18"/>
      <c r="E5" s="18"/>
      <c r="G5" s="18" t="s">
        <v>195</v>
      </c>
      <c r="H5" s="21">
        <f>COUNTIF(RawData[Engagement Type],G5)</f>
        <v>30</v>
      </c>
      <c r="J5" s="18" t="s">
        <v>427</v>
      </c>
      <c r="K5" s="18">
        <f>COUNTIFS(RawData[Service Line],J5,RawData[Severity],"High")</f>
        <v>2</v>
      </c>
      <c r="L5" s="18">
        <f>COUNTIFS(RawData[Service Line],J5,RawData[Severity],"Moderate")</f>
        <v>0</v>
      </c>
      <c r="M5" s="18">
        <f>COUNTIFS(RawData[Service Line],J5,RawData[Severity],"Low")</f>
        <v>2</v>
      </c>
      <c r="N5" s="18">
        <f>SUM(K5:M5)</f>
        <v>4</v>
      </c>
      <c r="Q5" s="137" t="str">
        <f t="array" aca="1" ref="Q5" ca="1">IFERROR(INDEX($AJ$2:$AJ$599,MATCH(1,($AK$2:$AK$599=R5)*(COUNTIF($Q$3:$Q4,$AJ$2:$AJ$599)=0)*($AJ$2:$AJ$599&lt;&gt;""),0)),"")</f>
        <v>Initial Organization Understanding</v>
      </c>
      <c r="R5" s="133">
        <f>IFERROR(LARGE($AK$2:$AK$599,3),"")</f>
        <v>13</v>
      </c>
      <c r="S5" s="131">
        <f t="shared" ca="1" si="0"/>
        <v>7.8740157480315001E-2</v>
      </c>
      <c r="T5" s="132" t="str">
        <f t="array" aca="1" ref="T5" ca="1">IF(Q5="","",IFERROR(INDEX(SummaryData[Engagement Type],MATCH(TRIM(Q5),TRIM(SummaryData[Statement]),0)),""))</f>
        <v>1:1</v>
      </c>
      <c r="W5" s="18" t="s">
        <v>199</v>
      </c>
      <c r="X5" s="18">
        <f>SUMPRODUCT((TRIM(RawData[Alignment])=TRIM(W5))*1)</f>
        <v>16</v>
      </c>
      <c r="AA5" s="7" t="str">
        <f t="array" aca="1" ref="AA5" ca="1">IFERROR(INDEX($AM$2:$AM$199,MATCH(1,($AN$2:$AN$199=AB5)*(COUNTIF($AA$3:$AA4,$AM$2:$AM$199)=0)*($AM$2:$AM$199&lt;&gt;""),0)),"")</f>
        <v>New Joinee Connect (7 Days)</v>
      </c>
      <c r="AB5" s="7">
        <f>IFERROR(LARGE($AN$2:$AN$199,3),"")</f>
        <v>8</v>
      </c>
      <c r="AD5" s="7" t="str">
        <f ca="1">IF(Calc!Q5="","",Calc!Q5)</f>
        <v>Initial Organization Understanding</v>
      </c>
      <c r="AE5" s="7">
        <f ca="1">IF(Calc!Q5="","",Calc!R5)</f>
        <v>10</v>
      </c>
      <c r="AG5" s="7" t="str">
        <f t="array" aca="1" ref="AG5" ca="1">IFERROR(INDEX($G$3:$G$15,MATCH(1,(($H$3:$H$15)=AH5)*(COUNTIF($AG$3:$AG4,$G$3:$G$15)=0),0)),"")</f>
        <v>1:1</v>
      </c>
      <c r="AH5" s="7">
        <f>IFERROR(LARGE($H$3:$H$15,3),"")</f>
        <v>30</v>
      </c>
      <c r="AJ5" s="7" t="str">
        <f>IF(Data_Summary!Y6&lt;&gt;"Coverage","",IF(Data_Summary!AA6="","",IF(COUNTIFS(Data_Summary!$Y$2:$Y6,"Coverage",Data_Summary!$AA$2:$AA6,Data_Summary!AA6)=1,Data_Summary!AA6,"")))</f>
        <v/>
      </c>
      <c r="AK5" s="7" t="str">
        <f>IF(AJ5="","",COUNTIFS(Data_Summary!$Y$2:$Y$5002,"Coverage",Data_Summary!$AA$2:$AA$5002,AJ5))</f>
        <v/>
      </c>
    </row>
    <row r="6" spans="1:40" ht="15" customHeight="1">
      <c r="A6" s="16" t="s">
        <v>958</v>
      </c>
      <c r="B6" s="17">
        <f>COUNTIF(RawData[Status],"Closed")</f>
        <v>124</v>
      </c>
      <c r="D6" s="18"/>
      <c r="E6" s="18"/>
      <c r="G6" s="18" t="s">
        <v>122</v>
      </c>
      <c r="H6" s="21">
        <f>COUNTIF(RawData[Engagement Type],G6)</f>
        <v>22</v>
      </c>
      <c r="Q6" s="137" t="str">
        <f t="array" aca="1" ref="Q6" ca="1">IFERROR(INDEX($AJ$2:$AJ$599,MATCH(1,($AK$2:$AK$599=R6)*(COUNTIF($Q$3:$Q5,$AJ$2:$AJ$599)=0)*($AJ$2:$AJ$599&lt;&gt;""),0)),"")</f>
        <v>HR Process Clarity</v>
      </c>
      <c r="R6" s="133">
        <f>IFERROR(LARGE($AK$2:$AK$599,4),"")</f>
        <v>11</v>
      </c>
      <c r="S6" s="131">
        <f t="shared" ca="1" si="0"/>
        <v>7.8740157480315001E-2</v>
      </c>
      <c r="T6" s="132" t="str">
        <f t="array" aca="1" ref="T6" ca="1">IF(Q6="","",IFERROR(INDEX(SummaryData[Engagement Type],MATCH(TRIM(Q6),TRIM(SummaryData[Statement]),0)),""))</f>
        <v>New Joiner Induction</v>
      </c>
      <c r="W6" s="18" t="s">
        <v>146</v>
      </c>
      <c r="X6" s="18">
        <f>SUMPRODUCT((TRIM(RawData[Alignment])=TRIM(W6))*1)</f>
        <v>9</v>
      </c>
      <c r="AA6" s="7" t="str">
        <f t="array" aca="1" ref="AA6" ca="1">IFERROR(INDEX($AM$2:$AM$199,MATCH(1,($AN$2:$AN$199=AB6)*(COUNTIF($AA$3:$AA5,$AM$2:$AM$199)=0)*($AM$2:$AM$199&lt;&gt;""),0)),"")</f>
        <v>Business Wait Connect</v>
      </c>
      <c r="AB6" s="7">
        <f>IFERROR(LARGE($AN$2:$AN$199,4),"")</f>
        <v>4</v>
      </c>
      <c r="AD6" s="7" t="str">
        <f ca="1">IF(Calc!Q6="","",Calc!Q6)</f>
        <v>HR Process Clarity</v>
      </c>
      <c r="AE6" s="7">
        <f ca="1">IF(Calc!Q6="","",Calc!R6)</f>
        <v>10</v>
      </c>
      <c r="AG6" s="7" t="str">
        <f t="array" aca="1" ref="AG6" ca="1">IFERROR(INDEX($G$3:$G$15,MATCH(1,(($H$3:$H$15)=AH6)*(COUNTIF($AG$3:$AG5,$G$3:$G$15)=0),0)),"")</f>
        <v>Floor Connect</v>
      </c>
      <c r="AH6" s="7">
        <f>IFERROR(LARGE($H$3:$H$15,4),"")</f>
        <v>22</v>
      </c>
      <c r="AJ6" s="7" t="str">
        <f>IF(Data_Summary!Y7&lt;&gt;"Coverage","",IF(Data_Summary!AA7="","",IF(COUNTIFS(Data_Summary!$Y$2:$Y7,"Coverage",Data_Summary!$AA$2:$AA7,Data_Summary!AA7)=1,Data_Summary!AA7,"")))</f>
        <v/>
      </c>
      <c r="AK6" s="7" t="str">
        <f>IF(AJ6="","",COUNTIFS(Data_Summary!$Y$2:$Y$5002,"Coverage",Data_Summary!$AA$2:$AA$5002,AJ6))</f>
        <v/>
      </c>
    </row>
    <row r="7" spans="1:40" ht="15" customHeight="1">
      <c r="A7" s="16" t="s">
        <v>959</v>
      </c>
      <c r="B7" s="17">
        <f>COUNTIF(RawData[Severity],"High")</f>
        <v>33</v>
      </c>
      <c r="D7" s="18"/>
      <c r="E7" s="18"/>
      <c r="G7" s="18" t="s">
        <v>160</v>
      </c>
      <c r="H7" s="21">
        <f>COUNTIF(RawData[Engagement Type],G7)</f>
        <v>10</v>
      </c>
      <c r="Q7" s="137" t="str">
        <f t="array" aca="1" ref="Q7" ca="1">IFERROR(INDEX($AJ$2:$AJ$599,MATCH(1,($AK$2:$AK$599=R7)*(COUNTIF($Q$3:$Q6,$AJ$2:$AJ$599)=0)*($AJ$2:$AJ$599&lt;&gt;""),0)),"")</f>
        <v>Policy &amp; Process Clarity</v>
      </c>
      <c r="R7" s="133">
        <f>IFERROR(LARGE($AK$2:$AK$599,5),"")</f>
        <v>11</v>
      </c>
      <c r="S7" s="131">
        <f t="shared" ca="1" si="0"/>
        <v>7.0866141732283505E-2</v>
      </c>
      <c r="T7" s="132" t="str">
        <f t="array" aca="1" ref="T7" ca="1">IF(Q7="","",IFERROR(INDEX(SummaryData[Engagement Type],MATCH(TRIM(Q7),TRIM(SummaryData[Statement]),0)),""))</f>
        <v>FGD</v>
      </c>
      <c r="W7" s="18" t="s">
        <v>110</v>
      </c>
      <c r="X7" s="18">
        <f>SUMPRODUCT((TRIM(RawData[Alignment])=TRIM(W7))*1)</f>
        <v>6</v>
      </c>
      <c r="AA7" s="7" t="str">
        <f t="array" aca="1" ref="AA7" ca="1">IFERROR(INDEX($AM$2:$AM$199,MATCH(1,($AN$2:$AN$199=AB7)*(COUNTIF($AA$3:$AA6,$AM$2:$AM$199)=0)*($AM$2:$AM$199&lt;&gt;""),0)),"")</f>
        <v>SL Induction</v>
      </c>
      <c r="AB7" s="7">
        <f>IFERROR(LARGE($AN$2:$AN$199,5),"")</f>
        <v>4</v>
      </c>
      <c r="AD7" s="7" t="str">
        <f ca="1">IF(Calc!Q7="","",Calc!Q7)</f>
        <v>Policy &amp; Process Clarity</v>
      </c>
      <c r="AE7" s="7">
        <f ca="1">IF(Calc!Q7="","",Calc!R7)</f>
        <v>9</v>
      </c>
      <c r="AG7" s="7" t="str">
        <f t="array" aca="1" ref="AG7" ca="1">IFERROR(INDEX($G$3:$G$15,MATCH(1,(($H$3:$H$15)=AH7)*(COUNTIF($AG$3:$AG6,$G$3:$G$15)=0),0)),"")</f>
        <v>Location-Offshore</v>
      </c>
      <c r="AH7" s="7">
        <f>IFERROR(LARGE($H$3:$H$15,5),"")</f>
        <v>10</v>
      </c>
      <c r="AJ7" s="7" t="str">
        <f>IF(Data_Summary!Y8&lt;&gt;"Coverage","",IF(Data_Summary!AA8="","",IF(COUNTIFS(Data_Summary!$Y$2:$Y8,"Coverage",Data_Summary!$AA$2:$AA8,Data_Summary!AA8)=1,Data_Summary!AA8,"")))</f>
        <v>Policy &amp; Process Clarity</v>
      </c>
      <c r="AK7" s="7">
        <f>IF(AJ7="","",COUNTIFS(Data_Summary!$Y$2:$Y$5002,"Coverage",Data_Summary!$AA$2:$AA$5002,AJ7))</f>
        <v>13</v>
      </c>
    </row>
    <row r="8" spans="1:40" ht="15" customHeight="1">
      <c r="A8" s="16" t="s">
        <v>960</v>
      </c>
      <c r="B8" s="17">
        <f>COUNTIF(RawData[Severity],"Moderate")</f>
        <v>74</v>
      </c>
      <c r="D8" s="18"/>
      <c r="E8" s="18"/>
      <c r="G8" s="18" t="s">
        <v>173</v>
      </c>
      <c r="H8" s="21">
        <f>COUNTIF(RawData[Engagement Type],G8)</f>
        <v>3</v>
      </c>
      <c r="Q8" s="137" t="str">
        <f t="array" aca="1" ref="Q8" ca="1">IFERROR(INDEX($AJ$2:$AJ$599,MATCH(1,($AK$2:$AK$599=R8)*(COUNTIF($Q$3:$Q7,$AJ$2:$AJ$599)=0)*($AJ$2:$AJ$599&lt;&gt;""),0)),"")</f>
        <v>On Hybrid/WFO Rules And Monthly Compliance Expectations</v>
      </c>
      <c r="R8" s="133">
        <f>IFERROR(LARGE($AK$2:$AK$599,6),"")</f>
        <v>11</v>
      </c>
      <c r="S8" s="131">
        <f t="shared" ca="1" si="0"/>
        <v>7.0866141732283505E-2</v>
      </c>
      <c r="T8" s="132" t="str">
        <f t="array" aca="1" ref="T8" ca="1">IF(Q8="","",IFERROR(INDEX(SummaryData[Engagement Type],MATCH(TRIM(Q8),TRIM(SummaryData[Statement]),0)),""))</f>
        <v>Large Connect</v>
      </c>
      <c r="W8" s="18" t="s">
        <v>321</v>
      </c>
      <c r="X8" s="18">
        <f>SUMPRODUCT((TRIM(RawData[Alignment])=TRIM(W8))*1)</f>
        <v>4</v>
      </c>
      <c r="AA8" s="7" t="str">
        <f t="array" aca="1" ref="AA8" ca="1">IFERROR(INDEX($AM$2:$AM$199,MATCH(1,($AN$2:$AN$199=AB8)*(COUNTIF($AA$3:$AA7,$AM$2:$AM$199)=0)*($AM$2:$AM$199&lt;&gt;""),0)),"")</f>
        <v>Leadership Connect</v>
      </c>
      <c r="AB8" s="7">
        <f>IFERROR(LARGE($AN$2:$AN$199,6),"")</f>
        <v>4</v>
      </c>
      <c r="AD8" s="7" t="str">
        <f ca="1">IF(Calc!Q8="","",Calc!Q8)</f>
        <v>On Hybrid/WFO Rules And Monthly Compliance Expectations</v>
      </c>
      <c r="AE8" s="7">
        <f ca="1">IF(Calc!Q8="","",Calc!R8)</f>
        <v>9</v>
      </c>
      <c r="AG8" s="7" t="str">
        <f t="array" aca="1" ref="AG8" ca="1">IFERROR(INDEX($G$3:$G$15,MATCH(1,(($H$3:$H$15)=AH8)*(COUNTIF($AG$3:$AG7,$G$3:$G$15)=0),0)),"")</f>
        <v>Workshop/Session</v>
      </c>
      <c r="AH8" s="7">
        <f>IFERROR(LARGE($H$3:$H$15,6),"")</f>
        <v>6</v>
      </c>
      <c r="AJ8" s="7" t="str">
        <f>IF(Data_Summary!Y9&lt;&gt;"Coverage","",IF(Data_Summary!AA9="","",IF(COUNTIFS(Data_Summary!$Y$2:$Y9,"Coverage",Data_Summary!$AA$2:$AA9,Data_Summary!AA9)=1,Data_Summary!AA9,"")))</f>
        <v>Manager Support &amp; Local Leadership Effectiveness</v>
      </c>
      <c r="AK8" s="7">
        <f>IF(AJ8="","",COUNTIFS(Data_Summary!$Y$2:$Y$5002,"Coverage",Data_Summary!$AA$2:$AA$5002,AJ8))</f>
        <v>5</v>
      </c>
    </row>
    <row r="9" spans="1:40" ht="15" customHeight="1">
      <c r="A9" s="16" t="s">
        <v>961</v>
      </c>
      <c r="B9" s="17">
        <f>COUNTIF(RawData[Severity],"Low")</f>
        <v>58</v>
      </c>
      <c r="D9" s="22"/>
      <c r="E9" s="18"/>
      <c r="G9" s="18" t="s">
        <v>417</v>
      </c>
      <c r="H9" s="21">
        <f>COUNTIF(RawData[Engagement Type],G9)</f>
        <v>1</v>
      </c>
      <c r="Q9" s="137" t="str">
        <f t="array" aca="1" ref="Q9" ca="1">IFERROR(INDEX($AJ$2:$AJ$599,MATCH(1,($AK$2:$AK$599=R9)*(COUNTIF($Q$3:$Q8,$AJ$2:$AJ$599)=0)*($AJ$2:$AJ$599&lt;&gt;""),0)),"")</f>
        <v>Organization Policy Updates</v>
      </c>
      <c r="R9" s="133">
        <f>IFERROR(LARGE($AK$2:$AK$599,7),"")</f>
        <v>11</v>
      </c>
      <c r="S9" s="131">
        <f t="shared" ca="1" si="0"/>
        <v>7.0866141732283505E-2</v>
      </c>
      <c r="T9" s="132" t="str">
        <f t="array" aca="1" ref="T9" ca="1">IF(Q9="","",IFERROR(INDEX(SummaryData[Engagement Type],MATCH(TRIM(Q9),TRIM(SummaryData[Statement]),0)),""))</f>
        <v>Large Connect</v>
      </c>
      <c r="W9" s="18" t="s">
        <v>139</v>
      </c>
      <c r="X9" s="18">
        <f>SUMPRODUCT((TRIM(RawData[Alignment])=TRIM(W9))*1)</f>
        <v>7</v>
      </c>
      <c r="AA9" s="7" t="str">
        <f t="array" aca="1" ref="AA9" ca="1">IFERROR(INDEX($AM$2:$AM$199,MATCH(1,($AN$2:$AN$199=AB9)*(COUNTIF($AA$3:$AA8,$AM$2:$AM$199)=0)*($AM$2:$AM$199&lt;&gt;""),0)),"")</f>
        <v>New Joiner Connect (30 Days)</v>
      </c>
      <c r="AB9" s="7">
        <f>IFERROR(LARGE($AN$2:$AN$199,7),"")</f>
        <v>3</v>
      </c>
      <c r="AD9" s="7" t="str">
        <f ca="1">IF(Calc!Q9="","",Calc!Q9)</f>
        <v>Organization Policy Updates</v>
      </c>
      <c r="AE9" s="7">
        <f ca="1">IF(Calc!Q9="","",Calc!R9)</f>
        <v>9</v>
      </c>
      <c r="AG9" s="7" t="str">
        <f t="array" aca="1" ref="AG9" ca="1">IFERROR(INDEX($G$3:$G$15,MATCH(1,(($H$3:$H$15)=AH9)*(COUNTIF($AG$3:$AG8,$G$3:$G$15)=0),0)),"")</f>
        <v>Location-Mixed</v>
      </c>
      <c r="AH9" s="7">
        <f>IFERROR(LARGE($H$3:$H$15,7),"")</f>
        <v>3</v>
      </c>
      <c r="AJ9" s="7" t="str">
        <f>IF(Data_Summary!Y10&lt;&gt;"Coverage","",IF(Data_Summary!AA10="","",IF(COUNTIFS(Data_Summary!$Y$2:$Y10,"Coverage",Data_Summary!$AA$2:$AA10,Data_Summary!AA10)=1,Data_Summary!AA10,"")))</f>
        <v>Recognition &amp; Engagement within Project</v>
      </c>
      <c r="AK9" s="7">
        <f>IF(AJ9="","",COUNTIFS(Data_Summary!$Y$2:$Y$5002,"Coverage",Data_Summary!$AA$2:$AA$5002,AJ9))</f>
        <v>3</v>
      </c>
    </row>
    <row r="10" spans="1:40" ht="15" customHeight="1">
      <c r="A10" s="16" t="s">
        <v>962</v>
      </c>
      <c r="B10" s="17">
        <f>COUNTIF(RawData[Overall Sentiment],"Positive")</f>
        <v>102</v>
      </c>
      <c r="D10" s="18"/>
      <c r="E10" s="18"/>
      <c r="G10" s="18" t="s">
        <v>436</v>
      </c>
      <c r="H10" s="21">
        <f>COUNTIF(RawData[Engagement Type],G10)</f>
        <v>6</v>
      </c>
      <c r="Q10" s="137" t="str">
        <f t="array" aca="1" ref="Q10" ca="1">IFERROR(INDEX($AJ$2:$AJ$599,MATCH(1,($AK$2:$AK$599=R10)*(COUNTIF($Q$3:$Q9,$AJ$2:$AJ$599)=0)*($AJ$2:$AJ$599&lt;&gt;""),0)),"")</f>
        <v>Queries On Timesheet/attendance Compliance During Bench</v>
      </c>
      <c r="R10" s="133">
        <f>IFERROR(LARGE($AK$2:$AK$599,8),"")</f>
        <v>10</v>
      </c>
      <c r="S10" s="131">
        <f t="shared" ca="1" si="0"/>
        <v>6.2992125984251995E-2</v>
      </c>
      <c r="T10" s="132" t="str">
        <f t="array" aca="1" ref="T10" ca="1">IF(Q10="","",IFERROR(INDEX(SummaryData[Engagement Type],MATCH(TRIM(Q10),TRIM(SummaryData[Statement]),0)),""))</f>
        <v>Floor Connect</v>
      </c>
      <c r="W10" s="18" t="s">
        <v>302</v>
      </c>
      <c r="X10" s="18">
        <f t="array" ref="X10">SUMPRODUCT((TRIM(RawData[Alignment])=TRIM(W10))*1)</f>
        <v>8</v>
      </c>
      <c r="AA10" s="7" t="str">
        <f t="array" aca="1" ref="AA10" ca="1">IFERROR(INDEX($AM$2:$AM$199,MATCH(1,($AN$2:$AN$199=AB10)*(COUNTIF($AA$3:$AA9,$AM$2:$AM$199)=0)*($AM$2:$AM$199&lt;&gt;""),0)),"")</f>
        <v>New Joiner Connect (60 Days)</v>
      </c>
      <c r="AB10" s="7">
        <f>IFERROR(LARGE($AN$2:$AN$199,8),"")</f>
        <v>3</v>
      </c>
      <c r="AD10" s="7" t="str">
        <f ca="1">IF(Calc!Q10="","",Calc!Q10)</f>
        <v>Queries On Timesheet/attendance Compliance During Bench</v>
      </c>
      <c r="AE10" s="7">
        <f ca="1">IF(Calc!Q10="","",Calc!R10)</f>
        <v>8</v>
      </c>
      <c r="AG10" s="7" t="str">
        <f t="array" aca="1" ref="AG10" ca="1">IFERROR(INDEX($G$3:$G$15,MATCH(1,(($H$3:$H$15)=AH10)*(COUNTIF($AG$3:$AG9,$G$3:$G$15)=0),0)),"")</f>
        <v>Leadership Connect</v>
      </c>
      <c r="AH10" s="7">
        <f>IFERROR(LARGE($H$3:$H$15,8),"")</f>
        <v>2</v>
      </c>
      <c r="AJ10" s="7" t="str">
        <f>IF(Data_Summary!Y11&lt;&gt;"Coverage","",IF(Data_Summary!AA11="","",IF(COUNTIFS(Data_Summary!$Y$2:$Y11,"Coverage",Data_Summary!$AA$2:$AA11,Data_Summary!AA11)=1,Data_Summary!AA11,"")))</f>
        <v/>
      </c>
      <c r="AK10" s="7" t="str">
        <f>IF(AJ10="","",COUNTIFS(Data_Summary!$Y$2:$Y$5002,"Coverage",Data_Summary!$AA$2:$AA$5002,AJ10))</f>
        <v/>
      </c>
    </row>
    <row r="11" spans="1:40" ht="28.5" customHeight="1">
      <c r="A11" s="16" t="s">
        <v>963</v>
      </c>
      <c r="B11" s="17">
        <f>COUNTIF(RawData[Overall Sentiment],"Mixed")</f>
        <v>11</v>
      </c>
      <c r="D11" s="18"/>
      <c r="E11" s="18"/>
      <c r="G11" s="18" t="s">
        <v>964</v>
      </c>
      <c r="H11" s="21">
        <f>COUNTIF(RawData[Engagement Type],G11)</f>
        <v>1</v>
      </c>
      <c r="Q11" s="137" t="str">
        <f t="array" aca="1" ref="Q11" ca="1">IFERROR(INDEX($AJ$2:$AJ$599,MATCH(1,($AK$2:$AK$599=R11)*(COUNTIF($Q$3:$Q10,$AJ$2:$AJ$599)=0)*($AJ$2:$AJ$599&lt;&gt;""),0)),"")</f>
        <v>Induction Effectiveness</v>
      </c>
      <c r="R11" s="133">
        <f>IFERROR(LARGE($AK$2:$AK$599,9),"")</f>
        <v>10</v>
      </c>
      <c r="S11" s="131">
        <f t="shared" ca="1" si="0"/>
        <v>6.2992125984251995E-2</v>
      </c>
      <c r="T11" s="132" t="str">
        <f t="array" aca="1" ref="T11" ca="1">IF(Q11="","",IFERROR(INDEX(SummaryData[Engagement Type],MATCH(TRIM(Q11),TRIM(SummaryData[Statement]),0)),""))</f>
        <v>Induction</v>
      </c>
      <c r="W11" s="18" t="s">
        <v>164</v>
      </c>
      <c r="X11" s="18">
        <f t="array" ref="X11">SUMPRODUCT((TRIM(RawData[Empowerment])=TRIM(W11))*1)</f>
        <v>3</v>
      </c>
      <c r="AA11" s="7" t="str">
        <f t="array" aca="1" ref="AA11" ca="1">IFERROR(INDEX($AM$2:$AM$199,MATCH(1,($AN$2:$AN$199=AB11)*(COUNTIF($AA$3:$AA10,$AM$2:$AM$199)=0)*($AM$2:$AM$199&lt;&gt;""),0)),"")</f>
        <v>LSA Connect</v>
      </c>
      <c r="AB11" s="7">
        <f>IFERROR(LARGE($AN$2:$AN$199,9),"")</f>
        <v>3</v>
      </c>
      <c r="AD11" s="7" t="str">
        <f ca="1">IF(Calc!Q11="","",Calc!Q11)</f>
        <v>Induction Effectiveness</v>
      </c>
      <c r="AE11" s="7">
        <f ca="1">IF(Calc!Q11="","",Calc!R11)</f>
        <v>8</v>
      </c>
      <c r="AG11" s="7" t="str">
        <f t="array" aca="1" ref="AG11" ca="1">IFERROR(INDEX($G$3:$G$15,MATCH(1,(($H$3:$H$15)=AH11)*(COUNTIF($AG$3:$AG10,$G$3:$G$15)=0),0)),"")</f>
        <v>Connect with Women Associates</v>
      </c>
      <c r="AH11" s="7">
        <f>IFERROR(LARGE($H$3:$H$15,9),"")</f>
        <v>1</v>
      </c>
      <c r="AJ11" s="7" t="str">
        <f>IF(Data_Summary!Y12&lt;&gt;"Coverage","",IF(Data_Summary!AA12="","",IF(COUNTIFS(Data_Summary!$Y$2:$Y12,"Coverage",Data_Summary!$AA$2:$AA12,Data_Summary!AA12)=1,Data_Summary!AA12,"")))</f>
        <v/>
      </c>
      <c r="AK11" s="7" t="str">
        <f>IF(AJ11="","",COUNTIFS(Data_Summary!$Y$2:$Y$5002,"Coverage",Data_Summary!$AA$2:$AA$5002,AJ11))</f>
        <v/>
      </c>
    </row>
    <row r="12" spans="1:40" ht="15" customHeight="1">
      <c r="A12" s="16" t="s">
        <v>965</v>
      </c>
      <c r="B12" s="17">
        <f>COUNTIF(RawData[Overall Sentiment],"Neutral")</f>
        <v>50</v>
      </c>
      <c r="D12" s="22"/>
      <c r="E12" s="18"/>
      <c r="G12" s="18" t="s">
        <v>582</v>
      </c>
      <c r="H12" s="21">
        <f>COUNTIF(RawData[Engagement Type],G12)</f>
        <v>1</v>
      </c>
      <c r="Q12" s="137" t="str">
        <f t="array" aca="1" ref="Q12" ca="1">IFERROR(INDEX($AJ$2:$AJ$599,MATCH(1,($AK$2:$AK$599=R12)*(COUNTIF($Q$3:$Q11,$AJ$2:$AJ$599)=0)*($AJ$2:$AJ$599&lt;&gt;""),0)),"")</f>
        <v>Business &amp; Practice Awareness</v>
      </c>
      <c r="R12" s="133">
        <f>IFERROR(LARGE($AK$2:$AK$599,10),"")</f>
        <v>9</v>
      </c>
      <c r="S12" s="131">
        <f t="shared" ca="1" si="0"/>
        <v>5.5118110236220499E-2</v>
      </c>
      <c r="T12" s="132" t="str">
        <f t="array" aca="1" ref="T12" ca="1">IF(Q12="","",IFERROR(INDEX(SummaryData[Engagement Type],MATCH(TRIM(Q12),TRIM(SummaryData[Statement]),0)),""))</f>
        <v>FGD</v>
      </c>
      <c r="W12" s="18" t="s">
        <v>177</v>
      </c>
      <c r="X12" s="18">
        <f t="array" ref="X12">SUMPRODUCT((TRIM(RawData[Career])=TRIM(W12))*1)</f>
        <v>19</v>
      </c>
      <c r="AA12" s="7" t="str">
        <f t="array" aca="1" ref="AA12" ca="1">IFERROR(INDEX($AM$2:$AM$199,MATCH(1,($AN$2:$AN$199=AB12)*(COUNTIF($AA$3:$AA11,$AM$2:$AM$199)=0)*($AM$2:$AM$199&lt;&gt;""),0)),"")</f>
        <v>Josh (Fun Engagements)</v>
      </c>
      <c r="AB12" s="7">
        <f>IFERROR(LARGE($AN$2:$AN$199,10),"")</f>
        <v>2</v>
      </c>
      <c r="AD12" s="7" t="str">
        <f ca="1">IF(Calc!Q12="","",Calc!Q12)</f>
        <v>Business &amp; Practice Awareness</v>
      </c>
      <c r="AE12" s="7">
        <f ca="1">IF(Calc!Q12="","",Calc!R12)</f>
        <v>7</v>
      </c>
      <c r="AG12" s="7" t="str">
        <f t="array" aca="1" ref="AG12" ca="1">IFERROR(INDEX($G$3:$G$15,MATCH(1,(($H$3:$H$15)=AH12)*(COUNTIF($AG$3:$AG11,$G$3:$G$15)=0),0)),"")</f>
        <v>Account Based</v>
      </c>
      <c r="AH12" s="7">
        <f>IFERROR(LARGE($H$3:$H$15,10),"")</f>
        <v>1</v>
      </c>
      <c r="AJ12" s="7" t="str">
        <f>IF(Data_Summary!Y13&lt;&gt;"Coverage","",IF(Data_Summary!AA13="","",IF(COUNTIFS(Data_Summary!$Y$2:$Y13,"Coverage",Data_Summary!$AA$2:$AA13,Data_Summary!AA13)=1,Data_Summary!AA13,"")))</f>
        <v/>
      </c>
      <c r="AK12" s="7" t="str">
        <f>IF(AJ12="","",COUNTIFS(Data_Summary!$Y$2:$Y$5002,"Coverage",Data_Summary!$AA$2:$AA$5002,AJ12))</f>
        <v/>
      </c>
      <c r="AM12" s="7" t="str">
        <f>IF(Data_Insight!X12="","",IF(COUNTIF(Data_Insight!$X$2:$X12,Data_Insight!X12)=1,Data_Insight!X12,""))</f>
        <v/>
      </c>
      <c r="AN12" s="7" t="str">
        <f>IF(AM12="","",COUNTIF(Data_Insight!$X$2:$X$5001,AM12))</f>
        <v/>
      </c>
    </row>
    <row r="13" spans="1:40" ht="15" customHeight="1">
      <c r="A13" s="16" t="s">
        <v>966</v>
      </c>
      <c r="B13" s="17">
        <f>IFERROR(COUNTIF(RawData[Status],"Closed")/COUNTA(RawData[ID])*100,0)</f>
        <v>75.151515151515142</v>
      </c>
      <c r="D13" s="22"/>
      <c r="E13" s="18"/>
      <c r="G13" s="18" t="s">
        <v>490</v>
      </c>
      <c r="H13" s="21">
        <f>COUNTIF(RawData[Engagement Type],G13)</f>
        <v>1</v>
      </c>
      <c r="Q13" s="137" t="str">
        <f t="array" aca="1" ref="Q13" ca="1">IFERROR(INDEX($AJ$2:$AJ$599,MATCH(1,($AK$2:$AK$599=R13)*(COUNTIF($Q$3:$Q12,$AJ$2:$AJ$599)=0)*($AJ$2:$AJ$599&lt;&gt;""),0)),"")</f>
        <v>Tool &amp; System Access</v>
      </c>
      <c r="R13" s="134">
        <f>IFERROR(LARGE($AK$2:$AK$599,11),"")</f>
        <v>9</v>
      </c>
      <c r="S13" s="131">
        <f t="shared" ca="1" si="0"/>
        <v>5.5118110236220499E-2</v>
      </c>
      <c r="T13" s="132" t="str">
        <f t="array" aca="1" ref="T13" ca="1">IF(Q13="","",IFERROR(INDEX(SummaryData[Engagement Type],MATCH(TRIM(Q13),TRIM(SummaryData[Statement]),0)),""))</f>
        <v>1:1</v>
      </c>
      <c r="W13" s="18" t="s">
        <v>967</v>
      </c>
      <c r="X13" s="18">
        <f t="array" ref="X13">SUMPRODUCT((TRIM(RawData[Career])=TRIM(W13))*1)</f>
        <v>0</v>
      </c>
      <c r="AA13" s="7" t="str">
        <f t="array" aca="1" ref="AA13" ca="1">IFERROR(INDEX($AM$2:$AM$199,MATCH(1,($AN$2:$AN$199=AB13)*(COUNTIF($AA$3:$AA12,$AM$2:$AM$199)=0)*($AM$2:$AM$199&lt;&gt;""),0)),"")</f>
        <v>Townhall</v>
      </c>
      <c r="AB13" s="7">
        <f>IFERROR(LARGE($AN$2:$AN$199,11),"")</f>
        <v>2</v>
      </c>
      <c r="AG13" s="7" t="str">
        <f t="array" aca="1" ref="AG13" ca="1">IFERROR(INDEX($G$3:$G$15,MATCH(1,(($H$3:$H$15)=AH13)*(COUNTIF($AG$3:$AG12,$G$3:$G$15)=0),0)),"")</f>
        <v>Induction</v>
      </c>
      <c r="AH13" s="7">
        <f>IFERROR(LARGE($H$3:$H$15,11),"")</f>
        <v>1</v>
      </c>
      <c r="AJ13" s="7" t="str">
        <f>IF(Data_Summary!Y14&lt;&gt;"Coverage","",IF(Data_Summary!AA14="","",IF(COUNTIFS(Data_Summary!$Y$2:$Y14,"Coverage",Data_Summary!$AA$2:$AA14,Data_Summary!AA14)=1,Data_Summary!AA14,"")))</f>
        <v>Collaboration &amp; Team Bonding</v>
      </c>
      <c r="AK13" s="7">
        <f>IF(AJ13="","",COUNTIFS(Data_Summary!$Y$2:$Y$5002,"Coverage",Data_Summary!$AA$2:$AA$5002,AJ13))</f>
        <v>2</v>
      </c>
      <c r="AM13" s="7" t="str">
        <f>IF(Data_Insight!X13="","",IF(COUNTIF(Data_Insight!$X$2:$X13,Data_Insight!X13)=1,Data_Insight!X13,""))</f>
        <v/>
      </c>
      <c r="AN13" s="7" t="str">
        <f>IF(AM13="","",COUNTIF(Data_Insight!$X$2:$X$5001,AM13))</f>
        <v/>
      </c>
    </row>
    <row r="14" spans="1:40" ht="15" customHeight="1">
      <c r="A14" s="16" t="s">
        <v>968</v>
      </c>
      <c r="B14" s="17">
        <f>IFERROR((COUNTIF(RawData[Overall Sentiment],"Positive")*100+COUNTIF(RawData[Overall Sentiment],"Neutral")*50+COUNTIF(RawData[Overall Sentiment],"Mixed")*25)/COUNTA(RawData[ID]),0)</f>
        <v>78.63636363636364</v>
      </c>
      <c r="D14" s="22"/>
      <c r="E14" s="18"/>
      <c r="G14" s="18" t="s">
        <v>190</v>
      </c>
      <c r="H14" s="21">
        <f>COUNTIF(RawData[Engagement Type],G14)</f>
        <v>2</v>
      </c>
      <c r="Q14" s="137" t="str">
        <f t="array" aca="1" ref="Q14" ca="1">IFERROR(INDEX($AJ$2:$AJ$599,MATCH(1,($AK$2:$AK$599=R14)*(COUNTIF($Q$3:$Q13,$AJ$2:$AJ$599)=0)*($AJ$2:$AJ$599&lt;&gt;""),0)),"")</f>
        <v>Allocation Visibility &amp; Process</v>
      </c>
      <c r="R14" s="133">
        <f>IFERROR(LARGE($AK$2:$AK$599,12),"")</f>
        <v>8</v>
      </c>
      <c r="S14" s="131">
        <f t="shared" ca="1" si="0"/>
        <v>5.5118110236220499E-2</v>
      </c>
      <c r="T14" s="132" t="str">
        <f t="array" aca="1" ref="T14" ca="1">IF(Q14="","",IFERROR(INDEX(SummaryData[Engagement Type],MATCH(TRIM(Q14),TRIM(SummaryData[Statement]),0)),""))</f>
        <v>Large Connect</v>
      </c>
      <c r="W14" s="18" t="s">
        <v>969</v>
      </c>
      <c r="X14" s="18">
        <f t="array" ref="X14">SUMPRODUCT((TRIM(RawData[Career])=TRIM(W14))*1)</f>
        <v>0</v>
      </c>
      <c r="AA14" s="7" t="str">
        <f t="array" aca="1" ref="AA14" ca="1">IFERROR(INDEX($AM$2:$AM$199,MATCH(1,($AN$2:$AN$199=AB14)*(COUNTIF($AA$3:$AA13,$AM$2:$AM$199)=0)*($AM$2:$AM$199&lt;&gt;""),0)),"")</f>
        <v>New Joiner Connect (90 Days)</v>
      </c>
      <c r="AB14" s="7">
        <f>IFERROR(LARGE($AN$2:$AN$199,12),"")</f>
        <v>2</v>
      </c>
      <c r="AG14" s="7" t="str">
        <f t="array" aca="1" ref="AG14" ca="1">IFERROR(INDEX($G$3:$G$15,MATCH(1,(($H$3:$H$15)=AH14)*(COUNTIF($AG$3:$AG13,$G$3:$G$15)=0),0)),"")</f>
        <v>New Joiner Induction</v>
      </c>
      <c r="AH14" s="7">
        <f>IFERROR(LARGE($H$3:$H$15,12),"")</f>
        <v>1</v>
      </c>
      <c r="AJ14" s="7" t="str">
        <f>IF(Data_Summary!Y15&lt;&gt;"Coverage","",IF(Data_Summary!AA15="","",IF(COUNTIFS(Data_Summary!$Y$2:$Y15,"Coverage",Data_Summary!$AA$2:$AA15,Data_Summary!AA15)=1,Data_Summary!AA15,"")))</f>
        <v>New Joiners Connect Better</v>
      </c>
      <c r="AK14" s="7">
        <f>IF(AJ14="","",COUNTIFS(Data_Summary!$Y$2:$Y$5002,"Coverage",Data_Summary!$AA$2:$AA$5002,AJ14))</f>
        <v>1</v>
      </c>
      <c r="AM14" s="7" t="str">
        <f>IF(Data_Insight!X14="","",IF(COUNTIF(Data_Insight!$X$2:$X14,Data_Insight!X14)=1,Data_Insight!X14,""))</f>
        <v/>
      </c>
      <c r="AN14" s="7" t="str">
        <f>IF(AM14="","",COUNTIF(Data_Insight!$X$2:$X$5001,AM14))</f>
        <v/>
      </c>
    </row>
    <row r="15" spans="1:40" ht="15" customHeight="1">
      <c r="A15" s="16" t="s">
        <v>970</v>
      </c>
      <c r="B15" s="17">
        <f t="array" ref="B15">SUMPRODUCT((RawData[BHR Name]&lt;&gt;"")/COUNTIF(RawData[BHR Name],RawData[BHR Name]&amp;""))</f>
        <v>39.000000000000071</v>
      </c>
      <c r="G15" s="18" t="s">
        <v>654</v>
      </c>
      <c r="H15" s="21">
        <f>COUNTIF(RawData[Engagement Type],G15)</f>
        <v>1</v>
      </c>
      <c r="Q15" s="137" t="str">
        <f t="array" aca="1" ref="Q15" ca="1">IFERROR(INDEX($AJ$2:$AJ$599,MATCH(1,($AK$2:$AK$599=R15)*(COUNTIF($Q$3:$Q14,$AJ$2:$AJ$599)=0)*($AJ$2:$AJ$599&lt;&gt;""),0)),"")</f>
        <v>Rules On Working Without Formal Allocation/PID</v>
      </c>
      <c r="R15" s="133">
        <f>IFERROR(LARGE($AK$2:$AK$599,13),"")</f>
        <v>8</v>
      </c>
      <c r="S15" s="131">
        <f t="shared" ca="1" si="0"/>
        <v>5.5118110236220499E-2</v>
      </c>
      <c r="T15" s="132" t="str">
        <f t="array" aca="1" ref="T15" ca="1">IF(Q15="","",IFERROR(INDEX(SummaryData[Engagement Type],MATCH(TRIM(Q15),TRIM(SummaryData[Statement]),0)),""))</f>
        <v>Large Connect</v>
      </c>
      <c r="W15" s="18" t="s">
        <v>252</v>
      </c>
      <c r="X15" s="18">
        <f t="array" ref="X15">SUMPRODUCT((TRIM(RawData[Recognition])=TRIM(W15))*1)</f>
        <v>8</v>
      </c>
      <c r="AA15" s="7" t="str">
        <f t="array" aca="1" ref="AA15" ca="1">IFERROR(INDEX($AM$2:$AM$199,MATCH(1,($AN$2:$AN$199=AB15)*(COUNTIF($AA$3:$AA14,$AM$2:$AM$199)=0)*($AM$2:$AM$199&lt;&gt;""),0)),"")</f>
        <v>Women Associate Connect</v>
      </c>
      <c r="AB15" s="7">
        <f>IFERROR(LARGE($AN$2:$AN$199,13),"")</f>
        <v>1</v>
      </c>
      <c r="AG15" s="7" t="str">
        <f t="array" aca="1" ref="AG15" ca="1">IFERROR(INDEX($G$3:$G$15,MATCH(1,(($H$3:$H$15)=AH15)*(COUNTIF($AG$3:$AG14,$G$3:$G$15)=0),0)),"")</f>
        <v>Monthly Cadence</v>
      </c>
      <c r="AH15" s="7">
        <f>IFERROR(LARGE($H$3:$H$15,13),"")</f>
        <v>1</v>
      </c>
      <c r="AJ15" s="7" t="str">
        <f>IF(Data_Summary!Y16&lt;&gt;"Coverage","",IF(Data_Summary!AA16="","",IF(COUNTIFS(Data_Summary!$Y$2:$Y16,"Coverage",Data_Summary!$AA$2:$AA16,Data_Summary!AA16)=1,Data_Summary!AA16,"")))</f>
        <v>Interest Mapping &amp; Relevance</v>
      </c>
      <c r="AK15" s="7">
        <f>IF(AJ15="","",COUNTIFS(Data_Summary!$Y$2:$Y$5002,"Coverage",Data_Summary!$AA$2:$AA$5002,AJ15))</f>
        <v>1</v>
      </c>
      <c r="AM15" s="7" t="str">
        <f>IF(Data_Insight!X15="","",IF(COUNTIF(Data_Insight!$X$2:$X15,Data_Insight!X15)=1,Data_Insight!X15,""))</f>
        <v/>
      </c>
      <c r="AN15" s="7" t="str">
        <f>IF(AM15="","",COUNTIF(Data_Insight!$X$2:$X$5001,AM15))</f>
        <v/>
      </c>
    </row>
    <row r="16" spans="1:40" ht="15" customHeight="1">
      <c r="A16" s="16" t="s">
        <v>971</v>
      </c>
      <c r="B16" s="17">
        <f>IFERROR(SUMPRODUCT((RawData[Service Line]&lt;&gt;"")/COUNTIF(RawData[Service Line],RawData[Service Line]&amp;"")),0)</f>
        <v>10.000000000000005</v>
      </c>
      <c r="Q16" s="137" t="str">
        <f t="array" aca="1" ref="Q16" ca="1">IFERROR(INDEX($AJ$2:$AJ$599,MATCH(1,($AK$2:$AK$599=R16)*(COUNTIF($Q$3:$Q15,$AJ$2:$AJ$599)=0)*($AJ$2:$AJ$599&lt;&gt;""),0)),"")</f>
        <v>HR / WFM / Training Communication Effectiveness</v>
      </c>
      <c r="R16" s="133">
        <f>IFERROR(LARGE($AK$2:$AK$599,14),"")</f>
        <v>7</v>
      </c>
      <c r="S16" s="131">
        <f t="shared" ca="1" si="0"/>
        <v>4.7244094488188997E-2</v>
      </c>
      <c r="T16" s="132" t="str">
        <f t="array" aca="1" ref="T16" ca="1">IF(Q16="","",IFERROR(INDEX(SummaryData[Engagement Type],MATCH(TRIM(Q16),TRIM(SummaryData[Statement]),0)),""))</f>
        <v>Large Connect</v>
      </c>
      <c r="W16" s="18" t="s">
        <v>972</v>
      </c>
      <c r="X16" s="18">
        <f t="array" ref="X16">SUMPRODUCT((TRIM(RawData[Recognition])=TRIM(W16))*1)</f>
        <v>0</v>
      </c>
      <c r="AA16" s="7" t="str">
        <f t="array" aca="1" ref="AA16" ca="1">IFERROR(INDEX($AM$2:$AM$199,MATCH(1,($AN$2:$AN$199=AB16)*(COUNTIF($AA$3:$AA15,$AM$2:$AM$199)=0)*($AM$2:$AM$199&lt;&gt;""),0)),"")</f>
        <v>Skip Meeting</v>
      </c>
      <c r="AB16" s="7">
        <f>IFERROR(LARGE($AN$2:$AN$199,14),"")</f>
        <v>1</v>
      </c>
      <c r="AJ16" s="7" t="str">
        <f>IF(Data_Summary!Y17&lt;&gt;"Coverage","",IF(Data_Summary!AA17="","",IF(COUNTIFS(Data_Summary!$Y$2:$Y17,"Coverage",Data_Summary!$AA$2:$AA17,Data_Summary!AA17)=1,Data_Summary!AA17,"")))</f>
        <v/>
      </c>
      <c r="AK16" s="7" t="str">
        <f>IF(AJ16="","",COUNTIFS(Data_Summary!$Y$2:$Y$5002,"Coverage",Data_Summary!$AA$2:$AA$5002,AJ16))</f>
        <v/>
      </c>
      <c r="AM16" s="7" t="str">
        <f>IF(Data_Insight!X16="","",IF(COUNTIF(Data_Insight!$X$2:$X16,Data_Insight!X16)=1,Data_Insight!X16,""))</f>
        <v/>
      </c>
      <c r="AN16" s="7" t="str">
        <f>IF(AM16="","",COUNTIF(Data_Insight!$X$2:$X$5001,AM16))</f>
        <v/>
      </c>
    </row>
    <row r="17" spans="1:40" ht="15" customHeight="1">
      <c r="A17" s="16" t="s">
        <v>973</v>
      </c>
      <c r="B17" s="17" t="str">
        <f t="array" ref="B17">IFERROR(INDEX(RawData[Service Line],MATCH(MAX(COUNTIF(RawData[Service Line],RawData[Service Line])),COUNTIF(RawData[Service Line],RawData[Service Line]),0)),"N/A")</f>
        <v>DEA Service Line</v>
      </c>
      <c r="Q17" s="137" t="str">
        <f t="array" aca="1" ref="Q17" ca="1">IFERROR(INDEX($AJ$2:$AJ$599,MATCH(1,($AK$2:$AK$599=R17)*(COUNTIF($Q$3:$Q16,$AJ$2:$AJ$599)=0)*($AJ$2:$AJ$599&lt;&gt;""),0)),"")</f>
        <v>Buddy / Support System</v>
      </c>
      <c r="R17" s="133">
        <f>IFERROR(LARGE($AK$2:$AK$599,15),"")</f>
        <v>7</v>
      </c>
      <c r="S17" s="131">
        <f t="shared" ca="1" si="0"/>
        <v>4.7244094488188997E-2</v>
      </c>
      <c r="T17" s="132" t="str">
        <f t="array" aca="1" ref="T17" ca="1">IF(Q17="","",IFERROR(INDEX(SummaryData[Engagement Type],MATCH(TRIM(Q17),TRIM(SummaryData[Statement]),0)),""))</f>
        <v>1:1</v>
      </c>
      <c r="W17" s="18" t="s">
        <v>524</v>
      </c>
      <c r="X17" s="18">
        <f t="array" ref="X17">SUMPRODUCT((TRIM(RawData[Empowerment])=TRIM(W17))*1)</f>
        <v>2</v>
      </c>
      <c r="AA17" s="7" t="str">
        <f t="array" aca="1" ref="AA17" ca="1">IFERROR(INDEX($AM$2:$AM$199,MATCH(1,($AN$2:$AN$199=AB17)*(COUNTIF($AA$3:$AA16,$AM$2:$AM$199)=0)*($AM$2:$AM$199&lt;&gt;""),0)),"")</f>
        <v>IBU Cadence Connect</v>
      </c>
      <c r="AB17" s="7">
        <f>IFERROR(LARGE($AN$2:$AN$199,15),"")</f>
        <v>1</v>
      </c>
      <c r="AJ17" s="7" t="str">
        <f>IF(Data_Summary!Y18&lt;&gt;"Coverage","",IF(Data_Summary!AA18="","",IF(COUNTIFS(Data_Summary!$Y$2:$Y18,"Coverage",Data_Summary!$AA$2:$AA18,Data_Summary!AA18)=1,Data_Summary!AA18,"")))</f>
        <v/>
      </c>
      <c r="AK17" s="7" t="str">
        <f>IF(AJ17="","",COUNTIFS(Data_Summary!$Y$2:$Y$5002,"Coverage",Data_Summary!$AA$2:$AA$5002,AJ17))</f>
        <v/>
      </c>
      <c r="AM17" s="7" t="str">
        <f>IF(Data_Insight!X17="","",IF(COUNTIF(Data_Insight!$X$2:$X17,Data_Insight!X17)=1,Data_Insight!X17,""))</f>
        <v/>
      </c>
      <c r="AN17" s="7" t="str">
        <f>IF(AM17="","",COUNTIF(Data_Insight!$X$2:$X$5001,AM17))</f>
        <v/>
      </c>
    </row>
    <row r="18" spans="1:40" ht="32.25" customHeight="1">
      <c r="A18" s="16" t="s">
        <v>9</v>
      </c>
      <c r="B18" s="17" t="str">
        <f t="array" ref="B18">IFERROR(INDEX(RawData[IBU/Practice/Location],MATCH(MAX(COUNTIF(RawData[IBU/Practice/Location],RawData[IBU/Practice/Location])),COUNTIF(RawData[IBU/Practice/Location],RawData[IBU/Practice/Location]),0)),"N/A")</f>
        <v>IBU Specific Connect </v>
      </c>
      <c r="Q18" s="137" t="str">
        <f t="array" aca="1" ref="Q18" ca="1">IFERROR(INDEX($AJ$2:$AJ$599,MATCH(1,($AK$2:$AK$599=R18)*(COUNTIF($Q$3:$Q17,$AJ$2:$AJ$599)=0)*($AJ$2:$AJ$599&lt;&gt;""),0)),"")</f>
        <v>Engagement During Bench</v>
      </c>
      <c r="R18" s="133">
        <f>IFERROR(LARGE($AK$2:$AK$599,16),"")</f>
        <v>7</v>
      </c>
      <c r="S18" s="131">
        <f t="shared" ca="1" si="0"/>
        <v>4.7244094488188997E-2</v>
      </c>
      <c r="T18" s="132" t="str">
        <f t="array" aca="1" ref="T18" ca="1">IF(Q18="","",IFERROR(INDEX(SummaryData[Engagement Type],MATCH(TRIM(Q18),TRIM(SummaryData[Statement]),0)),""))</f>
        <v>Large Connect</v>
      </c>
      <c r="W18" s="18" t="s">
        <v>974</v>
      </c>
      <c r="X18" s="18">
        <f t="array" ref="X18">SUMPRODUCT((TRIM(RawData[Empowerment])=TRIM(W18))*1)</f>
        <v>0</v>
      </c>
      <c r="AJ18" s="7" t="str">
        <f>IF(Data_Summary!Y19&lt;&gt;"Coverage","",IF(Data_Summary!AA19="","",IF(COUNTIFS(Data_Summary!$Y$2:$Y19,"Coverage",Data_Summary!$AA$2:$AA19,Data_Summary!AA19)=1,Data_Summary!AA19,"")))</f>
        <v/>
      </c>
      <c r="AK18" s="7" t="str">
        <f>IF(AJ18="","",COUNTIFS(Data_Summary!$Y$2:$Y$5002,"Coverage",Data_Summary!$AA$2:$AA$5002,AJ18))</f>
        <v/>
      </c>
      <c r="AM18" s="7" t="str">
        <f>IF(Data_Insight!X18="","",IF(COUNTIF(Data_Insight!$X$2:$X18,Data_Insight!X18)=1,Data_Insight!X18,""))</f>
        <v/>
      </c>
      <c r="AN18" s="7" t="str">
        <f>IF(AM18="","",COUNTIF(Data_Insight!$X$2:$X$5001,AM18))</f>
        <v/>
      </c>
    </row>
    <row r="19" spans="1:40" ht="30" customHeight="1">
      <c r="A19" s="16" t="s">
        <v>975</v>
      </c>
      <c r="B19" s="17" t="str">
        <f t="array" ref="B19">IFERROR(INDEX(RawData[CARES Framework],MATCH(MAX(COUNTIF(RawData[CARES Framework],RawData[CARES Framework])),COUNTIF(RawData[CARES Framework],RawData[CARES Framework]),0)),"N/A")</f>
        <v>Alignment</v>
      </c>
      <c r="Q19" s="137" t="str">
        <f t="array" aca="1" ref="Q19" ca="1">IFERROR(INDEX($AJ$2:$AJ$599,MATCH(1,($AK$2:$AK$599=R19)*(COUNTIF($Q$3:$Q18,$AJ$2:$AJ$599)=0)*($AJ$2:$AJ$599&lt;&gt;""),0)),"")</f>
        <v>Engagement with Leadership &amp; Confidence Level</v>
      </c>
      <c r="R19" s="133">
        <f>IFERROR(LARGE($AK$2:$AK$599,17),"")</f>
        <v>6</v>
      </c>
      <c r="S19" s="131">
        <f t="shared" ca="1" si="0"/>
        <v>3.9370078740157501E-2</v>
      </c>
      <c r="T19" s="132" t="str">
        <f t="array" aca="1" ref="T19" ca="1">IF(Q19="","",IFERROR(INDEX(SummaryData[Engagement Type],MATCH(TRIM(Q19),TRIM(SummaryData[Statement]),0)),""))</f>
        <v>Large Connect</v>
      </c>
      <c r="W19" s="18" t="s">
        <v>976</v>
      </c>
      <c r="X19" s="18">
        <f t="array" ref="X19">SUMPRODUCT((TRIM(RawData[Empowerment])=TRIM(W19))*1)</f>
        <v>0</v>
      </c>
      <c r="AJ19" s="7" t="str">
        <f>IF(Data_Summary!Y20&lt;&gt;"Coverage","",IF(Data_Summary!AA20="","",IF(COUNTIFS(Data_Summary!$Y$2:$Y20,"Coverage",Data_Summary!$AA$2:$AA20,Data_Summary!AA20)=1,Data_Summary!AA20,"")))</f>
        <v>On Hybrid/WFO Rules And Monthly Compliance Expectations</v>
      </c>
      <c r="AK19" s="7">
        <f>IF(AJ19="","",COUNTIFS(Data_Summary!$Y$2:$Y$5002,"Coverage",Data_Summary!$AA$2:$AA$5002,AJ19))</f>
        <v>9</v>
      </c>
      <c r="AM19" s="7" t="str">
        <f>IF(Data_Insight!X19="","",IF(COUNTIF(Data_Insight!$X$2:$X19,Data_Insight!X19)=1,Data_Insight!X19,""))</f>
        <v/>
      </c>
      <c r="AN19" s="7" t="str">
        <f>IF(AM19="","",COUNTIF(Data_Insight!$X$2:$X$5001,AM19))</f>
        <v/>
      </c>
    </row>
    <row r="20" spans="1:40" ht="26.25" customHeight="1">
      <c r="A20" s="16" t="s">
        <v>977</v>
      </c>
      <c r="B20" s="17">
        <f>COUNTIF(RawData[Status],"Open")+COUNTIF(RawData[Status],"In-progress")</f>
        <v>41</v>
      </c>
      <c r="Q20" s="137" t="str">
        <f t="array" aca="1" ref="Q20" ca="1">IFERROR(INDEX($AJ$2:$AJ$599,MATCH(1,($AK$2:$AK$599=R20)*(COUNTIF($Q$3:$Q19,$AJ$2:$AJ$599)=0)*($AJ$2:$AJ$599&lt;&gt;""),0)),"")</f>
        <v>Queries On Performance Cycle Steps And Deadlines</v>
      </c>
      <c r="R20" s="133">
        <f>IFERROR(LARGE($AK$2:$AK$599,18),"")</f>
        <v>6</v>
      </c>
      <c r="S20" s="131">
        <f t="shared" ca="1" si="0"/>
        <v>3.9370078740157501E-2</v>
      </c>
      <c r="T20" s="132" t="str">
        <f t="array" aca="1" ref="T20" ca="1">IF(Q20="","",IFERROR(INDEX(SummaryData[Engagement Type],MATCH(TRIM(Q20),TRIM(SummaryData[Statement]),0)),""))</f>
        <v>Large Connect</v>
      </c>
      <c r="W20" s="18" t="s">
        <v>705</v>
      </c>
      <c r="X20" s="18">
        <f t="array" ref="X20">SUMPRODUCT((TRIM(RawData[Empowerment])=TRIM(W20))*1)</f>
        <v>2</v>
      </c>
      <c r="AJ20" s="7" t="str">
        <f>IF(Data_Summary!Y21&lt;&gt;"Coverage","",IF(Data_Summary!AA21="","",IF(COUNTIFS(Data_Summary!$Y$2:$Y21,"Coverage",Data_Summary!$AA$2:$AA21,Data_Summary!AA21)=1,Data_Summary!AA21,"")))</f>
        <v>Guidance on timesheet</v>
      </c>
      <c r="AK20" s="7">
        <f>IF(AJ20="","",COUNTIFS(Data_Summary!$Y$2:$Y$5002,"Coverage",Data_Summary!$AA$2:$AA$5002,AJ20))</f>
        <v>1</v>
      </c>
      <c r="AM20" s="7" t="str">
        <f>IF(Data_Insight!X20="","",IF(COUNTIF(Data_Insight!$X$2:$X20,Data_Insight!X20)=1,Data_Insight!X20,""))</f>
        <v>LSA Connect</v>
      </c>
      <c r="AN20" s="7">
        <f>IF(AM20="","",COUNTIF(Data_Insight!$X$2:$X$5001,AM20))</f>
        <v>8</v>
      </c>
    </row>
    <row r="21" spans="1:40" ht="26.25" customHeight="1">
      <c r="Q21" s="137" t="str">
        <f t="array" aca="1" ref="Q21" ca="1">IFERROR(INDEX($AJ$2:$AJ$599,MATCH(1,($AK$2:$AK$599=R21)*(COUNTIF($Q$3:$Q20,$AJ$2:$AJ$599)=0)*($AJ$2:$AJ$599&lt;&gt;""),0)),"")</f>
        <v>Learning &amp; Career Enablement</v>
      </c>
      <c r="R21" s="133">
        <f>IFERROR(LARGE($AK$2:$AK$599,19),"")</f>
        <v>6</v>
      </c>
      <c r="S21" s="131">
        <f t="shared" ca="1" si="0"/>
        <v>3.1496062992125998E-2</v>
      </c>
      <c r="T21" s="132" t="str">
        <f t="array" aca="1" ref="T21" ca="1">IF(Q21="","",IFERROR(INDEX(SummaryData[Engagement Type],MATCH(TRIM(Q21),TRIM(SummaryData[Statement]),0)),""))</f>
        <v>1:1</v>
      </c>
      <c r="W21" s="18" t="s">
        <v>978</v>
      </c>
      <c r="X21" s="18">
        <f t="array" ref="X21">SUMPRODUCT((TRIM(RawData[Empowerment])=TRIM(W21))*1)</f>
        <v>0</v>
      </c>
      <c r="AJ21" s="7" t="str">
        <f>IF(Data_Summary!Y22&lt;&gt;"Coverage","",IF(Data_Summary!AA22="","",IF(COUNTIFS(Data_Summary!$Y$2:$Y22,"Coverage",Data_Summary!$AA$2:$AA22,Data_Summary!AA22)=1,Data_Summary!AA22,"")))</f>
        <v/>
      </c>
      <c r="AK21" s="7" t="str">
        <f>IF(AJ21="","",COUNTIFS(Data_Summary!$Y$2:$Y$5002,"Coverage",Data_Summary!$AA$2:$AA$5002,AJ21))</f>
        <v/>
      </c>
      <c r="AM21" s="7" t="str">
        <f>IF(Data_Insight!X21="","",IF(COUNTIF(Data_Insight!$X$2:$X21,Data_Insight!X21)=1,Data_Insight!X21,""))</f>
        <v>Josh (Fun Engagements)</v>
      </c>
      <c r="AN21" s="7">
        <f>IF(AM21="","",COUNTIF(Data_Insight!$X$2:$X$5001,AM21))</f>
        <v>4</v>
      </c>
    </row>
    <row r="22" spans="1:40" ht="15.75" customHeight="1">
      <c r="A22" s="8" t="s">
        <v>979</v>
      </c>
      <c r="B22" s="8"/>
      <c r="Q22" s="137" t="str">
        <f t="array" aca="1" ref="Q22" ca="1">IFERROR(INDEX($AJ$2:$AJ$599,MATCH(1,($AK$2:$AK$599=R22)*(COUNTIF($Q$3:$Q21,$AJ$2:$AJ$599)=0)*($AJ$2:$AJ$599&lt;&gt;""),0)),"")</f>
        <v>Timesheet Submission/approval Process Inconsistencies Create</v>
      </c>
      <c r="R22" s="133">
        <f>IFERROR(LARGE($AK$2:$AK$599,20),"")</f>
        <v>5</v>
      </c>
      <c r="S22" s="131">
        <f t="shared" ca="1" si="0"/>
        <v>3.1496062992125998E-2</v>
      </c>
      <c r="T22" s="132" t="str">
        <f t="array" aca="1" ref="T22" ca="1">IF(Q22="","",IFERROR(INDEX(SummaryData[Engagement Type],MATCH(TRIM(Q22),TRIM(SummaryData[Statement]),0)),""))</f>
        <v>Floor Connect</v>
      </c>
      <c r="W22" s="18" t="s">
        <v>419</v>
      </c>
      <c r="X22" s="18">
        <f t="array" ref="X22">SUMPRODUCT((TRIM(RawData[Empowerment])=TRIM(W22))*1)</f>
        <v>4</v>
      </c>
      <c r="AJ22" s="7" t="str">
        <f>IF(Data_Summary!Y23&lt;&gt;"Coverage","",IF(Data_Summary!AA23="","",IF(COUNTIFS(Data_Summary!$Y$2:$Y23,"Coverage",Data_Summary!$AA$2:$AA23,Data_Summary!AA23)=1,Data_Summary!AA23,"")))</f>
        <v/>
      </c>
      <c r="AK22" s="7" t="str">
        <f>IF(AJ22="","",COUNTIFS(Data_Summary!$Y$2:$Y$5002,"Coverage",Data_Summary!$AA$2:$AA$5002,AJ22))</f>
        <v/>
      </c>
      <c r="AM22" s="7" t="str">
        <f>IF(Data_Insight!X22="","",IF(COUNTIF(Data_Insight!$X$2:$X22,Data_Insight!X22)=1,Data_Insight!X22,""))</f>
        <v/>
      </c>
      <c r="AN22" s="7" t="str">
        <f>IF(AM22="","",COUNTIF(Data_Insight!$X$2:$X$5001,AM22))</f>
        <v/>
      </c>
    </row>
    <row r="23" spans="1:40" ht="13.5" customHeight="1">
      <c r="A23" s="12" t="s">
        <v>980</v>
      </c>
      <c r="B23" s="12" t="s">
        <v>942</v>
      </c>
      <c r="Q23" s="137" t="str">
        <f t="array" aca="1" ref="Q23" ca="1">IFERROR(INDEX($AJ$2:$AJ$599,MATCH(1,($AK$2:$AK$599=R23)*(COUNTIF($Q$3:$Q22,$AJ$2:$AJ$599)=0)*($AJ$2:$AJ$599&lt;&gt;""),0)),"")</f>
        <v>Business &amp; Strategy Clarity</v>
      </c>
      <c r="R23" s="133">
        <f>IFERROR(LARGE($AK$2:$AK$599,21),"")</f>
        <v>5</v>
      </c>
      <c r="S23" s="131">
        <f t="shared" ca="1" si="0"/>
        <v>3.1496062992125998E-2</v>
      </c>
      <c r="T23" s="132" t="str">
        <f t="array" aca="1" ref="T23" ca="1">IF(Q23="","",IFERROR(INDEX(SummaryData[Engagement Type],MATCH(TRIM(Q23),TRIM(SummaryData[Statement]),0)),""))</f>
        <v>Large Connect</v>
      </c>
      <c r="W23" s="18" t="s">
        <v>981</v>
      </c>
      <c r="X23" s="18">
        <f t="array" ref="X23">SUMPRODUCT((TRIM(RawData[Empowerment])=TRIM(W23))*1)</f>
        <v>0</v>
      </c>
      <c r="AJ23" s="7" t="str">
        <f>IF(Data_Summary!Y24&lt;&gt;"Coverage","",IF(Data_Summary!AA24="","",IF(COUNTIFS(Data_Summary!$Y$2:$Y24,"Coverage",Data_Summary!$AA$2:$AA24,Data_Summary!AA24)=1,Data_Summary!AA24,"")))</f>
        <v/>
      </c>
      <c r="AK23" s="7" t="str">
        <f>IF(AJ23="","",COUNTIFS(Data_Summary!$Y$2:$Y$5002,"Coverage",Data_Summary!$AA$2:$AA$5002,AJ23))</f>
        <v/>
      </c>
      <c r="AM23" s="7" t="str">
        <f>IF(Data_Insight!X23="","",IF(COUNTIF(Data_Insight!$X$2:$X23,Data_Insight!X23)=1,Data_Insight!X23,""))</f>
        <v/>
      </c>
      <c r="AN23" s="7" t="str">
        <f>IF(AM23="","",COUNTIF(Data_Insight!$X$2:$X$5001,AM23))</f>
        <v/>
      </c>
    </row>
    <row r="24" spans="1:40" ht="15" customHeight="1">
      <c r="A24" s="18" t="s">
        <v>149</v>
      </c>
      <c r="B24" s="18">
        <f>COUNTIF(RawData[Overall Sentiment],A24)</f>
        <v>102</v>
      </c>
      <c r="Q24" s="137" t="str">
        <f t="array" aca="1" ref="Q24" ca="1">IFERROR(INDEX($AJ$2:$AJ$599,MATCH(1,($AK$2:$AK$599=R24)*(COUNTIF($Q$3:$Q23,$AJ$2:$AJ$599)=0)*($AJ$2:$AJ$599&lt;&gt;""),0)),"")</f>
        <v>Alignment on Role in Business Context</v>
      </c>
      <c r="R24" s="133">
        <f>IFERROR(LARGE($AK$2:$AK$599,22),"")</f>
        <v>5</v>
      </c>
      <c r="S24" s="131">
        <f t="shared" ca="1" si="0"/>
        <v>3.1496062992125998E-2</v>
      </c>
      <c r="T24" s="132" t="str">
        <f t="array" aca="1" ref="T24" ca="1">IF(Q24="","",IFERROR(INDEX(SummaryData[Engagement Type],MATCH(TRIM(Q24),TRIM(SummaryData[Statement]),0)),""))</f>
        <v>FGD</v>
      </c>
      <c r="W24" s="18" t="s">
        <v>190</v>
      </c>
      <c r="X24" s="18">
        <f t="array" ref="X24">SUMPRODUCT((TRIM(RawData[Empowerment])=TRIM(W24))*1)</f>
        <v>12</v>
      </c>
      <c r="AJ24" s="7" t="str">
        <f>IF(Data_Summary!Y25&lt;&gt;"Coverage","",IF(Data_Summary!AA25="","",IF(COUNTIFS(Data_Summary!$Y$2:$Y25,"Coverage",Data_Summary!$AA$2:$AA25,Data_Summary!AA25)=1,Data_Summary!AA25,"")))</f>
        <v>Talent Pipeline &amp; Capability Building</v>
      </c>
      <c r="AK24" s="7">
        <f>IF(AJ24="","",COUNTIFS(Data_Summary!$Y$2:$Y$5002,"Coverage",Data_Summary!$AA$2:$AA$5002,AJ24))</f>
        <v>3</v>
      </c>
      <c r="AM24" s="7" t="str">
        <f>IF(Data_Insight!X24="","",IF(COUNTIF(Data_Insight!$X$2:$X24,Data_Insight!X24)=1,Data_Insight!X24,""))</f>
        <v/>
      </c>
      <c r="AN24" s="7" t="str">
        <f>IF(AM24="","",COUNTIF(Data_Insight!$X$2:$X$5001,AM24))</f>
        <v/>
      </c>
    </row>
    <row r="25" spans="1:40" ht="15" customHeight="1">
      <c r="A25" s="18" t="s">
        <v>143</v>
      </c>
      <c r="B25" s="18">
        <f>COUNTIF(RawData[Overall Sentiment],A25)</f>
        <v>50</v>
      </c>
      <c r="Q25" s="137" t="str">
        <f t="array" aca="1" ref="Q25" ca="1">IFERROR(INDEX($AJ$2:$AJ$599,MATCH(1,($AK$2:$AK$599=R25)*(COUNTIF($Q$3:$Q24,$AJ$2:$AJ$599)=0)*($AJ$2:$AJ$599&lt;&gt;""),0)),"")</f>
        <v>Initial Engagement Level</v>
      </c>
      <c r="R25" s="133">
        <f>IFERROR(LARGE($AK$2:$AK$599,23),"")</f>
        <v>5</v>
      </c>
      <c r="S25" s="131">
        <f t="shared" ca="1" si="0"/>
        <v>3.1496062992125998E-2</v>
      </c>
      <c r="T25" s="132" t="str">
        <f t="array" aca="1" ref="T25" ca="1">IF(Q25="","",IFERROR(INDEX(SummaryData[Engagement Type],MATCH(TRIM(Q25),TRIM(SummaryData[Statement]),0)),""))</f>
        <v>Location-Offshore</v>
      </c>
      <c r="W25" s="18" t="s">
        <v>656</v>
      </c>
      <c r="X25" s="18">
        <f t="array" ref="X25">SUMPRODUCT((TRIM(RawData[Empowerment])=TRIM(W25))*1)</f>
        <v>3</v>
      </c>
      <c r="AJ25" s="7" t="str">
        <f>IF(Data_Summary!Y26&lt;&gt;"Coverage","",IF(Data_Summary!AA26="","",IF(COUNTIFS(Data_Summary!$Y$2:$Y26,"Coverage",Data_Summary!$AA$2:$AA26,Data_Summary!AA26)=1,Data_Summary!AA26,"")))</f>
        <v/>
      </c>
      <c r="AK25" s="7" t="str">
        <f>IF(AJ25="","",COUNTIFS(Data_Summary!$Y$2:$Y$5002,"Coverage",Data_Summary!$AA$2:$AA$5002,AJ25))</f>
        <v/>
      </c>
      <c r="AM25" s="7" t="str">
        <f>IF(Data_Insight!X25="","",IF(COUNTIF(Data_Insight!$X$2:$X25,Data_Insight!X25)=1,Data_Insight!X25,""))</f>
        <v/>
      </c>
      <c r="AN25" s="7" t="str">
        <f>IF(AM25="","",COUNTIF(Data_Insight!$X$2:$X$5001,AM25))</f>
        <v/>
      </c>
    </row>
    <row r="26" spans="1:40" ht="24.75" customHeight="1">
      <c r="A26" s="18" t="s">
        <v>114</v>
      </c>
      <c r="B26" s="18">
        <f>COUNTIF(RawData[Overall Sentiment],A26)</f>
        <v>11</v>
      </c>
      <c r="Q26" s="137" t="str">
        <f t="array" aca="1" ref="Q26" ca="1">IFERROR(INDEX($AJ$2:$AJ$599,MATCH(1,($AK$2:$AK$599=R26)*(COUNTIF($Q$3:$Q25,$AJ$2:$AJ$599)=0)*($AJ$2:$AJ$599&lt;&gt;""),0)),"")</f>
        <v>Benefits, Insurance &amp; Wellbeing</v>
      </c>
      <c r="R26" s="133">
        <f>IFERROR(LARGE($AK$2:$AK$599,24),"")</f>
        <v>5</v>
      </c>
      <c r="S26" s="131">
        <f t="shared" ca="1" si="0"/>
        <v>3.1496062992125998E-2</v>
      </c>
      <c r="T26" s="132" t="str">
        <f t="array" aca="1" ref="T26" ca="1">IF(Q26="","",IFERROR(INDEX(SummaryData[Engagement Type],MATCH(TRIM(Q26),TRIM(SummaryData[Statement]),0)),""))</f>
        <v>Large Connect</v>
      </c>
      <c r="W26" s="18" t="s">
        <v>256</v>
      </c>
      <c r="X26" s="18">
        <f t="array" ref="X26">SUMPRODUCT((TRIM(RawData[Strive])=TRIM(W26))*1)</f>
        <v>4</v>
      </c>
      <c r="AJ26" s="7" t="str">
        <f>IF(Data_Summary!Y27&lt;&gt;"Coverage","",IF(Data_Summary!AA27="","",IF(COUNTIFS(Data_Summary!$Y$2:$Y27,"Coverage",Data_Summary!$AA$2:$AA27,Data_Summary!AA27)=1,Data_Summary!AA27,"")))</f>
        <v/>
      </c>
      <c r="AK26" s="7" t="str">
        <f>IF(AJ26="","",COUNTIFS(Data_Summary!$Y$2:$Y$5002,"Coverage",Data_Summary!$AA$2:$AA$5002,AJ26))</f>
        <v/>
      </c>
      <c r="AM26" s="7" t="str">
        <f>IF(Data_Insight!X26="","",IF(COUNTIF(Data_Insight!$X$2:$X26,Data_Insight!X26)=1,Data_Insight!X26,""))</f>
        <v/>
      </c>
      <c r="AN26" s="7" t="str">
        <f>IF(AM26="","",COUNTIF(Data_Insight!$X$2:$X$5001,AM26))</f>
        <v/>
      </c>
    </row>
    <row r="27" spans="1:40" ht="25.5" customHeight="1">
      <c r="Q27" s="137" t="str">
        <f t="array" aca="1" ref="Q27" ca="1">IFERROR(INDEX($AJ$2:$AJ$599,MATCH(1,($AK$2:$AK$599=R27)*(COUNTIF($Q$3:$Q26,$AJ$2:$AJ$599)=0)*($AJ$2:$AJ$599&lt;&gt;""),0)),"")</f>
        <v>Guidance On Leave, Travel, And Exception Approvals</v>
      </c>
      <c r="R27" s="133">
        <f>IFERROR(LARGE($AK$2:$AK$599,25),"")</f>
        <v>5</v>
      </c>
      <c r="S27" s="131">
        <f t="shared" ca="1" si="0"/>
        <v>3.1496062992125998E-2</v>
      </c>
      <c r="T27" s="132" t="str">
        <f t="array" aca="1" ref="T27" ca="1">IF(Q27="","",IFERROR(INDEX(SummaryData[Engagement Type],MATCH(TRIM(Q27),TRIM(SummaryData[Statement]),0)),""))</f>
        <v>Large Connect</v>
      </c>
      <c r="W27" s="18" t="s">
        <v>982</v>
      </c>
      <c r="X27" s="18">
        <f t="array" ref="X27">SUMPRODUCT((TRIM(RawData[Strive])=TRIM(W27))*1)</f>
        <v>2</v>
      </c>
      <c r="AJ27" s="7" t="str">
        <f>IF(Data_Summary!Y28&lt;&gt;"Coverage","",IF(Data_Summary!AA28="","",IF(COUNTIFS(Data_Summary!$Y$2:$Y28,"Coverage",Data_Summary!$AA$2:$AA28,Data_Summary!AA28)=1,Data_Summary!AA28,"")))</f>
        <v/>
      </c>
      <c r="AK27" s="7" t="str">
        <f>IF(AJ27="","",COUNTIFS(Data_Summary!$Y$2:$Y$5002,"Coverage",Data_Summary!$AA$2:$AA$5002,AJ27))</f>
        <v/>
      </c>
      <c r="AM27" s="7" t="str">
        <f>IF(Data_Insight!X27="","",IF(COUNTIF(Data_Insight!$X$2:$X27,Data_Insight!X27)=1,Data_Insight!X27,""))</f>
        <v/>
      </c>
      <c r="AN27" s="7" t="str">
        <f>IF(AM27="","",COUNTIF(Data_Insight!$X$2:$X$5001,AM27))</f>
        <v/>
      </c>
    </row>
    <row r="28" spans="1:40" ht="15.75" customHeight="1">
      <c r="A28" s="8" t="s">
        <v>983</v>
      </c>
      <c r="B28" s="8"/>
      <c r="Q28" s="137" t="str">
        <f t="array" aca="1" ref="Q28" ca="1">IFERROR(INDEX($AJ$2:$AJ$599,MATCH(1,($AK$2:$AK$599=R28)*(COUNTIF($Q$3:$Q27,$AJ$2:$AJ$599)=0)*($AJ$2:$AJ$599&lt;&gt;""),0)),"")</f>
        <v>Culture &amp; Engagement</v>
      </c>
      <c r="R28" s="133">
        <f>IFERROR(LARGE($AK$2:$AK$599,26),"")</f>
        <v>5</v>
      </c>
      <c r="S28" s="131">
        <f t="shared" ca="1" si="0"/>
        <v>3.1496062992125998E-2</v>
      </c>
      <c r="T28" s="132" t="str">
        <f t="array" aca="1" ref="T28" ca="1">IF(Q28="","",IFERROR(INDEX(SummaryData[Engagement Type],MATCH(TRIM(Q28),TRIM(SummaryData[Statement]),0)),""))</f>
        <v>1:1</v>
      </c>
      <c r="W28" s="18" t="s">
        <v>837</v>
      </c>
      <c r="X28" s="18">
        <f t="array" ref="X28">SUMPRODUCT((TRIM(RawData[Strive])=TRIM(W28))*1)</f>
        <v>1</v>
      </c>
      <c r="AJ28" s="7" t="str">
        <f>IF(Data_Summary!Y29&lt;&gt;"Coverage","",IF(Data_Summary!AA29="","",IF(COUNTIFS(Data_Summary!$Y$2:$Y29,"Coverage",Data_Summary!$AA$2:$AA29,Data_Summary!AA29)=1,Data_Summary!AA29,"")))</f>
        <v/>
      </c>
      <c r="AK28" s="7" t="str">
        <f>IF(AJ28="","",COUNTIFS(Data_Summary!$Y$2:$Y$5002,"Coverage",Data_Summary!$AA$2:$AA$5002,AJ28))</f>
        <v/>
      </c>
      <c r="AM28" s="7" t="str">
        <f>IF(Data_Insight!X28="","",IF(COUNTIF(Data_Insight!$X$2:$X28,Data_Insight!X28)=1,Data_Insight!X28,""))</f>
        <v/>
      </c>
      <c r="AN28" s="7" t="str">
        <f>IF(AM28="","",COUNTIF(Data_Insight!$X$2:$X$5001,AM28))</f>
        <v/>
      </c>
    </row>
    <row r="29" spans="1:40" ht="13.5" customHeight="1">
      <c r="A29" s="12" t="s">
        <v>980</v>
      </c>
      <c r="B29" s="12" t="s">
        <v>942</v>
      </c>
      <c r="Q29" s="137" t="str">
        <f t="array" aca="1" ref="Q29" ca="1">IFERROR(INDEX($AJ$2:$AJ$599,MATCH(1,($AK$2:$AK$599=R29)*(COUNTIF($Q$3:$Q28,$AJ$2:$AJ$599)=0)*($AJ$2:$AJ$599&lt;&gt;""),0)),"")</f>
        <v>Feedback Mechanism</v>
      </c>
      <c r="R29" s="133">
        <f>IFERROR(LARGE($AK$2:$AK$599,27),"")</f>
        <v>4</v>
      </c>
      <c r="S29" s="131">
        <f t="shared" ca="1" si="0"/>
        <v>3.1496062992125998E-2</v>
      </c>
      <c r="T29" s="132" t="str">
        <f t="array" aca="1" ref="T29" ca="1">IF(Q29="","",IFERROR(INDEX(SummaryData[Engagement Type],MATCH(TRIM(Q29),TRIM(SummaryData[Statement]),0)),""))</f>
        <v>Large Connect</v>
      </c>
      <c r="AJ29" s="7" t="str">
        <f>IF(Data_Summary!Y30&lt;&gt;"Coverage","",IF(Data_Summary!AA30="","",IF(COUNTIFS(Data_Summary!$Y$2:$Y30,"Coverage",Data_Summary!$AA$2:$AA30,Data_Summary!AA30)=1,Data_Summary!AA30,"")))</f>
        <v/>
      </c>
      <c r="AK29" s="7" t="str">
        <f>IF(AJ29="","",COUNTIFS(Data_Summary!$Y$2:$Y$5002,"Coverage",Data_Summary!$AA$2:$AA$5002,AJ29))</f>
        <v/>
      </c>
      <c r="AM29" s="7" t="str">
        <f>IF(Data_Insight!X29="","",IF(COUNTIF(Data_Insight!$X$2:$X29,Data_Insight!X29)=1,Data_Insight!X29,""))</f>
        <v>Townhall</v>
      </c>
      <c r="AN29" s="7">
        <f>IF(AM29="","",COUNTIF(Data_Insight!$X$2:$X$5001,AM29))</f>
        <v>8</v>
      </c>
    </row>
    <row r="30" spans="1:40" ht="15" customHeight="1">
      <c r="A30" s="18" t="s">
        <v>116</v>
      </c>
      <c r="B30" s="24">
        <f>ROUND(COUNTIF(RawData[Severity],A30)/COUNTA(RawData[Severity]),2)</f>
        <v>0.2</v>
      </c>
      <c r="Q30" s="137" t="str">
        <f t="array" aca="1" ref="Q30" ca="1">IFERROR(INDEX($AJ$2:$AJ$599,MATCH(1,($AK$2:$AK$599=R30)*(COUNTIF($Q$3:$Q29,$AJ$2:$AJ$599)=0)*($AJ$2:$AJ$599&lt;&gt;""),0)),"")</f>
        <v>Work-Life Balance &amp; Flexibility</v>
      </c>
      <c r="R30" s="133">
        <f>IFERROR(LARGE($AK$2:$AK$599,28),"")</f>
        <v>4</v>
      </c>
      <c r="S30" s="131">
        <f t="shared" ca="1" si="0"/>
        <v>3.1496062992125998E-2</v>
      </c>
      <c r="T30" s="132" t="str">
        <f t="array" aca="1" ref="T30" ca="1">IF(Q30="","",IFERROR(INDEX(SummaryData[Engagement Type],MATCH(TRIM(Q30),TRIM(SummaryData[Statement]),0)),""))</f>
        <v>Large Connect</v>
      </c>
      <c r="AJ30" s="7" t="str">
        <f>IF(Data_Summary!Y31&lt;&gt;"Coverage","",IF(Data_Summary!AA31="","",IF(COUNTIFS(Data_Summary!$Y$2:$Y31,"Coverage",Data_Summary!$AA$2:$AA31,Data_Summary!AA31)=1,Data_Summary!AA31,"")))</f>
        <v/>
      </c>
      <c r="AK30" s="7" t="str">
        <f>IF(AJ30="","",COUNTIFS(Data_Summary!$Y$2:$Y$5002,"Coverage",Data_Summary!$AA$2:$AA$5002,AJ30))</f>
        <v/>
      </c>
      <c r="AM30" s="7" t="str">
        <f>IF(Data_Insight!X30="","",IF(COUNTIF(Data_Insight!$X$2:$X30,Data_Insight!X30)=1,Data_Insight!X30,""))</f>
        <v/>
      </c>
      <c r="AN30" s="7" t="str">
        <f>IF(AM30="","",COUNTIF(Data_Insight!$X$2:$X$5001,AM30))</f>
        <v/>
      </c>
    </row>
    <row r="31" spans="1:40" ht="31.5" customHeight="1">
      <c r="A31" s="18" t="s">
        <v>151</v>
      </c>
      <c r="B31" s="24">
        <f>ROUND(COUNTIF(RawData[Severity],A31)/COUNTA(RawData[Severity]),2)</f>
        <v>0.45</v>
      </c>
      <c r="Q31" s="137" t="str">
        <f t="array" aca="1" ref="Q31" ca="1">IFERROR(INDEX($AJ$2:$AJ$599,MATCH(1,($AK$2:$AK$599=R31)*(COUNTIF($Q$3:$Q30,$AJ$2:$AJ$599)=0)*($AJ$2:$AJ$599&lt;&gt;""),0)),"")</f>
        <v>Manager Support &amp; Local Leadership Effectiveness</v>
      </c>
      <c r="R31" s="133">
        <f>IFERROR(LARGE($AK$2:$AK$599,29),"")</f>
        <v>4</v>
      </c>
      <c r="S31" s="131">
        <f t="shared" ca="1" si="0"/>
        <v>2.3622047244094498E-2</v>
      </c>
      <c r="T31" s="132" t="str">
        <f t="array" aca="1" ref="T31" ca="1">IF(Q31="","",IFERROR(INDEX(SummaryData[Engagement Type],MATCH(TRIM(Q31),TRIM(SummaryData[Statement]),0)),""))</f>
        <v>FGD</v>
      </c>
      <c r="AJ31" s="7" t="str">
        <f>IF(Data_Summary!Y32&lt;&gt;"Coverage","",IF(Data_Summary!AA32="","",IF(COUNTIFS(Data_Summary!$Y$2:$Y32,"Coverage",Data_Summary!$AA$2:$AA32,Data_Summary!AA32)=1,Data_Summary!AA32,"")))</f>
        <v/>
      </c>
      <c r="AK31" s="7" t="str">
        <f>IF(AJ31="","",COUNTIFS(Data_Summary!$Y$2:$Y$5002,"Coverage",Data_Summary!$AA$2:$AA$5002,AJ31))</f>
        <v/>
      </c>
      <c r="AM31" s="7" t="str">
        <f>IF(Data_Insight!X31="","",IF(COUNTIF(Data_Insight!$X$2:$X31,Data_Insight!X31)=1,Data_Insight!X31,""))</f>
        <v/>
      </c>
      <c r="AN31" s="7" t="str">
        <f>IF(AM31="","",COUNTIF(Data_Insight!$X$2:$X$5001,AM31))</f>
        <v/>
      </c>
    </row>
    <row r="32" spans="1:40" ht="30" customHeight="1">
      <c r="A32" s="18" t="s">
        <v>129</v>
      </c>
      <c r="B32" s="25">
        <f>ROUND(COUNTIF(RawData[Severity],A32)/COUNTA(RawData[Severity]),2)</f>
        <v>0.35</v>
      </c>
      <c r="Q32" s="137" t="str">
        <f t="array" aca="1" ref="Q32" ca="1">IFERROR(INDEX($AJ$2:$AJ$599,MATCH(1,($AK$2:$AK$599=R32)*(COUNTIF($Q$3:$Q31,$AJ$2:$AJ$599)=0)*($AJ$2:$AJ$599&lt;&gt;""),0)),"")</f>
        <v>Recognition &amp; Engagement within Project</v>
      </c>
      <c r="R32" s="133">
        <f>IFERROR(LARGE($AK$2:$AK$599,30),"")</f>
        <v>4</v>
      </c>
      <c r="S32" s="131">
        <f t="shared" ca="1" si="0"/>
        <v>2.3622047244094498E-2</v>
      </c>
      <c r="T32" s="132" t="str">
        <f t="array" aca="1" ref="T32" ca="1">IF(Q32="","",IFERROR(INDEX(SummaryData[Engagement Type],MATCH(TRIM(Q32),TRIM(SummaryData[Statement]),0)),""))</f>
        <v>FGD</v>
      </c>
      <c r="AJ32" s="7" t="str">
        <f>IF(Data_Summary!Y33&lt;&gt;"Coverage","",IF(Data_Summary!AA33="","",IF(COUNTIFS(Data_Summary!$Y$2:$Y33,"Coverage",Data_Summary!$AA$2:$AA33,Data_Summary!AA33)=1,Data_Summary!AA33,"")))</f>
        <v/>
      </c>
      <c r="AK32" s="7" t="str">
        <f>IF(AJ32="","",COUNTIFS(Data_Summary!$Y$2:$Y$5002,"Coverage",Data_Summary!$AA$2:$AA$5002,AJ32))</f>
        <v/>
      </c>
      <c r="AM32" s="7" t="str">
        <f>IF(Data_Insight!X32="","",IF(COUNTIF(Data_Insight!$X$2:$X32,Data_Insight!X32)=1,Data_Insight!X32,""))</f>
        <v/>
      </c>
      <c r="AN32" s="7" t="str">
        <f>IF(AM32="","",COUNTIF(Data_Insight!$X$2:$X$5001,AM32))</f>
        <v/>
      </c>
    </row>
    <row r="33" spans="1:40" ht="25.5" customHeight="1">
      <c r="Q33" s="137" t="str">
        <f t="array" aca="1" ref="Q33" ca="1">IFERROR(INDEX($AJ$2:$AJ$599,MATCH(1,($AK$2:$AK$599=R33)*(COUNTIF($Q$3:$Q32,$AJ$2:$AJ$599)=0)*($AJ$2:$AJ$599&lt;&gt;""),0)),"")</f>
        <v>Clarity On Appraisal/performance Timelines And Edge Cases</v>
      </c>
      <c r="R33" s="133">
        <f>IFERROR(LARGE($AK$2:$AK$599,31),"")</f>
        <v>4</v>
      </c>
      <c r="S33" s="131">
        <f t="shared" ca="1" si="0"/>
        <v>2.3622047244094498E-2</v>
      </c>
      <c r="T33" s="132" t="str">
        <f t="array" aca="1" ref="T33" ca="1">IF(Q33="","",IFERROR(INDEX(SummaryData[Engagement Type],MATCH(TRIM(Q33),TRIM(SummaryData[Statement]),0)),""))</f>
        <v>Floor Connect</v>
      </c>
      <c r="AJ33" s="7" t="str">
        <f>IF(Data_Summary!Y34&lt;&gt;"Coverage","",IF(Data_Summary!AA34="","",IF(COUNTIFS(Data_Summary!$Y$2:$Y34,"Coverage",Data_Summary!$AA$2:$AA34,Data_Summary!AA34)=1,Data_Summary!AA34,"")))</f>
        <v>HR / WFM / Training Communication Effectiveness</v>
      </c>
      <c r="AK33" s="7">
        <f>IF(AJ33="","",COUNTIFS(Data_Summary!$Y$2:$Y$5002,"Coverage",Data_Summary!$AA$2:$AA$5002,AJ33))</f>
        <v>6</v>
      </c>
      <c r="AM33" s="7" t="str">
        <f>IF(Data_Insight!X33="","",IF(COUNTIF(Data_Insight!$X$2:$X33,Data_Insight!X33)=1,Data_Insight!X33,""))</f>
        <v>New Joiner Connect (90 Days)</v>
      </c>
      <c r="AN33" s="7">
        <f>IF(AM33="","",COUNTIF(Data_Insight!$X$2:$X$5001,AM33))</f>
        <v>4</v>
      </c>
    </row>
    <row r="34" spans="1:40" ht="15.75" customHeight="1">
      <c r="A34" s="8" t="s">
        <v>984</v>
      </c>
      <c r="B34" s="8"/>
      <c r="Q34" s="137" t="str">
        <f t="array" aca="1" ref="Q34" ca="1">IFERROR(INDEX($AJ$2:$AJ$599,MATCH(1,($AK$2:$AK$599=R34)*(COUNTIF($Q$3:$Q33,$AJ$2:$AJ$599)=0)*($AJ$2:$AJ$599&lt;&gt;""),0)),"")</f>
        <v>Leadership Communication &amp; Q&amp;A Effectiveness</v>
      </c>
      <c r="R34" s="133">
        <f>IFERROR(LARGE($AK$2:$AK$599,32),"")</f>
        <v>4</v>
      </c>
      <c r="S34" s="131">
        <f t="shared" ca="1" si="0"/>
        <v>2.3622047244094498E-2</v>
      </c>
      <c r="T34" s="132" t="str">
        <f t="array" aca="1" ref="T34" ca="1">IF(Q34="","",IFERROR(INDEX(SummaryData[Engagement Type],MATCH(TRIM(Q34),TRIM(SummaryData[Statement]),0)),""))</f>
        <v>Large Connect</v>
      </c>
      <c r="AJ34" s="7" t="str">
        <f>IF(Data_Summary!Y35&lt;&gt;"Coverage","",IF(Data_Summary!AA35="","",IF(COUNTIFS(Data_Summary!$Y$2:$Y35,"Coverage",Data_Summary!$AA$2:$AA35,Data_Summary!AA35)=1,Data_Summary!AA35,"")))</f>
        <v>Engagement with Leadership &amp; Confidence Level</v>
      </c>
      <c r="AK34" s="7">
        <f>IF(AJ34="","",COUNTIFS(Data_Summary!$Y$2:$Y$5002,"Coverage",Data_Summary!$AA$2:$AA$5002,AJ34))</f>
        <v>5</v>
      </c>
      <c r="AM34" s="7" t="str">
        <f>IF(Data_Insight!X34="","",IF(COUNTIF(Data_Insight!$X$2:$X34,Data_Insight!X34)=1,Data_Insight!X34,""))</f>
        <v>HR Connect (Project-Wise)</v>
      </c>
      <c r="AN34" s="7">
        <f>IF(AM34="","",COUNTIF(Data_Insight!$X$2:$X$5001,AM34))</f>
        <v>22</v>
      </c>
    </row>
    <row r="35" spans="1:40" ht="21" customHeight="1">
      <c r="A35" s="12" t="s">
        <v>980</v>
      </c>
      <c r="B35" s="12" t="s">
        <v>942</v>
      </c>
      <c r="Q35" s="137" t="str">
        <f t="array" aca="1" ref="Q35" ca="1">IFERROR(INDEX($AJ$2:$AJ$599,MATCH(1,($AK$2:$AK$599=R35)*(COUNTIF($Q$3:$Q34,$AJ$2:$AJ$599)=0)*($AJ$2:$AJ$599&lt;&gt;""),0)),"")</f>
        <v>Visibility on Allocation &amp; Demand</v>
      </c>
      <c r="R35" s="133">
        <f>IFERROR(LARGE($AK$2:$AK$599,33),"")</f>
        <v>3</v>
      </c>
      <c r="S35" s="131">
        <f t="shared" ref="S35:S62" ca="1" si="1">IF(Q35="","",IFERROR(R35/$B$3,0))</f>
        <v>2.3622047244094498E-2</v>
      </c>
      <c r="T35" s="132" t="str">
        <f t="array" aca="1" ref="T35" ca="1">IF(Q35="","",IFERROR(INDEX(SummaryData[Engagement Type],MATCH(TRIM(Q35),TRIM(SummaryData[Statement]),0)),""))</f>
        <v>FGD</v>
      </c>
      <c r="AJ35" s="7" t="str">
        <f>IF(Data_Summary!Y36&lt;&gt;"Coverage","",IF(Data_Summary!AA36="","",IF(COUNTIFS(Data_Summary!$Y$2:$Y36,"Coverage",Data_Summary!$AA$2:$AA36,Data_Summary!AA36)=1,Data_Summary!AA36,"")))</f>
        <v/>
      </c>
      <c r="AK35" s="7" t="str">
        <f>IF(AJ35="","",COUNTIFS(Data_Summary!$Y$2:$Y$5002,"Coverage",Data_Summary!$AA$2:$AA$5002,AJ35))</f>
        <v/>
      </c>
      <c r="AM35" s="7" t="str">
        <f>IF(Data_Insight!X35="","",IF(COUNTIF(Data_Insight!$X$2:$X35,Data_Insight!X35)=1,Data_Insight!X35,""))</f>
        <v/>
      </c>
      <c r="AN35" s="7" t="str">
        <f>IF(AM35="","",COUNTIF(Data_Insight!$X$2:$X$5001,AM35))</f>
        <v/>
      </c>
    </row>
    <row r="36" spans="1:40" ht="22.5" customHeight="1">
      <c r="A36" s="18" t="s">
        <v>117</v>
      </c>
      <c r="B36" s="18">
        <f>COUNTIF(RawData[Status],A36)</f>
        <v>15</v>
      </c>
      <c r="Q36" s="137" t="str">
        <f t="array" aca="1" ref="Q36" ca="1">IFERROR(INDEX($AJ$2:$AJ$599,MATCH(1,($AK$2:$AK$599=R36)*(COUNTIF($Q$3:$Q35,$AJ$2:$AJ$599)=0)*($AJ$2:$AJ$599&lt;&gt;""),0)),"")</f>
        <v>Manager Connect Effectiveness</v>
      </c>
      <c r="R36" s="133">
        <f>IFERROR(LARGE($AK$2:$AK$599,34),"")</f>
        <v>3</v>
      </c>
      <c r="S36" s="131">
        <f t="shared" ca="1" si="1"/>
        <v>2.3622047244094498E-2</v>
      </c>
      <c r="T36" s="132" t="str">
        <f t="array" aca="1" ref="T36" ca="1">IF(Q36="","",IFERROR(INDEX(SummaryData[Engagement Type],MATCH(TRIM(Q36),TRIM(SummaryData[Statement]),0)),""))</f>
        <v>FGD</v>
      </c>
      <c r="AJ36" s="7" t="str">
        <f>IF(Data_Summary!Y37&lt;&gt;"Coverage","",IF(Data_Summary!AA37="","",IF(COUNTIFS(Data_Summary!$Y$2:$Y37,"Coverage",Data_Summary!$AA$2:$AA37,Data_Summary!AA37)=1,Data_Summary!AA37,"")))</f>
        <v/>
      </c>
      <c r="AK36" s="7" t="str">
        <f>IF(AJ36="","",COUNTIFS(Data_Summary!$Y$2:$Y$5002,"Coverage",Data_Summary!$AA$2:$AA$5002,AJ36))</f>
        <v/>
      </c>
      <c r="AM36" s="7" t="str">
        <f>IF(Data_Insight!X36="","",IF(COUNTIF(Data_Insight!$X$2:$X36,Data_Insight!X36)=1,Data_Insight!X36,""))</f>
        <v/>
      </c>
      <c r="AN36" s="7" t="str">
        <f>IF(AM36="","",COUNTIF(Data_Insight!$X$2:$X$5001,AM36))</f>
        <v/>
      </c>
    </row>
    <row r="37" spans="1:40" ht="30" customHeight="1">
      <c r="A37" s="18" t="s">
        <v>169</v>
      </c>
      <c r="B37" s="18">
        <f>COUNTIF(RawData[Status],A37)</f>
        <v>26</v>
      </c>
      <c r="Q37" s="137" t="str">
        <f t="array" aca="1" ref="Q37" ca="1">IFERROR(INDEX($AJ$2:$AJ$599,MATCH(1,($AK$2:$AK$599=R37)*(COUNTIF($Q$3:$Q36,$AJ$2:$AJ$599)=0)*($AJ$2:$AJ$599&lt;&gt;""),0)),"")</f>
        <v>Role Confidence Level</v>
      </c>
      <c r="R37" s="133">
        <f>IFERROR(LARGE($AK$2:$AK$599,35),"")</f>
        <v>3</v>
      </c>
      <c r="S37" s="131">
        <f t="shared" ca="1" si="1"/>
        <v>2.3622047244094498E-2</v>
      </c>
      <c r="T37" s="132" t="str">
        <f t="array" aca="1" ref="T37" ca="1">IF(Q37="","",IFERROR(INDEX(SummaryData[Engagement Type],MATCH(TRIM(Q37),TRIM(SummaryData[Statement]),0)),""))</f>
        <v>Large Connect</v>
      </c>
      <c r="AJ37" s="7" t="str">
        <f>IF(Data_Summary!Y38&lt;&gt;"Coverage","",IF(Data_Summary!AA38="","",IF(COUNTIFS(Data_Summary!$Y$2:$Y38,"Coverage",Data_Summary!$AA$2:$AA38,Data_Summary!AA38)=1,Data_Summary!AA38,"")))</f>
        <v>Learning &amp; Career Enablement</v>
      </c>
      <c r="AK37" s="7">
        <f>IF(AJ37="","",COUNTIFS(Data_Summary!$Y$2:$Y$5002,"Coverage",Data_Summary!$AA$2:$AA$5002,AJ37))</f>
        <v>4</v>
      </c>
      <c r="AM37" s="7" t="str">
        <f>IF(Data_Insight!X37="","",IF(COUNTIF(Data_Insight!$X$2:$X37,Data_Insight!X37)=1,Data_Insight!X37,""))</f>
        <v/>
      </c>
      <c r="AN37" s="7" t="str">
        <f>IF(AM37="","",COUNTIF(Data_Insight!$X$2:$X$5001,AM37))</f>
        <v/>
      </c>
    </row>
    <row r="38" spans="1:40" ht="24" customHeight="1">
      <c r="A38" s="18" t="s">
        <v>130</v>
      </c>
      <c r="B38" s="18">
        <f>COUNTIF(RawData[Status],A38)</f>
        <v>124</v>
      </c>
      <c r="Q38" s="137" t="str">
        <f t="array" aca="1" ref="Q38" ca="1">IFERROR(INDEX($AJ$2:$AJ$599,MATCH(1,($AK$2:$AK$599=R38)*(COUNTIF($Q$3:$Q37,$AJ$2:$AJ$599)=0)*($AJ$2:$AJ$599&lt;&gt;""),0)),"")</f>
        <v>Internal Growth Opportunities</v>
      </c>
      <c r="R38" s="133">
        <f>IFERROR(LARGE($AK$2:$AK$599,36),"")</f>
        <v>3</v>
      </c>
      <c r="S38" s="131">
        <f t="shared" ca="1" si="1"/>
        <v>2.3622047244094498E-2</v>
      </c>
      <c r="T38" s="132" t="str">
        <f t="array" aca="1" ref="T38" ca="1">IF(Q38="","",IFERROR(INDEX(SummaryData[Engagement Type],MATCH(TRIM(Q38),TRIM(SummaryData[Statement]),0)),""))</f>
        <v>Large Connect</v>
      </c>
      <c r="AJ38" s="7" t="str">
        <f>IF(Data_Summary!Y39&lt;&gt;"Coverage","",IF(Data_Summary!AA39="","",IF(COUNTIFS(Data_Summary!$Y$2:$Y39,"Coverage",Data_Summary!$AA$2:$AA39,Data_Summary!AA39)=1,Data_Summary!AA39,"")))</f>
        <v/>
      </c>
      <c r="AK38" s="7" t="str">
        <f>IF(AJ38="","",COUNTIFS(Data_Summary!$Y$2:$Y$5002,"Coverage",Data_Summary!$AA$2:$AA$5002,AJ38))</f>
        <v/>
      </c>
      <c r="AM38" s="7" t="str">
        <f>IF(Data_Insight!X38="","",IF(COUNTIF(Data_Insight!$X$2:$X38,Data_Insight!X38)=1,Data_Insight!X38,""))</f>
        <v/>
      </c>
      <c r="AN38" s="7" t="str">
        <f>IF(AM38="","",COUNTIF(Data_Insight!$X$2:$X$5001,AM38))</f>
        <v/>
      </c>
    </row>
    <row r="39" spans="1:40" ht="25.5" customHeight="1">
      <c r="Q39" s="137" t="str">
        <f t="array" aca="1" ref="Q39" ca="1">IFERROR(INDEX($AJ$2:$AJ$599,MATCH(1,($AK$2:$AK$599=R39)*(COUNTIF($Q$3:$Q38,$AJ$2:$AJ$599)=0)*($AJ$2:$AJ$599&lt;&gt;""),0)),"")</f>
        <v>Engagement &amp; Belonging</v>
      </c>
      <c r="R39" s="133">
        <f>IFERROR(LARGE($AK$2:$AK$599,37),"")</f>
        <v>3</v>
      </c>
      <c r="S39" s="131">
        <f t="shared" ca="1" si="1"/>
        <v>2.3622047244094498E-2</v>
      </c>
      <c r="T39" s="132" t="str">
        <f t="array" aca="1" ref="T39" ca="1">IF(Q39="","",IFERROR(INDEX(SummaryData[Engagement Type],MATCH(TRIM(Q39),TRIM(SummaryData[Statement]),0)),""))</f>
        <v>FGD</v>
      </c>
      <c r="AJ39" s="7" t="str">
        <f>IF(Data_Summary!Y40&lt;&gt;"Coverage","",IF(Data_Summary!AA40="","",IF(COUNTIFS(Data_Summary!$Y$2:$Y40,"Coverage",Data_Summary!$AA$2:$AA40,Data_Summary!AA40)=1,Data_Summary!AA40,"")))</f>
        <v/>
      </c>
      <c r="AK39" s="7" t="str">
        <f>IF(AJ39="","",COUNTIFS(Data_Summary!$Y$2:$Y$5002,"Coverage",Data_Summary!$AA$2:$AA$5002,AJ39))</f>
        <v/>
      </c>
      <c r="AM39" s="7" t="str">
        <f>IF(Data_Insight!X39="","",IF(COUNTIF(Data_Insight!$X$2:$X39,Data_Insight!X39)=1,Data_Insight!X39,""))</f>
        <v/>
      </c>
      <c r="AN39" s="7" t="str">
        <f>IF(AM39="","",COUNTIF(Data_Insight!$X$2:$X$5001,AM39))</f>
        <v/>
      </c>
    </row>
    <row r="40" spans="1:40" ht="15.75" customHeight="1">
      <c r="A40" s="8" t="s">
        <v>985</v>
      </c>
      <c r="B40" s="8"/>
      <c r="Q40" s="137" t="str">
        <f t="array" aca="1" ref="Q40" ca="1">IFERROR(INDEX($AJ$2:$AJ$599,MATCH(1,($AK$2:$AK$599=R40)*(COUNTIF($Q$3:$Q39,$AJ$2:$AJ$599)=0)*($AJ$2:$AJ$599&lt;&gt;""),0)),"")</f>
        <v>Collaboration &amp; Team Bonding</v>
      </c>
      <c r="R40" s="133">
        <f>IFERROR(LARGE($AK$2:$AK$599,38),"")</f>
        <v>3</v>
      </c>
      <c r="S40" s="131">
        <f t="shared" ca="1" si="1"/>
        <v>1.5748031496062999E-2</v>
      </c>
      <c r="T40" s="132" t="str">
        <f t="array" aca="1" ref="T40" ca="1">IF(Q40="","",IFERROR(INDEX(SummaryData[Engagement Type],MATCH(TRIM(Q40),TRIM(SummaryData[Statement]),0)),""))</f>
        <v>Account based</v>
      </c>
      <c r="AJ40" s="7" t="str">
        <f>IF(Data_Summary!Y41&lt;&gt;"Coverage","",IF(Data_Summary!AA41="","",IF(COUNTIFS(Data_Summary!$Y$2:$Y41,"Coverage",Data_Summary!$AA$2:$AA41,Data_Summary!AA41)=1,Data_Summary!AA41,"")))</f>
        <v/>
      </c>
      <c r="AK40" s="7" t="str">
        <f>IF(AJ40="","",COUNTIFS(Data_Summary!$Y$2:$Y$5002,"Coverage",Data_Summary!$AA$2:$AA$5002,AJ40))</f>
        <v/>
      </c>
      <c r="AM40" s="7" t="str">
        <f>IF(Data_Insight!X40="","",IF(COUNTIF(Data_Insight!$X$2:$X40,Data_Insight!X40)=1,Data_Insight!X40,""))</f>
        <v/>
      </c>
      <c r="AN40" s="7" t="str">
        <f>IF(AM40="","",COUNTIF(Data_Insight!$X$2:$X$5001,AM40))</f>
        <v/>
      </c>
    </row>
    <row r="41" spans="1:40" ht="13.5" customHeight="1">
      <c r="A41" s="12" t="s">
        <v>980</v>
      </c>
      <c r="B41" s="12" t="s">
        <v>942</v>
      </c>
      <c r="Q41" s="137" t="str">
        <f t="array" aca="1" ref="Q41" ca="1">IFERROR(INDEX($AJ$2:$AJ$599,MATCH(1,($AK$2:$AK$599=R41)*(COUNTIF($Q$3:$Q40,$AJ$2:$AJ$599)=0)*($AJ$2:$AJ$599&lt;&gt;""),0)),"")</f>
        <v>Talent Pipeline &amp; Capability Building</v>
      </c>
      <c r="R41" s="133">
        <f>IFERROR(LARGE($AK$2:$AK$599,39),"")</f>
        <v>3</v>
      </c>
      <c r="S41" s="131">
        <f t="shared" ca="1" si="1"/>
        <v>1.5748031496062999E-2</v>
      </c>
      <c r="T41" s="132" t="str">
        <f t="array" aca="1" ref="T41" ca="1">IF(Q41="","",IFERROR(INDEX(SummaryData[Engagement Type],MATCH(TRIM(Q41),TRIM(SummaryData[Statement]),0)),""))</f>
        <v>Leadership Connect</v>
      </c>
      <c r="AJ41" s="7" t="str">
        <f>IF(Data_Summary!Y42&lt;&gt;"Coverage","",IF(Data_Summary!AA42="","",IF(COUNTIFS(Data_Summary!$Y$2:$Y42,"Coverage",Data_Summary!$AA$2:$AA42,Data_Summary!AA42)=1,Data_Summary!AA42,"")))</f>
        <v>Support Program Utilization</v>
      </c>
      <c r="AK41" s="7">
        <f>IF(AJ41="","",COUNTIFS(Data_Summary!$Y$2:$Y$5002,"Coverage",Data_Summary!$AA$2:$AA$5002,AJ41))</f>
        <v>1</v>
      </c>
      <c r="AM41" s="7" t="str">
        <f>IF(Data_Insight!X41="","",IF(COUNTIF(Data_Insight!$X$2:$X41,Data_Insight!X41)=1,Data_Insight!X41,""))</f>
        <v/>
      </c>
      <c r="AN41" s="7" t="str">
        <f>IF(AM41="","",COUNTIF(Data_Insight!$X$2:$X$5001,AM41))</f>
        <v/>
      </c>
    </row>
    <row r="42" spans="1:40" ht="15" customHeight="1">
      <c r="A42" s="18" t="s">
        <v>22</v>
      </c>
      <c r="B42" s="18">
        <f>COUNTIF(RawData[CARES Framework],A42)</f>
        <v>97</v>
      </c>
      <c r="Q42" s="137" t="str">
        <f t="array" aca="1" ref="Q42" ca="1">IFERROR(INDEX($AJ$2:$AJ$599,MATCH(1,($AK$2:$AK$599=R42)*(COUNTIF($Q$3:$Q41,$AJ$2:$AJ$599)=0)*($AJ$2:$AJ$599&lt;&gt;""),0)),"")</f>
        <v>Stress &amp; Burnout Management</v>
      </c>
      <c r="R42" s="133">
        <f>IFERROR(LARGE($AK$2:$AK$599,40),"")</f>
        <v>3</v>
      </c>
      <c r="S42" s="131">
        <f t="shared" ca="1" si="1"/>
        <v>1.5748031496062999E-2</v>
      </c>
      <c r="T42" s="132" t="str">
        <f t="array" aca="1" ref="T42" ca="1">IF(Q42="","",IFERROR(INDEX(SummaryData[Engagement Type],MATCH(TRIM(Q42),TRIM(SummaryData[Statement]),0)),""))</f>
        <v>Floor Connect</v>
      </c>
      <c r="AJ42" s="7" t="str">
        <f>IF(Data_Summary!Y43&lt;&gt;"Coverage","",IF(Data_Summary!AA43="","",IF(COUNTIFS(Data_Summary!$Y$2:$Y43,"Coverage",Data_Summary!$AA$2:$AA43,Data_Summary!AA43)=1,Data_Summary!AA43,"")))</f>
        <v>Participation &amp; Engagement</v>
      </c>
      <c r="AK42" s="7">
        <f>IF(AJ42="","",COUNTIFS(Data_Summary!$Y$2:$Y$5002,"Coverage",Data_Summary!$AA$2:$AA$5002,AJ42))</f>
        <v>1</v>
      </c>
      <c r="AM42" s="7" t="str">
        <f>IF(Data_Insight!X42="","",IF(COUNTIF(Data_Insight!$X$2:$X42,Data_Insight!X42)=1,Data_Insight!X42,""))</f>
        <v/>
      </c>
      <c r="AN42" s="7" t="str">
        <f>IF(AM42="","",COUNTIF(Data_Insight!$X$2:$X$5001,AM42))</f>
        <v/>
      </c>
    </row>
    <row r="43" spans="1:40" ht="15" customHeight="1">
      <c r="A43" s="18" t="s">
        <v>21</v>
      </c>
      <c r="B43" s="18">
        <f>COUNTIF(RawData[CARES Framework],A43)</f>
        <v>22</v>
      </c>
      <c r="Q43" s="137" t="str">
        <f t="array" aca="1" ref="Q43" ca="1">IFERROR(INDEX($AJ$2:$AJ$599,MATCH(1,($AK$2:$AK$599=R43)*(COUNTIF($Q$3:$Q42,$AJ$2:$AJ$599)=0)*($AJ$2:$AJ$599&lt;&gt;""),0)),"")</f>
        <v>On Leave/comp-off Due To Client Calendar Mismatches</v>
      </c>
      <c r="R43" s="133">
        <f>IFERROR(LARGE($AK$2:$AK$599,41),"")</f>
        <v>2</v>
      </c>
      <c r="S43" s="131">
        <f t="shared" ca="1" si="1"/>
        <v>1.5748031496062999E-2</v>
      </c>
      <c r="T43" s="132" t="str">
        <f t="array" aca="1" ref="T43" ca="1">IF(Q43="","",IFERROR(INDEX(SummaryData[Engagement Type],MATCH(TRIM(Q43),TRIM(SummaryData[Statement]),0)),""))</f>
        <v>Floor Connect</v>
      </c>
      <c r="AJ43" s="7" t="str">
        <f>IF(Data_Summary!Y44&lt;&gt;"Coverage","",IF(Data_Summary!AA44="","",IF(COUNTIFS(Data_Summary!$Y$2:$Y44,"Coverage",Data_Summary!$AA$2:$AA44,Data_Summary!AA44)=1,Data_Summary!AA44,"")))</f>
        <v>Stress &amp; Burnout Management</v>
      </c>
      <c r="AK43" s="7">
        <f>IF(AJ43="","",COUNTIFS(Data_Summary!$Y$2:$Y$5002,"Coverage",Data_Summary!$AA$2:$AA$5002,AJ43))</f>
        <v>2</v>
      </c>
      <c r="AM43" s="7" t="str">
        <f>IF(Data_Insight!X43="","",IF(COUNTIF(Data_Insight!$X$2:$X43,Data_Insight!X43)=1,Data_Insight!X43,""))</f>
        <v/>
      </c>
      <c r="AN43" s="7" t="str">
        <f>IF(AM43="","",COUNTIF(Data_Insight!$X$2:$X$5001,AM43))</f>
        <v/>
      </c>
    </row>
    <row r="44" spans="1:40" ht="15" customHeight="1">
      <c r="A44" s="18" t="s">
        <v>24</v>
      </c>
      <c r="B44" s="18">
        <f>COUNTIF(RawData[CARES Framework],A44)</f>
        <v>30</v>
      </c>
      <c r="Q44" s="137" t="str">
        <f t="array" aca="1" ref="Q44" ca="1">IFERROR(INDEX($AJ$2:$AJ$599,MATCH(1,($AK$2:$AK$599=R44)*(COUNTIF($Q$3:$Q43,$AJ$2:$AJ$599)=0)*($AJ$2:$AJ$599&lt;&gt;""),0)),"")</f>
        <v>Celebrating Small Wins</v>
      </c>
      <c r="R44" s="133">
        <f>IFERROR(LARGE($AK$2:$AK$599,42),"")</f>
        <v>2</v>
      </c>
      <c r="S44" s="131">
        <f t="shared" ca="1" si="1"/>
        <v>1.5748031496062999E-2</v>
      </c>
      <c r="T44" s="132" t="str">
        <f t="array" aca="1" ref="T44" ca="1">IF(Q44="","",IFERROR(INDEX(SummaryData[Engagement Type],MATCH(TRIM(Q44),TRIM(SummaryData[Statement]),0)),""))</f>
        <v>Large Connect</v>
      </c>
      <c r="AJ44" s="7" t="str">
        <f>IF(Data_Summary!Y45&lt;&gt;"Coverage","",IF(Data_Summary!AA45="","",IF(COUNTIFS(Data_Summary!$Y$2:$Y45,"Coverage",Data_Summary!$AA$2:$AA45,Data_Summary!AA45)=1,Data_Summary!AA45,"")))</f>
        <v>Flexibility Alignment</v>
      </c>
      <c r="AK44" s="7">
        <f>IF(AJ44="","",COUNTIFS(Data_Summary!$Y$2:$Y$5002,"Coverage",Data_Summary!$AA$2:$AA$5002,AJ44))</f>
        <v>1</v>
      </c>
      <c r="AM44" s="7" t="str">
        <f>IF(Data_Insight!X44="","",IF(COUNTIF(Data_Insight!$X$2:$X44,Data_Insight!X44)=1,Data_Insight!X44,""))</f>
        <v/>
      </c>
      <c r="AN44" s="7" t="str">
        <f>IF(AM44="","",COUNTIF(Data_Insight!$X$2:$X$5001,AM44))</f>
        <v/>
      </c>
    </row>
    <row r="45" spans="1:40" ht="15" customHeight="1">
      <c r="A45" s="18" t="s">
        <v>23</v>
      </c>
      <c r="B45" s="18">
        <f>COUNTIF(RawData[CARES Framework],A45)</f>
        <v>9</v>
      </c>
      <c r="Q45" s="137" t="str">
        <f t="array" aca="1" ref="Q45" ca="1">IFERROR(INDEX($AJ$2:$AJ$599,MATCH(1,($AK$2:$AK$599=R45)*(COUNTIF($Q$3:$Q44,$AJ$2:$AJ$599)=0)*($AJ$2:$AJ$599&lt;&gt;""),0)),"")</f>
        <v>Wellbeing via Social Connection</v>
      </c>
      <c r="R45" s="133">
        <f>IFERROR(LARGE($AK$2:$AK$599,43),"")</f>
        <v>2</v>
      </c>
      <c r="S45" s="131">
        <f t="shared" ca="1" si="1"/>
        <v>1.5748031496062999E-2</v>
      </c>
      <c r="T45" s="132" t="str">
        <f t="array" aca="1" ref="T45" ca="1">IF(Q45="","",IFERROR(INDEX(SummaryData[Engagement Type],MATCH(TRIM(Q45),TRIM(SummaryData[Statement]),0)),""))</f>
        <v>Large Connect</v>
      </c>
      <c r="AJ45" s="7" t="str">
        <f>IF(Data_Summary!Y46&lt;&gt;"Coverage","",IF(Data_Summary!AA46="","",IF(COUNTIFS(Data_Summary!$Y$2:$Y46,"Coverage",Data_Summary!$AA$2:$AA46,Data_Summary!AA46)=1,Data_Summary!AA46,"")))</f>
        <v/>
      </c>
      <c r="AK45" s="7" t="str">
        <f>IF(AJ45="","",COUNTIFS(Data_Summary!$Y$2:$Y$5002,"Coverage",Data_Summary!$AA$2:$AA$5002,AJ45))</f>
        <v/>
      </c>
      <c r="AM45" s="7" t="str">
        <f>IF(Data_Insight!X45="","",IF(COUNTIF(Data_Insight!$X$2:$X45,Data_Insight!X45)=1,Data_Insight!X45,""))</f>
        <v/>
      </c>
      <c r="AN45" s="7" t="str">
        <f>IF(AM45="","",COUNTIF(Data_Insight!$X$2:$X$5001,AM45))</f>
        <v/>
      </c>
    </row>
    <row r="46" spans="1:40" ht="15" customHeight="1">
      <c r="A46" s="18" t="s">
        <v>25</v>
      </c>
      <c r="B46" s="18">
        <f>COUNTIF(RawData[CARES Framework],A46)</f>
        <v>7</v>
      </c>
      <c r="Q46" s="137" t="str">
        <f t="array" aca="1" ref="Q46" ca="1">IFERROR(INDEX($AJ$2:$AJ$599,MATCH(1,($AK$2:$AK$599=R46)*(COUNTIF($Q$3:$Q45,$AJ$2:$AJ$599)=0)*($AJ$2:$AJ$599&lt;&gt;""),0)),"")</f>
        <v>Project Allocation Clarity</v>
      </c>
      <c r="R46" s="133">
        <f>IFERROR(LARGE($AK$2:$AK$599,44),"")</f>
        <v>2</v>
      </c>
      <c r="S46" s="131">
        <f t="shared" ca="1" si="1"/>
        <v>1.5748031496062999E-2</v>
      </c>
      <c r="T46" s="132" t="str">
        <f t="array" aca="1" ref="T46" ca="1">IF(Q46="","",IFERROR(INDEX(SummaryData[Engagement Type],MATCH(TRIM(Q46),TRIM(SummaryData[Statement]),0)),""))</f>
        <v>FGD</v>
      </c>
      <c r="AJ46" s="7" t="str">
        <f>IF(Data_Summary!Y47&lt;&gt;"Coverage","",IF(Data_Summary!AA47="","",IF(COUNTIFS(Data_Summary!$Y$2:$Y47,"Coverage",Data_Summary!$AA$2:$AA47,Data_Summary!AA47)=1,Data_Summary!AA47,"")))</f>
        <v/>
      </c>
      <c r="AK46" s="7" t="str">
        <f>IF(AJ46="","",COUNTIFS(Data_Summary!$Y$2:$Y$5002,"Coverage",Data_Summary!$AA$2:$AA$5002,AJ46))</f>
        <v/>
      </c>
      <c r="AM46" s="7" t="str">
        <f>IF(Data_Insight!X46="","",IF(COUNTIF(Data_Insight!$X$2:$X46,Data_Insight!X46)=1,Data_Insight!X46,""))</f>
        <v/>
      </c>
      <c r="AN46" s="7" t="str">
        <f>IF(AM46="","",COUNTIF(Data_Insight!$X$2:$X$5001,AM46))</f>
        <v/>
      </c>
    </row>
    <row r="47" spans="1:40" ht="15" customHeight="1">
      <c r="A47" s="18"/>
      <c r="B47" s="18"/>
      <c r="Q47" s="137" t="str">
        <f t="array" aca="1" ref="Q47" ca="1">IFERROR(INDEX($AJ$2:$AJ$599,MATCH(1,($AK$2:$AK$599=R47)*(COUNTIF($Q$3:$Q46,$AJ$2:$AJ$599)=0)*($AJ$2:$AJ$599&lt;&gt;""),0)),"")</f>
        <v>Recognition &amp; Motivation</v>
      </c>
      <c r="R47" s="133">
        <f>IFERROR(LARGE($AK$2:$AK$599,45),"")</f>
        <v>2</v>
      </c>
      <c r="S47" s="131">
        <f t="shared" ca="1" si="1"/>
        <v>1.5748031496062999E-2</v>
      </c>
      <c r="T47" s="132" t="str">
        <f t="array" aca="1" ref="T47" ca="1">IF(Q47="","",IFERROR(INDEX(SummaryData[Engagement Type],MATCH(TRIM(Q47),TRIM(SummaryData[Statement]),0)),""))</f>
        <v>Location-Offshore</v>
      </c>
      <c r="AJ47" s="7" t="str">
        <f>IF(Data_Summary!Y48&lt;&gt;"Coverage","",IF(Data_Summary!AA48="","",IF(COUNTIFS(Data_Summary!$Y$2:$Y48,"Coverage",Data_Summary!$AA$2:$AA48,Data_Summary!AA48)=1,Data_Summary!AA48,"")))</f>
        <v/>
      </c>
      <c r="AK47" s="7" t="str">
        <f>IF(AJ47="","",COUNTIFS(Data_Summary!$Y$2:$Y$5002,"Coverage",Data_Summary!$AA$2:$AA$5002,AJ47))</f>
        <v/>
      </c>
      <c r="AM47" s="7" t="str">
        <f>IF(Data_Insight!X47="","",IF(COUNTIF(Data_Insight!$X$2:$X47,Data_Insight!X47)=1,Data_Insight!X47,""))</f>
        <v/>
      </c>
      <c r="AN47" s="7" t="str">
        <f>IF(AM47="","",COUNTIF(Data_Insight!$X$2:$X$5001,AM47))</f>
        <v/>
      </c>
    </row>
    <row r="48" spans="1:40" ht="15" customHeight="1">
      <c r="A48" s="193" t="s">
        <v>986</v>
      </c>
      <c r="B48" s="193"/>
      <c r="C48" s="193"/>
      <c r="D48" s="193"/>
      <c r="Q48" s="137" t="str">
        <f t="array" aca="1" ref="Q48" ca="1">IFERROR(INDEX($AJ$2:$AJ$599,MATCH(1,($AK$2:$AK$599=R48)*(COUNTIF($Q$3:$Q47,$AJ$2:$AJ$599)=0)*($AJ$2:$AJ$599&lt;&gt;""),0)),"")</f>
        <v>Learning/cert Support Requests</v>
      </c>
      <c r="R48" s="133">
        <f>IFERROR(LARGE($AK$2:$AK$599,46),"")</f>
        <v>2</v>
      </c>
      <c r="S48" s="131">
        <f t="shared" ca="1" si="1"/>
        <v>1.5748031496062999E-2</v>
      </c>
      <c r="T48" s="132" t="str">
        <f t="array" aca="1" ref="T48" ca="1">IF(Q48="","",IFERROR(INDEX(SummaryData[Engagement Type],MATCH(TRIM(Q48),TRIM(SummaryData[Statement]),0)),""))</f>
        <v>Location-Offshore</v>
      </c>
      <c r="AJ48" s="7" t="str">
        <f>IF(Data_Summary!Y49&lt;&gt;"Coverage","",IF(Data_Summary!AA49="","",IF(COUNTIFS(Data_Summary!$Y$2:$Y49,"Coverage",Data_Summary!$AA$2:$AA49,Data_Summary!AA49)=1,Data_Summary!AA49,"")))</f>
        <v/>
      </c>
      <c r="AK48" s="7" t="str">
        <f>IF(AJ48="","",COUNTIFS(Data_Summary!$Y$2:$Y$5002,"Coverage",Data_Summary!$AA$2:$AA$5002,AJ48))</f>
        <v/>
      </c>
      <c r="AM48" s="7" t="str">
        <f>IF(Data_Insight!X48="","",IF(COUNTIF(Data_Insight!$X$2:$X48,Data_Insight!X48)=1,Data_Insight!X48,""))</f>
        <v/>
      </c>
      <c r="AN48" s="7" t="str">
        <f>IF(AM48="","",COUNTIF(Data_Insight!$X$2:$X$5001,AM48))</f>
        <v/>
      </c>
    </row>
    <row r="49" spans="1:40" ht="15" customHeight="1">
      <c r="A49" s="12" t="s">
        <v>987</v>
      </c>
      <c r="B49" s="12" t="s">
        <v>942</v>
      </c>
      <c r="C49" s="12" t="s">
        <v>988</v>
      </c>
      <c r="Q49" s="137" t="str">
        <f t="array" aca="1" ref="Q49" ca="1">IFERROR(INDEX($AJ$2:$AJ$599,MATCH(1,($AK$2:$AK$599=R49)*(COUNTIF($Q$3:$Q48,$AJ$2:$AJ$599)=0)*($AJ$2:$AJ$599&lt;&gt;""),0)),"")</f>
        <v>For Consolidated HR Communications Rather Than Scattered Upd</v>
      </c>
      <c r="R49" s="133">
        <f>IFERROR(LARGE($AK$2:$AK$599,47),"")</f>
        <v>2</v>
      </c>
      <c r="S49" s="131">
        <f t="shared" ca="1" si="1"/>
        <v>1.5748031496062999E-2</v>
      </c>
      <c r="T49" s="132" t="str">
        <f t="array" aca="1" ref="T49" ca="1">IF(Q49="","",IFERROR(INDEX(SummaryData[Engagement Type],MATCH(TRIM(Q49),TRIM(SummaryData[Statement]),0)),""))</f>
        <v>FGD</v>
      </c>
      <c r="AJ49" s="7" t="str">
        <f>IF(Data_Summary!Y50&lt;&gt;"Coverage","",IF(Data_Summary!AA50="","",IF(COUNTIFS(Data_Summary!$Y$2:$Y50,"Coverage",Data_Summary!$AA$2:$AA50,Data_Summary!AA50)=1,Data_Summary!AA50,"")))</f>
        <v/>
      </c>
      <c r="AK49" s="7" t="str">
        <f>IF(AJ49="","",COUNTIFS(Data_Summary!$Y$2:$Y$5002,"Coverage",Data_Summary!$AA$2:$AA$5002,AJ49))</f>
        <v/>
      </c>
      <c r="AM49" s="7" t="str">
        <f>IF(Data_Insight!X49="","",IF(COUNTIF(Data_Insight!$X$2:$X49,Data_Insight!X49)=1,Data_Insight!X49,""))</f>
        <v/>
      </c>
      <c r="AN49" s="7" t="str">
        <f>IF(AM49="","",COUNTIF(Data_Insight!$X$2:$X$5001,AM49))</f>
        <v/>
      </c>
    </row>
    <row r="50" spans="1:40" ht="15" customHeight="1">
      <c r="A50" s="18" t="s">
        <v>109</v>
      </c>
      <c r="B50" s="18">
        <f>COUNTIF(RawData[Engagement Mode],C50)</f>
        <v>112</v>
      </c>
      <c r="C50" s="26" t="s">
        <v>109</v>
      </c>
      <c r="Q50" s="137" t="str">
        <f t="array" aca="1" ref="Q50" ca="1">IFERROR(INDEX($AJ$2:$AJ$599,MATCH(1,($AK$2:$AK$599=R50)*(COUNTIF($Q$3:$Q49,$AJ$2:$AJ$599)=0)*($AJ$2:$AJ$599&lt;&gt;""),0)),"")</f>
        <v>Career Support &amp; Sponsorship</v>
      </c>
      <c r="R50" s="133">
        <f>IFERROR(LARGE($AK$2:$AK$599,48),"")</f>
        <v>2</v>
      </c>
      <c r="S50" s="131">
        <f t="shared" ca="1" si="1"/>
        <v>1.5748031496062999E-2</v>
      </c>
      <c r="T50" s="132" t="str">
        <f t="array" aca="1" ref="T50" ca="1">IF(Q50="","",IFERROR(INDEX(SummaryData[Engagement Type],MATCH(TRIM(Q50),TRIM(SummaryData[Statement]),0)),""))</f>
        <v>Connect with Women Associates</v>
      </c>
      <c r="AJ50" s="7" t="str">
        <f>IF(Data_Summary!Y51&lt;&gt;"Coverage","",IF(Data_Summary!AA51="","",IF(COUNTIFS(Data_Summary!$Y$2:$Y51,"Coverage",Data_Summary!$AA$2:$AA51,Data_Summary!AA51)=1,Data_Summary!AA51,"")))</f>
        <v>Clarity On Appraisal/performance Timelines And Edge Cases</v>
      </c>
      <c r="AK50" s="7">
        <f>IF(AJ50="","",COUNTIFS(Data_Summary!$Y$2:$Y$5002,"Coverage",Data_Summary!$AA$2:$AA$5002,AJ50))</f>
        <v>3</v>
      </c>
      <c r="AM50" s="7" t="str">
        <f>IF(Data_Insight!X50="","",IF(COUNTIF(Data_Insight!$X$2:$X50,Data_Insight!X50)=1,Data_Insight!X50,""))</f>
        <v/>
      </c>
      <c r="AN50" s="7" t="str">
        <f>IF(AM50="","",COUNTIF(Data_Insight!$X$2:$X$5001,AM50))</f>
        <v/>
      </c>
    </row>
    <row r="51" spans="1:40" ht="15" customHeight="1">
      <c r="A51" s="18" t="s">
        <v>989</v>
      </c>
      <c r="B51" s="18">
        <f>COUNTIF(RawData[Engagement Mode],C51)</f>
        <v>40</v>
      </c>
      <c r="C51" s="26" t="s">
        <v>123</v>
      </c>
      <c r="Q51" s="137" t="str">
        <f t="array" aca="1" ref="Q51" ca="1">IFERROR(INDEX($AJ$2:$AJ$599,MATCH(1,($AK$2:$AK$599=R51)*(COUNTIF($Q$3:$Q50,$AJ$2:$AJ$599)=0)*($AJ$2:$AJ$599&lt;&gt;""),0)),"")</f>
        <v>Recognition &amp; Visibility</v>
      </c>
      <c r="R51" s="133">
        <f>IFERROR(LARGE($AK$2:$AK$599,49),"")</f>
        <v>2</v>
      </c>
      <c r="S51" s="131">
        <f t="shared" ca="1" si="1"/>
        <v>1.5748031496062999E-2</v>
      </c>
      <c r="T51" s="132" t="str">
        <f t="array" aca="1" ref="T51" ca="1">IF(Q51="","",IFERROR(INDEX(SummaryData[Engagement Type],MATCH(TRIM(Q51),TRIM(SummaryData[Statement]),0)),""))</f>
        <v>Connect with Women Associates</v>
      </c>
      <c r="AJ51" s="7" t="str">
        <f>IF(Data_Summary!Y52&lt;&gt;"Coverage","",IF(Data_Summary!AA52="","",IF(COUNTIFS(Data_Summary!$Y$2:$Y52,"Coverage",Data_Summary!$AA$2:$AA52,Data_Summary!AA52)=1,Data_Summary!AA52,"")))</f>
        <v/>
      </c>
      <c r="AK51" s="7" t="str">
        <f>IF(AJ51="","",COUNTIFS(Data_Summary!$Y$2:$Y$5002,"Coverage",Data_Summary!$AA$2:$AA$5002,AJ51))</f>
        <v/>
      </c>
      <c r="AM51" s="7" t="str">
        <f>IF(Data_Insight!X51="","",IF(COUNTIF(Data_Insight!$X$2:$X51,Data_Insight!X51)=1,Data_Insight!X51,""))</f>
        <v/>
      </c>
      <c r="AN51" s="7" t="str">
        <f>IF(AM51="","",COUNTIF(Data_Insight!$X$2:$X$5001,AM51))</f>
        <v/>
      </c>
    </row>
    <row r="52" spans="1:40" ht="15" customHeight="1">
      <c r="A52" s="18" t="s">
        <v>990</v>
      </c>
      <c r="B52" s="18">
        <f>COUNTIF(RawData[Engagement Mode],C52)</f>
        <v>9</v>
      </c>
      <c r="C52" s="26" t="s">
        <v>248</v>
      </c>
      <c r="Q52" s="137" t="str">
        <f t="array" aca="1" ref="Q52" ca="1">IFERROR(INDEX($AJ$2:$AJ$599,MATCH(1,($AK$2:$AK$599=R52)*(COUNTIF($Q$3:$Q51,$AJ$2:$AJ$599)=0)*($AJ$2:$AJ$599&lt;&gt;""),0)),"")</f>
        <v>Career Path Visibility</v>
      </c>
      <c r="R52" s="133">
        <f>IFERROR(LARGE($AK$2:$AK$599,50),"")</f>
        <v>2</v>
      </c>
      <c r="S52" s="131">
        <f t="shared" ca="1" si="1"/>
        <v>1.5748031496062999E-2</v>
      </c>
      <c r="T52" s="132" t="str">
        <f t="array" aca="1" ref="T52" ca="1">IF(Q52="","",IFERROR(INDEX(SummaryData[Engagement Type],MATCH(TRIM(Q52),TRIM(SummaryData[Statement]),0)),""))</f>
        <v>Large Connect</v>
      </c>
      <c r="AJ52" s="7" t="str">
        <f>IF(Data_Summary!Y53&lt;&gt;"Coverage","",IF(Data_Summary!AA53="","",IF(COUNTIFS(Data_Summary!$Y$2:$Y53,"Coverage",Data_Summary!$AA$2:$AA53,Data_Summary!AA53)=1,Data_Summary!AA53,"")))</f>
        <v>Timesheet Submission/approval Process Inconsistencies Create</v>
      </c>
      <c r="AK52" s="7">
        <f>IF(AJ52="","",COUNTIFS(Data_Summary!$Y$2:$Y$5002,"Coverage",Data_Summary!$AA$2:$AA$5002,AJ52))</f>
        <v>6</v>
      </c>
      <c r="AM52" s="7" t="str">
        <f>IF(Data_Insight!X52="","",IF(COUNTIF(Data_Insight!$X$2:$X52,Data_Insight!X52)=1,Data_Insight!X52,""))</f>
        <v/>
      </c>
      <c r="AN52" s="7" t="str">
        <f>IF(AM52="","",COUNTIF(Data_Insight!$X$2:$X$5001,AM52))</f>
        <v/>
      </c>
    </row>
    <row r="53" spans="1:40" ht="15" customHeight="1">
      <c r="A53" s="18" t="s">
        <v>991</v>
      </c>
      <c r="B53" s="18">
        <f>COUNTIF(RawData[Engagement Mode],C53)</f>
        <v>4</v>
      </c>
      <c r="C53" s="26" t="s">
        <v>299</v>
      </c>
      <c r="Q53" s="137" t="str">
        <f t="array" aca="1" ref="Q53" ca="1">IFERROR(INDEX($AJ$2:$AJ$599,MATCH(1,($AK$2:$AK$599=R53)*(COUNTIF($Q$3:$Q52,$AJ$2:$AJ$599)=0)*($AJ$2:$AJ$599&lt;&gt;""),0)),"")</f>
        <v>Team Integration</v>
      </c>
      <c r="R53" s="133">
        <f>IFERROR(LARGE($AK$2:$AK$599,51),"")</f>
        <v>2</v>
      </c>
      <c r="S53" s="131">
        <f t="shared" ca="1" si="1"/>
        <v>1.5748031496062999E-2</v>
      </c>
      <c r="T53" s="132" t="str">
        <f t="array" aca="1" ref="T53" ca="1">IF(Q53="","",IFERROR(INDEX(SummaryData[Engagement Type],MATCH(TRIM(Q53),TRIM(SummaryData[Statement]),0)),""))</f>
        <v>FGD</v>
      </c>
      <c r="AJ53" s="7" t="str">
        <f>IF(Data_Summary!Y54&lt;&gt;"Coverage","",IF(Data_Summary!AA54="","",IF(COUNTIFS(Data_Summary!$Y$2:$Y54,"Coverage",Data_Summary!$AA$2:$AA54,Data_Summary!AA54)=1,Data_Summary!AA54,"")))</f>
        <v>On Leave/comp-off Due To Client Calendar Mismatches</v>
      </c>
      <c r="AK53" s="7">
        <f>IF(AJ53="","",COUNTIFS(Data_Summary!$Y$2:$Y$5002,"Coverage",Data_Summary!$AA$2:$AA$5002,AJ53))</f>
        <v>2</v>
      </c>
      <c r="AM53" s="7" t="str">
        <f>IF(Data_Insight!X53="","",IF(COUNTIF(Data_Insight!$X$2:$X53,Data_Insight!X53)=1,Data_Insight!X53,""))</f>
        <v/>
      </c>
      <c r="AN53" s="7" t="str">
        <f>IF(AM53="","",COUNTIF(Data_Insight!$X$2:$X$5001,AM53))</f>
        <v/>
      </c>
    </row>
    <row r="54" spans="1:40" ht="25.5">
      <c r="Q54" s="137" t="str">
        <f t="array" aca="1" ref="Q54" ca="1">IFERROR(INDEX($AJ$2:$AJ$599,MATCH(1,($AK$2:$AK$599=R54)*(COUNTIF($Q$3:$Q53,$AJ$2:$AJ$599)=0)*($AJ$2:$AJ$599&lt;&gt;""),0)),"")</f>
        <v>Communication &amp; Transparency</v>
      </c>
      <c r="R54" s="133">
        <f>IFERROR(LARGE($AK$2:$AK$599,52),"")</f>
        <v>2</v>
      </c>
      <c r="S54" s="131">
        <f t="shared" ca="1" si="1"/>
        <v>1.5748031496062999E-2</v>
      </c>
      <c r="T54" s="132" t="str">
        <f t="array" aca="1" ref="T54" ca="1">IF(Q54="","",IFERROR(INDEX(SummaryData[Engagement Type],MATCH(TRIM(Q54),TRIM(SummaryData[Statement]),0)),""))</f>
        <v>Location-Offshore</v>
      </c>
      <c r="AJ54" s="7" t="str">
        <f>IF(Data_Summary!Y55&lt;&gt;"Coverage","",IF(Data_Summary!AA55="","",IF(COUNTIFS(Data_Summary!$Y$2:$Y55,"Coverage",Data_Summary!$AA$2:$AA55,Data_Summary!AA55)=1,Data_Summary!AA55,"")))</f>
        <v/>
      </c>
      <c r="AK54" s="7" t="str">
        <f>IF(AJ54="","",COUNTIFS(Data_Summary!$Y$2:$Y$5002,"Coverage",Data_Summary!$AA$2:$AA$5002,AJ54))</f>
        <v/>
      </c>
      <c r="AM54" s="7" t="str">
        <f>IF(Data_Insight!X54="","",IF(COUNTIF(Data_Insight!$X$2:$X54,Data_Insight!X54)=1,Data_Insight!X54,""))</f>
        <v>Women Associate Connect</v>
      </c>
      <c r="AN54" s="7">
        <f>IF(AM54="","",COUNTIF(Data_Insight!$X$2:$X$5001,AM54))</f>
        <v>4</v>
      </c>
    </row>
    <row r="55" spans="1:40" ht="25.5">
      <c r="A55" s="10"/>
      <c r="B55" s="13"/>
      <c r="Q55" s="137" t="str">
        <f t="array" aca="1" ref="Q55" ca="1">IFERROR(INDEX($AJ$2:$AJ$599,MATCH(1,($AK$2:$AK$599=R55)*(COUNTIF($Q$3:$Q54,$AJ$2:$AJ$599)=0)*($AJ$2:$AJ$599&lt;&gt;""),0)),"")</f>
        <v>New Joiners Connect Better</v>
      </c>
      <c r="R55" s="133">
        <f>IFERROR(LARGE($AK$2:$AK$599,53),"")</f>
        <v>2</v>
      </c>
      <c r="S55" s="131">
        <f t="shared" ca="1" si="1"/>
        <v>7.8740157480314994E-3</v>
      </c>
      <c r="T55" s="132" t="str">
        <f t="array" aca="1" ref="T55" ca="1">IF(Q55="","",IFERROR(INDEX(SummaryData[Engagement Type],MATCH(TRIM(Q55),TRIM(SummaryData[Statement]),0)),""))</f>
        <v>Account based</v>
      </c>
      <c r="AJ55" s="7" t="str">
        <f>IF(Data_Summary!Y56&lt;&gt;"Coverage","",IF(Data_Summary!AA56="","",IF(COUNTIFS(Data_Summary!$Y$2:$Y56,"Coverage",Data_Summary!$AA$2:$AA56,Data_Summary!AA56)=1,Data_Summary!AA56,"")))</f>
        <v/>
      </c>
      <c r="AK55" s="7" t="str">
        <f>IF(AJ55="","",COUNTIFS(Data_Summary!$Y$2:$Y$5002,"Coverage",Data_Summary!$AA$2:$AA$5002,AJ55))</f>
        <v/>
      </c>
      <c r="AM55" s="7" t="str">
        <f>IF(Data_Insight!X55="","",IF(COUNTIF(Data_Insight!$X$2:$X55,Data_Insight!X55)=1,Data_Insight!X55,""))</f>
        <v/>
      </c>
      <c r="AN55" s="7" t="str">
        <f>IF(AM55="","",COUNTIF(Data_Insight!$X$2:$X$5001,AM55))</f>
        <v/>
      </c>
    </row>
    <row r="56" spans="1:40" ht="25.5">
      <c r="A56" s="13"/>
      <c r="B56" s="13"/>
      <c r="C56" s="13"/>
      <c r="D56" s="13"/>
      <c r="Q56" s="137" t="str">
        <f t="array" aca="1" ref="Q56" ca="1">IFERROR(INDEX($AJ$2:$AJ$599,MATCH(1,($AK$2:$AK$599=R56)*(COUNTIF($Q$3:$Q55,$AJ$2:$AJ$599)=0)*($AJ$2:$AJ$599&lt;&gt;""),0)),"")</f>
        <v>Interest Mapping &amp; Relevance</v>
      </c>
      <c r="R56" s="133">
        <f>IFERROR(LARGE($AK$2:$AK$599,54),"")</f>
        <v>2</v>
      </c>
      <c r="S56" s="131">
        <f t="shared" ca="1" si="1"/>
        <v>7.8740157480314994E-3</v>
      </c>
      <c r="T56" s="132" t="str">
        <f t="array" aca="1" ref="T56" ca="1">IF(Q56="","",IFERROR(INDEX(SummaryData[Engagement Type],MATCH(TRIM(Q56),TRIM(SummaryData[Statement]),0)),""))</f>
        <v>Account based</v>
      </c>
      <c r="AJ56" s="7" t="str">
        <f>IF(Data_Summary!Y57&lt;&gt;"Coverage","",IF(Data_Summary!AA57="","",IF(COUNTIFS(Data_Summary!$Y$2:$Y57,"Coverage",Data_Summary!$AA$2:$AA57,Data_Summary!AA57)=1,Data_Summary!AA57,"")))</f>
        <v/>
      </c>
      <c r="AK56" s="7" t="str">
        <f>IF(AJ56="","",COUNTIFS(Data_Summary!$Y$2:$Y$5002,"Coverage",Data_Summary!$AA$2:$AA$5002,AJ56))</f>
        <v/>
      </c>
      <c r="AM56" s="7" t="str">
        <f>IF(Data_Insight!X56="","",IF(COUNTIF(Data_Insight!$X$2:$X56,Data_Insight!X56)=1,Data_Insight!X56,""))</f>
        <v/>
      </c>
      <c r="AN56" s="7" t="str">
        <f>IF(AM56="","",COUNTIF(Data_Insight!$X$2:$X$5001,AM56))</f>
        <v/>
      </c>
    </row>
    <row r="57" spans="1:40" ht="15" customHeight="1">
      <c r="A57" s="27"/>
      <c r="B57" s="28"/>
      <c r="C57" s="29"/>
      <c r="D57" s="30"/>
      <c r="E57" s="7">
        <f>IFERROR(IF(D170=0,0,(D170-E170)/D170),0)</f>
        <v>0</v>
      </c>
      <c r="Q57" s="137" t="str">
        <f t="array" aca="1" ref="Q57" ca="1">IFERROR(INDEX($AJ$2:$AJ$599,MATCH(1,($AK$2:$AK$599=R57)*(COUNTIF($Q$3:$Q56,$AJ$2:$AJ$599)=0)*($AJ$2:$AJ$599&lt;&gt;""),0)),"")</f>
        <v>Guidance on timesheet</v>
      </c>
      <c r="R57" s="133">
        <f>IFERROR(LARGE($AK$2:$AK$599,55),"")</f>
        <v>2</v>
      </c>
      <c r="S57" s="131">
        <f t="shared" ca="1" si="1"/>
        <v>7.8740157480314994E-3</v>
      </c>
      <c r="T57" s="132" t="str">
        <f t="array" aca="1" ref="T57" ca="1">IF(Q57="","",IFERROR(INDEX(SummaryData[Engagement Type],MATCH(TRIM(Q57),TRIM(SummaryData[Statement]),0)),""))</f>
        <v>Large Connect</v>
      </c>
      <c r="AJ57" s="7" t="str">
        <f>IF(Data_Summary!Y58&lt;&gt;"Coverage","",IF(Data_Summary!AA58="","",IF(COUNTIFS(Data_Summary!$Y$2:$Y58,"Coverage",Data_Summary!$AA$2:$AA58,Data_Summary!AA58)=1,Data_Summary!AA58,"")))</f>
        <v>Initial Organization Understanding</v>
      </c>
      <c r="AK57" s="7">
        <f>IF(AJ57="","",COUNTIFS(Data_Summary!$Y$2:$Y$5002,"Coverage",Data_Summary!$AA$2:$AA$5002,AJ57))</f>
        <v>11</v>
      </c>
      <c r="AM57" s="7" t="str">
        <f>IF(Data_Insight!X57="","",IF(COUNTIF(Data_Insight!$X$2:$X57,Data_Insight!X57)=1,Data_Insight!X57,""))</f>
        <v/>
      </c>
      <c r="AN57" s="7" t="str">
        <f>IF(AM57="","",COUNTIF(Data_Insight!$X$2:$X$5001,AM57))</f>
        <v/>
      </c>
    </row>
    <row r="58" spans="1:40" ht="25.5">
      <c r="A58" s="27"/>
      <c r="B58" s="28"/>
      <c r="C58" s="29"/>
      <c r="D58" s="30"/>
      <c r="Q58" s="137" t="str">
        <f t="array" aca="1" ref="Q58" ca="1">IFERROR(INDEX($AJ$2:$AJ$599,MATCH(1,($AK$2:$AK$599=R58)*(COUNTIF($Q$3:$Q57,$AJ$2:$AJ$599)=0)*($AJ$2:$AJ$599&lt;&gt;""),0)),"")</f>
        <v>Support Program Utilization</v>
      </c>
      <c r="R58" s="133">
        <f>IFERROR(LARGE($AK$2:$AK$599,56),"")</f>
        <v>2</v>
      </c>
      <c r="S58" s="131">
        <f t="shared" ca="1" si="1"/>
        <v>7.8740157480314994E-3</v>
      </c>
      <c r="T58" s="132" t="str">
        <f t="array" aca="1" ref="T58" ca="1">IF(Q58="","",IFERROR(INDEX(SummaryData[Engagement Type],MATCH(TRIM(Q58),TRIM(SummaryData[Statement]),0)),""))</f>
        <v>Floor Connect</v>
      </c>
      <c r="AJ58" s="7" t="str">
        <f>IF(Data_Summary!Y59&lt;&gt;"Coverage","",IF(Data_Summary!AA59="","",IF(COUNTIFS(Data_Summary!$Y$2:$Y59,"Coverage",Data_Summary!$AA$2:$AA59,Data_Summary!AA59)=1,Data_Summary!AA59,"")))</f>
        <v>Buddy / Support System</v>
      </c>
      <c r="AK58" s="7">
        <f>IF(AJ58="","",COUNTIFS(Data_Summary!$Y$2:$Y$5002,"Coverage",Data_Summary!$AA$2:$AA$5002,AJ58))</f>
        <v>6</v>
      </c>
      <c r="AM58" s="7" t="str">
        <f>IF(Data_Insight!X58="","",IF(COUNTIF(Data_Insight!$X$2:$X58,Data_Insight!X58)=1,Data_Insight!X58,""))</f>
        <v/>
      </c>
      <c r="AN58" s="7" t="str">
        <f>IF(AM58="","",COUNTIF(Data_Insight!$X$2:$X$5001,AM58))</f>
        <v/>
      </c>
    </row>
    <row r="59" spans="1:40" ht="25.5">
      <c r="A59" s="27"/>
      <c r="B59" s="28"/>
      <c r="C59" s="29"/>
      <c r="D59" s="30"/>
      <c r="Q59" s="137" t="str">
        <f t="array" aca="1" ref="Q59" ca="1">IFERROR(INDEX($AJ$2:$AJ$599,MATCH(1,($AK$2:$AK$599=R59)*(COUNTIF($Q$3:$Q58,$AJ$2:$AJ$599)=0)*($AJ$2:$AJ$599&lt;&gt;""),0)),"")</f>
        <v>Participation &amp; Engagement</v>
      </c>
      <c r="R59" s="133">
        <f>IFERROR(LARGE($AK$2:$AK$599,57),"")</f>
        <v>2</v>
      </c>
      <c r="S59" s="131">
        <f t="shared" ca="1" si="1"/>
        <v>7.8740157480314994E-3</v>
      </c>
      <c r="T59" s="132" t="str">
        <f t="array" aca="1" ref="T59" ca="1">IF(Q59="","",IFERROR(INDEX(SummaryData[Engagement Type],MATCH(TRIM(Q59),TRIM(SummaryData[Statement]),0)),""))</f>
        <v>Floor Connect</v>
      </c>
      <c r="AJ59" s="7" t="str">
        <f>IF(Data_Summary!Y60&lt;&gt;"Coverage","",IF(Data_Summary!AA60="","",IF(COUNTIFS(Data_Summary!$Y$2:$Y60,"Coverage",Data_Summary!$AA$2:$AA60,Data_Summary!AA60)=1,Data_Summary!AA60,"")))</f>
        <v>Tool &amp; System Access</v>
      </c>
      <c r="AK59" s="7">
        <f>IF(AJ59="","",COUNTIFS(Data_Summary!$Y$2:$Y$5002,"Coverage",Data_Summary!$AA$2:$AA$5002,AJ59))</f>
        <v>8</v>
      </c>
      <c r="AM59" s="7" t="str">
        <f>IF(Data_Insight!X59="","",IF(COUNTIF(Data_Insight!$X$2:$X59,Data_Insight!X59)=1,Data_Insight!X59,""))</f>
        <v>Wellness session</v>
      </c>
      <c r="AN59" s="7">
        <f>IF(AM59="","",COUNTIF(Data_Insight!$X$2:$X$5001,AM59))</f>
        <v>2</v>
      </c>
    </row>
    <row r="60" spans="1:40" ht="15" customHeight="1">
      <c r="A60" s="27"/>
      <c r="B60" s="28"/>
      <c r="C60" s="29"/>
      <c r="D60" s="30"/>
      <c r="Q60" s="137" t="str">
        <f t="array" aca="1" ref="Q60" ca="1">IFERROR(INDEX($AJ$2:$AJ$599,MATCH(1,($AK$2:$AK$599=R60)*(COUNTIF($Q$3:$Q59,$AJ$2:$AJ$599)=0)*($AJ$2:$AJ$599&lt;&gt;""),0)),"")</f>
        <v>Flexibility Alignment</v>
      </c>
      <c r="R60" s="133">
        <f>IFERROR(LARGE($AK$2:$AK$599,58),"")</f>
        <v>1</v>
      </c>
      <c r="S60" s="131">
        <f t="shared" ca="1" si="1"/>
        <v>7.8740157480314994E-3</v>
      </c>
      <c r="T60" s="132" t="str">
        <f t="array" aca="1" ref="T60" ca="1">IF(Q60="","",IFERROR(INDEX(SummaryData[Engagement Type],MATCH(TRIM(Q60),TRIM(SummaryData[Statement]),0)),""))</f>
        <v>Floor Connect</v>
      </c>
      <c r="AJ60" s="7" t="str">
        <f>IF(Data_Summary!Y61&lt;&gt;"Coverage","",IF(Data_Summary!AA61="","",IF(COUNTIFS(Data_Summary!$Y$2:$Y61,"Coverage",Data_Summary!$AA$2:$AA61,Data_Summary!AA61)=1,Data_Summary!AA61,"")))</f>
        <v/>
      </c>
      <c r="AK60" s="7" t="str">
        <f>IF(AJ60="","",COUNTIFS(Data_Summary!$Y$2:$Y$5002,"Coverage",Data_Summary!$AA$2:$AA$5002,AJ60))</f>
        <v/>
      </c>
      <c r="AM60" s="7" t="str">
        <f>IF(Data_Insight!X60="","",IF(COUNTIF(Data_Insight!$X$2:$X60,Data_Insight!X60)=1,Data_Insight!X60,""))</f>
        <v/>
      </c>
      <c r="AN60" s="7" t="str">
        <f>IF(AM60="","",COUNTIF(Data_Insight!$X$2:$X$5001,AM60))</f>
        <v/>
      </c>
    </row>
    <row r="61" spans="1:40" ht="15" customHeight="1">
      <c r="A61" s="27"/>
      <c r="B61" s="28"/>
      <c r="C61" s="29"/>
      <c r="D61" s="30"/>
      <c r="Q61" s="138" t="str">
        <f t="array" aca="1" ref="Q61" ca="1">IFERROR(INDEX($AJ$2:$AJ$599,MATCH(1,($AK$2:$AK$599=R61)*(COUNTIF($Q$3:$Q60,$AJ$2:$AJ$599)=0)*($AJ$2:$AJ$599&lt;&gt;""),0)),"")</f>
        <v>Recognition Visibility</v>
      </c>
      <c r="R61" s="135">
        <f>IFERROR(LARGE($AK$2:$AK$599,59),"")</f>
        <v>1</v>
      </c>
      <c r="S61" s="135">
        <f t="shared" ca="1" si="1"/>
        <v>7.8740157480314994E-3</v>
      </c>
      <c r="T61" s="135" t="str">
        <f t="array" aca="1" ref="T61" ca="1">IF(Q61="","",IFERROR(INDEX(SummaryData[Engagement Type],MATCH(TRIM(Q61),TRIM(SummaryData[Statement]),0)),""))</f>
        <v>Large Connect</v>
      </c>
      <c r="AJ61" s="7" t="str">
        <f>IF(Data_Summary!Y62&lt;&gt;"Coverage","",IF(Data_Summary!AA62="","",IF(COUNTIFS(Data_Summary!$Y$2:$Y62,"Coverage",Data_Summary!$AA$2:$AA62,Data_Summary!AA62)=1,Data_Summary!AA62,"")))</f>
        <v/>
      </c>
      <c r="AK61" s="7" t="str">
        <f>IF(AJ61="","",COUNTIFS(Data_Summary!$Y$2:$Y$5002,"Coverage",Data_Summary!$AA$2:$AA$5002,AJ61))</f>
        <v/>
      </c>
      <c r="AM61" s="7" t="str">
        <f>IF(Data_Insight!X61="","",IF(COUNTIF(Data_Insight!$X$2:$X61,Data_Insight!X61)=1,Data_Insight!X61,""))</f>
        <v/>
      </c>
      <c r="AN61" s="7" t="str">
        <f>IF(AM61="","",COUNTIF(Data_Insight!$X$2:$X$5001,AM61))</f>
        <v/>
      </c>
    </row>
    <row r="62" spans="1:40" ht="15" customHeight="1">
      <c r="A62" s="27"/>
      <c r="B62" s="28"/>
      <c r="C62" s="29"/>
      <c r="D62" s="30"/>
      <c r="Q62" s="135" t="str">
        <f t="array" aca="1" ref="Q62" ca="1">IFERROR(INDEX($AJ$2:$AJ$599,MATCH(1,($AK$2:$AK$599=R62)*(COUNTIF($Q$3:$Q61,$AJ$2:$AJ$599)=0)*($AJ$2:$AJ$599&lt;&gt;""),0)),"")</f>
        <v>NA</v>
      </c>
      <c r="R62" s="135">
        <f>IFERROR(LARGE($AK$2:$AK$599,60),"")</f>
        <v>1</v>
      </c>
      <c r="S62" s="135">
        <f t="shared" ca="1" si="1"/>
        <v>7.8740157480314994E-3</v>
      </c>
      <c r="T62" s="135" t="str">
        <f t="array" aca="1" ref="T62" ca="1">IF(Q62="","",IFERROR(INDEX(SummaryData[Engagement Type],MATCH(TRIM(Q62),TRIM(SummaryData[Statement]),0)),""))</f>
        <v>Leadership Connect</v>
      </c>
      <c r="AJ62" s="7" t="str">
        <f>IF(Data_Summary!Y63&lt;&gt;"Coverage","",IF(Data_Summary!AA63="","",IF(COUNTIFS(Data_Summary!$Y$2:$Y63,"Coverage",Data_Summary!$AA$2:$AA63,Data_Summary!AA63)=1,Data_Summary!AA63,"")))</f>
        <v/>
      </c>
      <c r="AK62" s="7" t="str">
        <f>IF(AJ62="","",COUNTIFS(Data_Summary!$Y$2:$Y$5002,"Coverage",Data_Summary!$AA$2:$AA$5002,AJ62))</f>
        <v/>
      </c>
      <c r="AM62" s="7" t="str">
        <f>IF(Data_Insight!X62="","",IF(COUNTIF(Data_Insight!$X$2:$X62,Data_Insight!X62)=1,Data_Insight!X62,""))</f>
        <v/>
      </c>
      <c r="AN62" s="7" t="str">
        <f>IF(AM62="","",COUNTIF(Data_Insight!$X$2:$X$5001,AM62))</f>
        <v/>
      </c>
    </row>
    <row r="63" spans="1:40" ht="15" customHeight="1">
      <c r="A63" s="27"/>
      <c r="B63" s="28"/>
      <c r="C63" s="29"/>
      <c r="D63" s="30"/>
      <c r="AJ63" s="7" t="str">
        <f>IF(Data_Summary!Y64&lt;&gt;"Coverage","",IF(Data_Summary!AA64="","",IF(COUNTIFS(Data_Summary!$Y$2:$Y64,"Coverage",Data_Summary!$AA$2:$AA64,Data_Summary!AA64)=1,Data_Summary!AA64,"")))</f>
        <v>Business &amp; Strategy Clarity</v>
      </c>
      <c r="AK63" s="7">
        <f>IF(AJ63="","",COUNTIFS(Data_Summary!$Y$2:$Y$5002,"Coverage",Data_Summary!$AA$2:$AA$5002,AJ63))</f>
        <v>7</v>
      </c>
      <c r="AM63" s="7" t="str">
        <f>IF(Data_Insight!X63="","",IF(COUNTIF(Data_Insight!$X$2:$X63,Data_Insight!X63)=1,Data_Insight!X63,""))</f>
        <v/>
      </c>
      <c r="AN63" s="7" t="str">
        <f>IF(AM63="","",COUNTIF(Data_Insight!$X$2:$X$5001,AM63))</f>
        <v/>
      </c>
    </row>
    <row r="64" spans="1:40" ht="15" customHeight="1">
      <c r="A64" s="27"/>
      <c r="B64" s="28"/>
      <c r="C64" s="29"/>
      <c r="D64" s="30"/>
      <c r="AJ64" s="7" t="str">
        <f>IF(Data_Summary!Y65&lt;&gt;"Coverage","",IF(Data_Summary!AA65="","",IF(COUNTIFS(Data_Summary!$Y$2:$Y65,"Coverage",Data_Summary!$AA$2:$AA65,Data_Summary!AA65)=1,Data_Summary!AA65,"")))</f>
        <v>Leadership Communication &amp; Q&amp;A Effectiveness</v>
      </c>
      <c r="AK64" s="7">
        <f>IF(AJ64="","",COUNTIFS(Data_Summary!$Y$2:$Y$5002,"Coverage",Data_Summary!$AA$2:$AA$5002,AJ64))</f>
        <v>5</v>
      </c>
      <c r="AM64" s="7" t="str">
        <f>IF(Data_Insight!X64="","",IF(COUNTIF(Data_Insight!$X$2:$X64,Data_Insight!X64)=1,Data_Insight!X64,""))</f>
        <v/>
      </c>
      <c r="AN64" s="7" t="str">
        <f>IF(AM64="","",COUNTIF(Data_Insight!$X$2:$X$5001,AM64))</f>
        <v/>
      </c>
    </row>
    <row r="65" spans="1:40" ht="15" customHeight="1">
      <c r="A65" s="27"/>
      <c r="B65" s="28"/>
      <c r="C65" s="29"/>
      <c r="D65" s="30"/>
      <c r="AJ65" s="7" t="str">
        <f>IF(Data_Summary!Y66&lt;&gt;"Coverage","",IF(Data_Summary!AA66="","",IF(COUNTIFS(Data_Summary!$Y$2:$Y66,"Coverage",Data_Summary!$AA$2:$AA66,Data_Summary!AA66)=1,Data_Summary!AA66,"")))</f>
        <v>Recognition Visibility</v>
      </c>
      <c r="AK65" s="7">
        <f>IF(AJ65="","",COUNTIFS(Data_Summary!$Y$2:$Y$5002,"Coverage",Data_Summary!$AA$2:$AA$5002,AJ65))</f>
        <v>2</v>
      </c>
      <c r="AM65" s="7" t="str">
        <f>IF(Data_Insight!X65="","",IF(COUNTIF(Data_Insight!$X$2:$X65,Data_Insight!X65)=1,Data_Insight!X65,""))</f>
        <v/>
      </c>
      <c r="AN65" s="7" t="str">
        <f>IF(AM65="","",COUNTIF(Data_Insight!$X$2:$X$5001,AM65))</f>
        <v/>
      </c>
    </row>
    <row r="66" spans="1:40" ht="15" customHeight="1">
      <c r="A66" s="27"/>
      <c r="B66" s="28"/>
      <c r="C66" s="29"/>
      <c r="D66" s="30"/>
      <c r="AJ66" s="7" t="str">
        <f>IF(Data_Summary!Y67&lt;&gt;"Coverage","",IF(Data_Summary!AA67="","",IF(COUNTIFS(Data_Summary!$Y$2:$Y67,"Coverage",Data_Summary!$AA$2:$AA67,Data_Summary!AA67)=1,Data_Summary!AA67,"")))</f>
        <v/>
      </c>
      <c r="AK66" s="7" t="str">
        <f>IF(AJ66="","",COUNTIFS(Data_Summary!$Y$2:$Y$5002,"Coverage",Data_Summary!$AA$2:$AA$5002,AJ66))</f>
        <v/>
      </c>
      <c r="AM66" s="7" t="str">
        <f>IF(Data_Insight!X66="","",IF(COUNTIF(Data_Insight!$X$2:$X66,Data_Insight!X66)=1,Data_Insight!X66,""))</f>
        <v/>
      </c>
      <c r="AN66" s="7" t="str">
        <f>IF(AM66="","",COUNTIF(Data_Insight!$X$2:$X$5001,AM66))</f>
        <v/>
      </c>
    </row>
    <row r="67" spans="1:40" ht="15" customHeight="1">
      <c r="A67" s="27"/>
      <c r="B67" s="28"/>
      <c r="C67" s="29"/>
      <c r="D67" s="30"/>
      <c r="AJ67" s="7" t="str">
        <f>IF(Data_Summary!Y68&lt;&gt;"Coverage","",IF(Data_Summary!AA68="","",IF(COUNTIFS(Data_Summary!$Y$2:$Y68,"Coverage",Data_Summary!$AA$2:$AA68,Data_Summary!AA68)=1,Data_Summary!AA68,"")))</f>
        <v/>
      </c>
      <c r="AK67" s="7" t="str">
        <f>IF(AJ67="","",COUNTIFS(Data_Summary!$Y$2:$Y$5002,"Coverage",Data_Summary!$AA$2:$AA$5002,AJ67))</f>
        <v/>
      </c>
      <c r="AM67" s="7" t="str">
        <f>IF(Data_Insight!X67="","",IF(COUNTIF(Data_Insight!$X$2:$X67,Data_Insight!X67)=1,Data_Insight!X67,""))</f>
        <v/>
      </c>
      <c r="AN67" s="7" t="str">
        <f>IF(AM67="","",COUNTIF(Data_Insight!$X$2:$X$5001,AM67))</f>
        <v/>
      </c>
    </row>
    <row r="68" spans="1:40" ht="15" customHeight="1">
      <c r="A68" s="27"/>
      <c r="B68" s="28"/>
      <c r="C68" s="29"/>
      <c r="D68" s="30"/>
      <c r="AJ68" s="7" t="str">
        <f>IF(Data_Summary!Y69&lt;&gt;"Coverage","",IF(Data_Summary!AA69="","",IF(COUNTIFS(Data_Summary!$Y$2:$Y69,"Coverage",Data_Summary!$AA$2:$AA69,Data_Summary!AA69)=1,Data_Summary!AA69,"")))</f>
        <v/>
      </c>
      <c r="AK68" s="7" t="str">
        <f>IF(AJ68="","",COUNTIFS(Data_Summary!$Y$2:$Y$5002,"Coverage",Data_Summary!$AA$2:$AA$5002,AJ68))</f>
        <v/>
      </c>
      <c r="AM68" s="7" t="str">
        <f>IF(Data_Insight!X68="","",IF(COUNTIF(Data_Insight!$X$2:$X68,Data_Insight!X68)=1,Data_Insight!X68,""))</f>
        <v>Exclusive Award Ceremony (Not part of Townhall)</v>
      </c>
      <c r="AN68" s="7">
        <f>IF(AM68="","",COUNTIF(Data_Insight!$X$2:$X$5001,AM68))</f>
        <v>1</v>
      </c>
    </row>
    <row r="69" spans="1:40" ht="15" customHeight="1">
      <c r="A69" s="27"/>
      <c r="B69" s="28"/>
      <c r="C69" s="29"/>
      <c r="D69" s="30"/>
      <c r="AJ69" s="7" t="str">
        <f>IF(Data_Summary!Y70&lt;&gt;"Coverage","",IF(Data_Summary!AA70="","",IF(COUNTIFS(Data_Summary!$Y$2:$Y70,"Coverage",Data_Summary!$AA$2:$AA70,Data_Summary!AA70)=1,Data_Summary!AA70,"")))</f>
        <v>Alignment on Role in Business Context</v>
      </c>
      <c r="AK69" s="7">
        <f>IF(AJ69="","",COUNTIFS(Data_Summary!$Y$2:$Y$5002,"Coverage",Data_Summary!$AA$2:$AA$5002,AJ69))</f>
        <v>4</v>
      </c>
      <c r="AM69" s="7" t="str">
        <f>IF(Data_Insight!X69="","",IF(COUNTIF(Data_Insight!$X$2:$X69,Data_Insight!X69)=1,Data_Insight!X69,""))</f>
        <v/>
      </c>
      <c r="AN69" s="7" t="str">
        <f>IF(AM69="","",COUNTIF(Data_Insight!$X$2:$X$5001,AM69))</f>
        <v/>
      </c>
    </row>
    <row r="70" spans="1:40" ht="15" customHeight="1">
      <c r="A70" s="27"/>
      <c r="B70" s="28"/>
      <c r="C70" s="29"/>
      <c r="D70" s="30"/>
      <c r="AJ70" s="7" t="str">
        <f>IF(Data_Summary!Y71&lt;&gt;"Coverage","",IF(Data_Summary!AA71="","",IF(COUNTIFS(Data_Summary!$Y$2:$Y71,"Coverage",Data_Summary!$AA$2:$AA71,Data_Summary!AA71)=1,Data_Summary!AA71,"")))</f>
        <v>Visibility on Allocation &amp; Demand</v>
      </c>
      <c r="AK70" s="7">
        <f>IF(AJ70="","",COUNTIFS(Data_Summary!$Y$2:$Y$5002,"Coverage",Data_Summary!$AA$2:$AA$5002,AJ70))</f>
        <v>3</v>
      </c>
      <c r="AM70" s="7" t="str">
        <f>IF(Data_Insight!X70="","",IF(COUNTIF(Data_Insight!$X$2:$X70,Data_Insight!X70)=1,Data_Insight!X70,""))</f>
        <v>ELTP Connect - Practice Level</v>
      </c>
      <c r="AN70" s="7">
        <f>IF(AM70="","",COUNTIF(Data_Insight!$X$2:$X$5001,AM70))</f>
        <v>2</v>
      </c>
    </row>
    <row r="71" spans="1:40" ht="15" customHeight="1">
      <c r="A71" s="27"/>
      <c r="B71" s="28"/>
      <c r="C71" s="29"/>
      <c r="D71" s="30"/>
      <c r="AJ71" s="7" t="str">
        <f>IF(Data_Summary!Y72&lt;&gt;"Coverage","",IF(Data_Summary!AA72="","",IF(COUNTIFS(Data_Summary!$Y$2:$Y72,"Coverage",Data_Summary!$AA$2:$AA72,Data_Summary!AA72)=1,Data_Summary!AA72,"")))</f>
        <v/>
      </c>
      <c r="AK71" s="7" t="str">
        <f>IF(AJ71="","",COUNTIFS(Data_Summary!$Y$2:$Y$5002,"Coverage",Data_Summary!$AA$2:$AA$5002,AJ71))</f>
        <v/>
      </c>
      <c r="AM71" s="7" t="str">
        <f>IF(Data_Insight!X71="","",IF(COUNTIF(Data_Insight!$X$2:$X71,Data_Insight!X71)=1,Data_Insight!X71,""))</f>
        <v/>
      </c>
      <c r="AN71" s="7" t="str">
        <f>IF(AM71="","",COUNTIF(Data_Insight!$X$2:$X$5001,AM71))</f>
        <v/>
      </c>
    </row>
    <row r="72" spans="1:40" ht="15" customHeight="1">
      <c r="A72" s="27"/>
      <c r="B72" s="28"/>
      <c r="C72" s="29"/>
      <c r="D72" s="30"/>
      <c r="AJ72" s="7" t="str">
        <f>IF(Data_Summary!Y73&lt;&gt;"Coverage","",IF(Data_Summary!AA73="","",IF(COUNTIFS(Data_Summary!$Y$2:$Y73,"Coverage",Data_Summary!$AA$2:$AA73,Data_Summary!AA73)=1,Data_Summary!AA73,"")))</f>
        <v/>
      </c>
      <c r="AK72" s="7" t="str">
        <f>IF(AJ72="","",COUNTIFS(Data_Summary!$Y$2:$Y$5002,"Coverage",Data_Summary!$AA$2:$AA$5002,AJ72))</f>
        <v/>
      </c>
      <c r="AM72" s="7" t="str">
        <f>IF(Data_Insight!X72="","",IF(COUNTIF(Data_Insight!$X$2:$X72,Data_Insight!X72)=1,Data_Insight!X72,""))</f>
        <v/>
      </c>
      <c r="AN72" s="7" t="str">
        <f>IF(AM72="","",COUNTIF(Data_Insight!$X$2:$X$5001,AM72))</f>
        <v/>
      </c>
    </row>
    <row r="73" spans="1:40" ht="15" customHeight="1">
      <c r="A73" s="27"/>
      <c r="B73" s="28"/>
      <c r="C73" s="29"/>
      <c r="D73" s="30"/>
      <c r="AJ73" s="7" t="str">
        <f>IF(Data_Summary!Y74&lt;&gt;"Coverage","",IF(Data_Summary!AA74="","",IF(COUNTIFS(Data_Summary!$Y$2:$Y74,"Coverage",Data_Summary!$AA$2:$AA74,Data_Summary!AA74)=1,Data_Summary!AA74,"")))</f>
        <v/>
      </c>
      <c r="AK73" s="7" t="str">
        <f>IF(AJ73="","",COUNTIFS(Data_Summary!$Y$2:$Y$5002,"Coverage",Data_Summary!$AA$2:$AA$5002,AJ73))</f>
        <v/>
      </c>
      <c r="AM73" s="7" t="str">
        <f>IF(Data_Insight!X73="","",IF(COUNTIF(Data_Insight!$X$2:$X73,Data_Insight!X73)=1,Data_Insight!X73,""))</f>
        <v>Top Talent Connect (One to One) (Exclusives/Ascend/WLP/Mentor))</v>
      </c>
      <c r="AN73" s="7">
        <f>IF(AM73="","",COUNTIF(Data_Insight!$X$2:$X$5001,AM73))</f>
        <v>3</v>
      </c>
    </row>
    <row r="74" spans="1:40" ht="12.75" customHeight="1">
      <c r="A74" s="31"/>
      <c r="B74" s="28"/>
      <c r="C74" s="32"/>
      <c r="D74" s="33"/>
      <c r="AJ74" s="7" t="str">
        <f>IF(Data_Summary!Y75&lt;&gt;"Coverage","",IF(Data_Summary!AA75="","",IF(COUNTIFS(Data_Summary!$Y$2:$Y75,"Coverage",Data_Summary!$AA$2:$AA75,Data_Summary!AA75)=1,Data_Summary!AA75,"")))</f>
        <v/>
      </c>
      <c r="AK74" s="7" t="str">
        <f>IF(AJ74="","",COUNTIFS(Data_Summary!$Y$2:$Y$5002,"Coverage",Data_Summary!$AA$2:$AA$5002,AJ74))</f>
        <v/>
      </c>
      <c r="AM74" s="7" t="str">
        <f>IF(Data_Insight!X74="","",IF(COUNTIF(Data_Insight!$X$2:$X74,Data_Insight!X74)=1,Data_Insight!X74,""))</f>
        <v/>
      </c>
      <c r="AN74" s="7" t="str">
        <f>IF(AM74="","",COUNTIF(Data_Insight!$X$2:$X$5001,AM74))</f>
        <v/>
      </c>
    </row>
    <row r="75" spans="1:40" ht="15.75" customHeight="1">
      <c r="A75" s="31"/>
      <c r="B75" s="29"/>
      <c r="C75" s="31"/>
      <c r="D75" s="34"/>
      <c r="AJ75" s="7" t="str">
        <f>IF(Data_Summary!Y76&lt;&gt;"Coverage","",IF(Data_Summary!AA76="","",IF(COUNTIFS(Data_Summary!$Y$2:$Y76,"Coverage",Data_Summary!$AA$2:$AA76,Data_Summary!AA76)=1,Data_Summary!AA76,"")))</f>
        <v/>
      </c>
      <c r="AK75" s="7" t="str">
        <f>IF(AJ75="","",COUNTIFS(Data_Summary!$Y$2:$Y$5002,"Coverage",Data_Summary!$AA$2:$AA$5002,AJ75))</f>
        <v/>
      </c>
      <c r="AM75" s="7" t="str">
        <f>IF(Data_Insight!X75="","",IF(COUNTIF(Data_Insight!$X$2:$X75,Data_Insight!X75)=1,Data_Insight!X75,""))</f>
        <v/>
      </c>
      <c r="AN75" s="7" t="str">
        <f>IF(AM75="","",COUNTIF(Data_Insight!$X$2:$X$5001,AM75))</f>
        <v/>
      </c>
    </row>
    <row r="76" spans="1:40" ht="13.5" customHeight="1">
      <c r="AJ76" s="7" t="str">
        <f>IF(Data_Summary!Y77&lt;&gt;"Coverage","",IF(Data_Summary!AA77="","",IF(COUNTIFS(Data_Summary!$Y$2:$Y77,"Coverage",Data_Summary!$AA$2:$AA77,Data_Summary!AA77)=1,Data_Summary!AA77,"")))</f>
        <v/>
      </c>
      <c r="AK76" s="7" t="str">
        <f>IF(AJ76="","",COUNTIFS(Data_Summary!$Y$2:$Y$5002,"Coverage",Data_Summary!$AA$2:$AA$5002,AJ76))</f>
        <v/>
      </c>
      <c r="AM76" s="7" t="str">
        <f>IF(Data_Insight!X76="","",IF(COUNTIF(Data_Insight!$X$2:$X76,Data_Insight!X76)=1,Data_Insight!X76,""))</f>
        <v/>
      </c>
      <c r="AN76" s="7" t="str">
        <f>IF(AM76="","",COUNTIF(Data_Insight!$X$2:$X$5001,AM76))</f>
        <v/>
      </c>
    </row>
    <row r="77" spans="1:40" ht="15" customHeight="1">
      <c r="AJ77" s="7" t="str">
        <f>IF(Data_Summary!Y78&lt;&gt;"Coverage","",IF(Data_Summary!AA78="","",IF(COUNTIFS(Data_Summary!$Y$2:$Y78,"Coverage",Data_Summary!$AA$2:$AA78,Data_Summary!AA78)=1,Data_Summary!AA78,"")))</f>
        <v/>
      </c>
      <c r="AK77" s="7" t="str">
        <f>IF(AJ77="","",COUNTIFS(Data_Summary!$Y$2:$Y$5002,"Coverage",Data_Summary!$AA$2:$AA$5002,AJ77))</f>
        <v/>
      </c>
      <c r="AM77" s="7" t="str">
        <f>IF(Data_Insight!X77="","",IF(COUNTIF(Data_Insight!$X$2:$X77,Data_Insight!X77)=1,Data_Insight!X77,""))</f>
        <v/>
      </c>
      <c r="AN77" s="7" t="str">
        <f>IF(AM77="","",COUNTIF(Data_Insight!$X$2:$X$5001,AM77))</f>
        <v/>
      </c>
    </row>
    <row r="78" spans="1:40" ht="15" customHeight="1">
      <c r="AJ78" s="7" t="str">
        <f>IF(Data_Summary!Y79&lt;&gt;"Coverage","",IF(Data_Summary!AA79="","",IF(COUNTIFS(Data_Summary!$Y$2:$Y79,"Coverage",Data_Summary!$AA$2:$AA79,Data_Summary!AA79)=1,Data_Summary!AA79,"")))</f>
        <v/>
      </c>
      <c r="AK78" s="7" t="str">
        <f>IF(AJ78="","",COUNTIFS(Data_Summary!$Y$2:$Y$5002,"Coverage",Data_Summary!$AA$2:$AA$5002,AJ78))</f>
        <v/>
      </c>
      <c r="AM78" s="7" t="str">
        <f>IF(Data_Insight!X78="","",IF(COUNTIF(Data_Insight!$X$2:$X78,Data_Insight!X78)=1,Data_Insight!X78,""))</f>
        <v/>
      </c>
      <c r="AN78" s="7" t="str">
        <f>IF(AM78="","",COUNTIF(Data_Insight!$X$2:$X$5001,AM78))</f>
        <v/>
      </c>
    </row>
    <row r="79" spans="1:40" ht="15" customHeight="1">
      <c r="AJ79" s="7" t="str">
        <f>IF(Data_Summary!Y80&lt;&gt;"Coverage","",IF(Data_Summary!AA80="","",IF(COUNTIFS(Data_Summary!$Y$2:$Y80,"Coverage",Data_Summary!$AA$2:$AA80,Data_Summary!AA80)=1,Data_Summary!AA80,"")))</f>
        <v>Bench Policy &amp; Compliance Clarity</v>
      </c>
      <c r="AK79" s="7">
        <f>IF(AJ79="","",COUNTIFS(Data_Summary!$Y$2:$Y$5002,"Coverage",Data_Summary!$AA$2:$AA$5002,AJ79))</f>
        <v>19</v>
      </c>
      <c r="AM79" s="7" t="str">
        <f>IF(Data_Insight!X79="","",IF(COUNTIF(Data_Insight!$X$2:$X79,Data_Insight!X79)=1,Data_Insight!X79,""))</f>
        <v/>
      </c>
      <c r="AN79" s="7" t="str">
        <f>IF(AM79="","",COUNTIF(Data_Insight!$X$2:$X$5001,AM79))</f>
        <v/>
      </c>
    </row>
    <row r="80" spans="1:40" ht="15" customHeight="1">
      <c r="AJ80" s="7" t="str">
        <f>IF(Data_Summary!Y81&lt;&gt;"Coverage","",IF(Data_Summary!AA81="","",IF(COUNTIFS(Data_Summary!$Y$2:$Y81,"Coverage",Data_Summary!$AA$2:$AA81,Data_Summary!AA81)=1,Data_Summary!AA81,"")))</f>
        <v>Allocation Visibility &amp; Process</v>
      </c>
      <c r="AK80" s="7">
        <f>IF(AJ80="","",COUNTIFS(Data_Summary!$Y$2:$Y$5002,"Coverage",Data_Summary!$AA$2:$AA$5002,AJ80))</f>
        <v>11</v>
      </c>
      <c r="AM80" s="7" t="str">
        <f>IF(Data_Insight!X80="","",IF(COUNTIF(Data_Insight!$X$2:$X80,Data_Insight!X80)=1,Data_Insight!X80,""))</f>
        <v/>
      </c>
      <c r="AN80" s="7" t="str">
        <f>IF(AM80="","",COUNTIF(Data_Insight!$X$2:$X$5001,AM80))</f>
        <v/>
      </c>
    </row>
    <row r="81" spans="1:40" ht="15" customHeight="1">
      <c r="AJ81" s="7" t="str">
        <f>IF(Data_Summary!Y82&lt;&gt;"Coverage","",IF(Data_Summary!AA82="","",IF(COUNTIFS(Data_Summary!$Y$2:$Y82,"Coverage",Data_Summary!$AA$2:$AA82,Data_Summary!AA82)=1,Data_Summary!AA82,"")))</f>
        <v>Engagement During Bench</v>
      </c>
      <c r="AK81" s="7">
        <f>IF(AJ81="","",COUNTIFS(Data_Summary!$Y$2:$Y$5002,"Coverage",Data_Summary!$AA$2:$AA$5002,AJ81))</f>
        <v>8</v>
      </c>
      <c r="AM81" s="7" t="str">
        <f>IF(Data_Insight!X81="","",IF(COUNTIF(Data_Insight!$X$2:$X81,Data_Insight!X81)=1,Data_Insight!X81,""))</f>
        <v/>
      </c>
      <c r="AN81" s="7" t="str">
        <f>IF(AM81="","",COUNTIF(Data_Insight!$X$2:$X$5001,AM81))</f>
        <v/>
      </c>
    </row>
    <row r="82" spans="1:40" ht="15" customHeight="1">
      <c r="AJ82" s="7" t="str">
        <f>IF(Data_Summary!Y83&lt;&gt;"Coverage","",IF(Data_Summary!AA83="","",IF(COUNTIFS(Data_Summary!$Y$2:$Y83,"Coverage",Data_Summary!$AA$2:$AA83,Data_Summary!AA83)=1,Data_Summary!AA83,"")))</f>
        <v>Upskilling &amp; Deployment Readiness</v>
      </c>
      <c r="AK82" s="7">
        <f>IF(AJ82="","",COUNTIFS(Data_Summary!$Y$2:$Y$5002,"Coverage",Data_Summary!$AA$2:$AA$5002,AJ82))</f>
        <v>15</v>
      </c>
      <c r="AM82" s="7" t="str">
        <f>IF(Data_Insight!X82="","",IF(COUNTIF(Data_Insight!$X$2:$X82,Data_Insight!X82)=1,Data_Insight!X82,""))</f>
        <v/>
      </c>
      <c r="AN82" s="7" t="str">
        <f>IF(AM82="","",COUNTIF(Data_Insight!$X$2:$X$5001,AM82))</f>
        <v/>
      </c>
    </row>
    <row r="83" spans="1:40" ht="15" customHeight="1">
      <c r="AJ83" s="7" t="str">
        <f>IF(Data_Summary!Y84&lt;&gt;"Coverage","",IF(Data_Summary!AA84="","",IF(COUNTIFS(Data_Summary!$Y$2:$Y84,"Coverage",Data_Summary!$AA$2:$AA84,Data_Summary!AA84)=1,Data_Summary!AA84,"")))</f>
        <v/>
      </c>
      <c r="AK83" s="7" t="str">
        <f>IF(AJ83="","",COUNTIFS(Data_Summary!$Y$2:$Y$5002,"Coverage",Data_Summary!$AA$2:$AA$5002,AJ83))</f>
        <v/>
      </c>
      <c r="AM83" s="7" t="str">
        <f>IF(Data_Insight!X83="","",IF(COUNTIF(Data_Insight!$X$2:$X83,Data_Insight!X83)=1,Data_Insight!X83,""))</f>
        <v/>
      </c>
      <c r="AN83" s="7" t="str">
        <f>IF(AM83="","",COUNTIF(Data_Insight!$X$2:$X$5001,AM83))</f>
        <v/>
      </c>
    </row>
    <row r="84" spans="1:40" ht="15" customHeight="1">
      <c r="AJ84" s="7" t="str">
        <f>IF(Data_Summary!Y85&lt;&gt;"Coverage","",IF(Data_Summary!AA85="","",IF(COUNTIFS(Data_Summary!$Y$2:$Y85,"Coverage",Data_Summary!$AA$2:$AA85,Data_Summary!AA85)=1,Data_Summary!AA85,"")))</f>
        <v/>
      </c>
      <c r="AK84" s="7" t="str">
        <f>IF(AJ84="","",COUNTIFS(Data_Summary!$Y$2:$Y$5002,"Coverage",Data_Summary!$AA$2:$AA$5002,AJ84))</f>
        <v/>
      </c>
      <c r="AM84" s="7" t="str">
        <f>IF(Data_Insight!X84="","",IF(COUNTIF(Data_Insight!$X$2:$X84,Data_Insight!X84)=1,Data_Insight!X84,""))</f>
        <v/>
      </c>
      <c r="AN84" s="7" t="str">
        <f>IF(AM84="","",COUNTIF(Data_Insight!$X$2:$X$5001,AM84))</f>
        <v/>
      </c>
    </row>
    <row r="85" spans="1:40" ht="15" customHeight="1">
      <c r="AJ85" s="7" t="str">
        <f>IF(Data_Summary!Y86&lt;&gt;"Coverage","",IF(Data_Summary!AA86="","",IF(COUNTIFS(Data_Summary!$Y$2:$Y86,"Coverage",Data_Summary!$AA$2:$AA86,Data_Summary!AA86)=1,Data_Summary!AA86,"")))</f>
        <v/>
      </c>
      <c r="AK85" s="7" t="str">
        <f>IF(AJ85="","",COUNTIFS(Data_Summary!$Y$2:$Y$5002,"Coverage",Data_Summary!$AA$2:$AA$5002,AJ85))</f>
        <v/>
      </c>
      <c r="AM85" s="7" t="str">
        <f>IF(Data_Insight!X85="","",IF(COUNTIF(Data_Insight!$X$2:$X85,Data_Insight!X85)=1,Data_Insight!X85,""))</f>
        <v/>
      </c>
      <c r="AN85" s="7" t="str">
        <f>IF(AM85="","",COUNTIF(Data_Insight!$X$2:$X$5001,AM85))</f>
        <v/>
      </c>
    </row>
    <row r="86" spans="1:40" ht="15" customHeight="1">
      <c r="AJ86" s="7" t="str">
        <f>IF(Data_Summary!Y87&lt;&gt;"Coverage","",IF(Data_Summary!AA87="","",IF(COUNTIFS(Data_Summary!$Y$2:$Y87,"Coverage",Data_Summary!$AA$2:$AA87,Data_Summary!AA87)=1,Data_Summary!AA87,"")))</f>
        <v/>
      </c>
      <c r="AK86" s="7" t="str">
        <f>IF(AJ86="","",COUNTIFS(Data_Summary!$Y$2:$Y$5002,"Coverage",Data_Summary!$AA$2:$AA$5002,AJ86))</f>
        <v/>
      </c>
      <c r="AM86" s="7" t="str">
        <f>IF(Data_Insight!X86="","",IF(COUNTIF(Data_Insight!$X$2:$X86,Data_Insight!X86)=1,Data_Insight!X86,""))</f>
        <v/>
      </c>
      <c r="AN86" s="7" t="str">
        <f>IF(AM86="","",COUNTIF(Data_Insight!$X$2:$X$5001,AM86))</f>
        <v/>
      </c>
    </row>
    <row r="87" spans="1:40" ht="15" customHeight="1">
      <c r="AJ87" s="7" t="str">
        <f>IF(Data_Summary!Y88&lt;&gt;"Coverage","",IF(Data_Summary!AA88="","",IF(COUNTIFS(Data_Summary!$Y$2:$Y88,"Coverage",Data_Summary!$AA$2:$AA88,Data_Summary!AA88)=1,Data_Summary!AA88,"")))</f>
        <v/>
      </c>
      <c r="AK87" s="7" t="str">
        <f>IF(AJ87="","",COUNTIFS(Data_Summary!$Y$2:$Y$5002,"Coverage",Data_Summary!$AA$2:$AA$5002,AJ87))</f>
        <v/>
      </c>
      <c r="AM87" s="7" t="str">
        <f>IF(Data_Insight!X87="","",IF(COUNTIF(Data_Insight!$X$2:$X87,Data_Insight!X87)=1,Data_Insight!X87,""))</f>
        <v/>
      </c>
      <c r="AN87" s="7" t="str">
        <f>IF(AM87="","",COUNTIF(Data_Insight!$X$2:$X$5001,AM87))</f>
        <v/>
      </c>
    </row>
    <row r="88" spans="1:40" ht="15" customHeight="1">
      <c r="AJ88" s="7" t="str">
        <f>IF(Data_Summary!Y89&lt;&gt;"Coverage","",IF(Data_Summary!AA89="","",IF(COUNTIFS(Data_Summary!$Y$2:$Y89,"Coverage",Data_Summary!$AA$2:$AA89,Data_Summary!AA89)=1,Data_Summary!AA89,"")))</f>
        <v>NA</v>
      </c>
      <c r="AK88" s="7">
        <f>IF(AJ88="","",COUNTIFS(Data_Summary!$Y$2:$Y$5002,"Coverage",Data_Summary!$AA$2:$AA$5002,AJ88))</f>
        <v>1</v>
      </c>
      <c r="AM88" s="7" t="str">
        <f>IF(Data_Insight!X88="","",IF(COUNTIF(Data_Insight!$X$2:$X88,Data_Insight!X88)=1,Data_Insight!X88,""))</f>
        <v/>
      </c>
      <c r="AN88" s="7" t="str">
        <f>IF(AM88="","",COUNTIF(Data_Insight!$X$2:$X$5001,AM88))</f>
        <v/>
      </c>
    </row>
    <row r="89" spans="1:40" ht="15" customHeight="1">
      <c r="A89" s="18"/>
      <c r="B89" s="18"/>
      <c r="AJ89" s="7" t="str">
        <f>IF(Data_Summary!Y90&lt;&gt;"Coverage","",IF(Data_Summary!AA90="","",IF(COUNTIFS(Data_Summary!$Y$2:$Y90,"Coverage",Data_Summary!$AA$2:$AA90,Data_Summary!AA90)=1,Data_Summary!AA90,"")))</f>
        <v/>
      </c>
      <c r="AK89" s="7" t="str">
        <f>IF(AJ89="","",COUNTIFS(Data_Summary!$Y$2:$Y$5002,"Coverage",Data_Summary!$AA$2:$AA$5002,AJ89))</f>
        <v/>
      </c>
      <c r="AM89" s="7" t="str">
        <f>IF(Data_Insight!X89="","",IF(COUNTIF(Data_Insight!$X$2:$X89,Data_Insight!X89)=1,Data_Insight!X89,""))</f>
        <v/>
      </c>
      <c r="AN89" s="7" t="str">
        <f>IF(AM89="","",COUNTIF(Data_Insight!$X$2:$X$5001,AM89))</f>
        <v/>
      </c>
    </row>
    <row r="90" spans="1:40" ht="12.75" customHeight="1">
      <c r="AJ90" s="7" t="str">
        <f>IF(Data_Summary!Y91&lt;&gt;"Coverage","",IF(Data_Summary!AA91="","",IF(COUNTIFS(Data_Summary!$Y$2:$Y91,"Coverage",Data_Summary!$AA$2:$AA91,Data_Summary!AA91)=1,Data_Summary!AA91,"")))</f>
        <v/>
      </c>
      <c r="AK90" s="7" t="str">
        <f>IF(AJ90="","",COUNTIFS(Data_Summary!$Y$2:$Y$5002,"Coverage",Data_Summary!$AA$2:$AA$5002,AJ90))</f>
        <v/>
      </c>
      <c r="AM90" s="7" t="str">
        <f>IF(Data_Insight!X90="","",IF(COUNTIF(Data_Insight!$X$2:$X90,Data_Insight!X90)=1,Data_Insight!X90,""))</f>
        <v/>
      </c>
      <c r="AN90" s="7" t="str">
        <f>IF(AM90="","",COUNTIF(Data_Insight!$X$2:$X$5001,AM90))</f>
        <v/>
      </c>
    </row>
    <row r="91" spans="1:40" ht="15.75" customHeight="1">
      <c r="AJ91" s="7" t="str">
        <f>IF(Data_Summary!Y92&lt;&gt;"Coverage","",IF(Data_Summary!AA92="","",IF(COUNTIFS(Data_Summary!$Y$2:$Y92,"Coverage",Data_Summary!$AA$2:$AA92,Data_Summary!AA92)=1,Data_Summary!AA92,"")))</f>
        <v>Initial Engagement Level</v>
      </c>
      <c r="AK91" s="7">
        <f>IF(AJ91="","",COUNTIFS(Data_Summary!$Y$2:$Y$5002,"Coverage",Data_Summary!$AA$2:$AA$5002,AJ91))</f>
        <v>7</v>
      </c>
      <c r="AM91" s="7" t="str">
        <f>IF(Data_Insight!X91="","",IF(COUNTIF(Data_Insight!$X$2:$X91,Data_Insight!X91)=1,Data_Insight!X91,""))</f>
        <v/>
      </c>
      <c r="AN91" s="7" t="str">
        <f>IF(AM91="","",COUNTIF(Data_Insight!$X$2:$X$5001,AM91))</f>
        <v/>
      </c>
    </row>
    <row r="92" spans="1:40" ht="13.5" customHeight="1">
      <c r="AJ92" s="7" t="str">
        <f>IF(Data_Summary!Y93&lt;&gt;"Coverage","",IF(Data_Summary!AA93="","",IF(COUNTIFS(Data_Summary!$Y$2:$Y93,"Coverage",Data_Summary!$AA$2:$AA93,Data_Summary!AA93)=1,Data_Summary!AA93,"")))</f>
        <v/>
      </c>
      <c r="AK92" s="7" t="str">
        <f>IF(AJ92="","",COUNTIFS(Data_Summary!$Y$2:$Y$5002,"Coverage",Data_Summary!$AA$2:$AA$5002,AJ92))</f>
        <v/>
      </c>
      <c r="AM92" s="7" t="str">
        <f>IF(Data_Insight!X92="","",IF(COUNTIF(Data_Insight!$X$2:$X92,Data_Insight!X92)=1,Data_Insight!X92,""))</f>
        <v/>
      </c>
      <c r="AN92" s="7" t="str">
        <f>IF(AM92="","",COUNTIF(Data_Insight!$X$2:$X$5001,AM92))</f>
        <v/>
      </c>
    </row>
    <row r="93" spans="1:40" ht="15" customHeight="1">
      <c r="AJ93" s="7" t="str">
        <f>IF(Data_Summary!Y94&lt;&gt;"Coverage","",IF(Data_Summary!AA94="","",IF(COUNTIFS(Data_Summary!$Y$2:$Y94,"Coverage",Data_Summary!$AA$2:$AA94,Data_Summary!AA94)=1,Data_Summary!AA94,"")))</f>
        <v/>
      </c>
      <c r="AK93" s="7" t="str">
        <f>IF(AJ93="","",COUNTIFS(Data_Summary!$Y$2:$Y$5002,"Coverage",Data_Summary!$AA$2:$AA$5002,AJ93))</f>
        <v/>
      </c>
      <c r="AM93" s="7" t="str">
        <f>IF(Data_Insight!X93="","",IF(COUNTIF(Data_Insight!$X$2:$X93,Data_Insight!X93)=1,Data_Insight!X93,""))</f>
        <v/>
      </c>
      <c r="AN93" s="7" t="str">
        <f>IF(AM93="","",COUNTIF(Data_Insight!$X$2:$X$5001,AM93))</f>
        <v/>
      </c>
    </row>
    <row r="94" spans="1:40" ht="15" customHeight="1">
      <c r="AJ94" s="7" t="str">
        <f>IF(Data_Summary!Y95&lt;&gt;"Coverage","",IF(Data_Summary!AA95="","",IF(COUNTIFS(Data_Summary!$Y$2:$Y95,"Coverage",Data_Summary!$AA$2:$AA95,Data_Summary!AA95)=1,Data_Summary!AA95,"")))</f>
        <v/>
      </c>
      <c r="AK94" s="7" t="str">
        <f>IF(AJ94="","",COUNTIFS(Data_Summary!$Y$2:$Y$5002,"Coverage",Data_Summary!$AA$2:$AA$5002,AJ94))</f>
        <v/>
      </c>
      <c r="AM94" s="7" t="str">
        <f>IF(Data_Insight!X94="","",IF(COUNTIF(Data_Insight!$X$2:$X94,Data_Insight!X94)=1,Data_Insight!X94,""))</f>
        <v/>
      </c>
      <c r="AN94" s="7" t="str">
        <f>IF(AM94="","",COUNTIF(Data_Insight!$X$2:$X$5001,AM94))</f>
        <v/>
      </c>
    </row>
    <row r="95" spans="1:40" ht="15" customHeight="1">
      <c r="AJ95" s="7" t="str">
        <f>IF(Data_Summary!Y96&lt;&gt;"Coverage","",IF(Data_Summary!AA96="","",IF(COUNTIFS(Data_Summary!$Y$2:$Y96,"Coverage",Data_Summary!$AA$2:$AA96,Data_Summary!AA96)=1,Data_Summary!AA96,"")))</f>
        <v/>
      </c>
      <c r="AK95" s="7" t="str">
        <f>IF(AJ95="","",COUNTIFS(Data_Summary!$Y$2:$Y$5002,"Coverage",Data_Summary!$AA$2:$AA$5002,AJ95))</f>
        <v/>
      </c>
      <c r="AM95" s="7" t="str">
        <f>IF(Data_Insight!X95="","",IF(COUNTIF(Data_Insight!$X$2:$X95,Data_Insight!X95)=1,Data_Insight!X95,""))</f>
        <v/>
      </c>
      <c r="AN95" s="7" t="str">
        <f>IF(AM95="","",COUNTIF(Data_Insight!$X$2:$X$5001,AM95))</f>
        <v/>
      </c>
    </row>
    <row r="96" spans="1:40" ht="15" customHeight="1">
      <c r="AJ96" s="7" t="str">
        <f>IF(Data_Summary!Y97&lt;&gt;"Coverage","",IF(Data_Summary!AA97="","",IF(COUNTIFS(Data_Summary!$Y$2:$Y97,"Coverage",Data_Summary!$AA$2:$AA97,Data_Summary!AA97)=1,Data_Summary!AA97,"")))</f>
        <v/>
      </c>
      <c r="AK96" s="7" t="str">
        <f>IF(AJ96="","",COUNTIFS(Data_Summary!$Y$2:$Y$5002,"Coverage",Data_Summary!$AA$2:$AA$5002,AJ96))</f>
        <v/>
      </c>
      <c r="AM96" s="7" t="str">
        <f>IF(Data_Insight!X96="","",IF(COUNTIF(Data_Insight!$X$2:$X96,Data_Insight!X96)=1,Data_Insight!X96,""))</f>
        <v/>
      </c>
      <c r="AN96" s="7" t="str">
        <f>IF(AM96="","",COUNTIF(Data_Insight!$X$2:$X$5001,AM96))</f>
        <v/>
      </c>
    </row>
    <row r="97" spans="36:40" ht="12.75" customHeight="1">
      <c r="AJ97" s="7" t="str">
        <f>IF(Data_Summary!Y98&lt;&gt;"Coverage","",IF(Data_Summary!AA98="","",IF(COUNTIFS(Data_Summary!$Y$2:$Y98,"Coverage",Data_Summary!$AA$2:$AA98,Data_Summary!AA98)=1,Data_Summary!AA98,"")))</f>
        <v/>
      </c>
      <c r="AK97" s="7" t="str">
        <f>IF(AJ97="","",COUNTIFS(Data_Summary!$Y$2:$Y$5002,"Coverage",Data_Summary!$AA$2:$AA$5002,AJ97))</f>
        <v/>
      </c>
      <c r="AM97" s="7" t="str">
        <f>IF(Data_Insight!X97="","",IF(COUNTIF(Data_Insight!$X$2:$X97,Data_Insight!X97)=1,Data_Insight!X97,""))</f>
        <v/>
      </c>
      <c r="AN97" s="7" t="str">
        <f>IF(AM97="","",COUNTIF(Data_Insight!$X$2:$X$5001,AM97))</f>
        <v/>
      </c>
    </row>
    <row r="98" spans="36:40" ht="15.75" customHeight="1">
      <c r="AJ98" s="7" t="str">
        <f>IF(Data_Summary!Y99&lt;&gt;"Coverage","",IF(Data_Summary!AA99="","",IF(COUNTIFS(Data_Summary!$Y$2:$Y99,"Coverage",Data_Summary!$AA$2:$AA99,Data_Summary!AA99)=1,Data_Summary!AA99,"")))</f>
        <v/>
      </c>
      <c r="AK98" s="7" t="str">
        <f>IF(AJ98="","",COUNTIFS(Data_Summary!$Y$2:$Y$5002,"Coverage",Data_Summary!$AA$2:$AA$5002,AJ98))</f>
        <v/>
      </c>
      <c r="AM98" s="7" t="str">
        <f>IF(Data_Insight!X98="","",IF(COUNTIF(Data_Insight!$X$2:$X98,Data_Insight!X98)=1,Data_Insight!X98,""))</f>
        <v/>
      </c>
      <c r="AN98" s="7" t="str">
        <f>IF(AM98="","",COUNTIF(Data_Insight!$X$2:$X$5001,AM98))</f>
        <v/>
      </c>
    </row>
    <row r="99" spans="36:40" ht="13.5" customHeight="1">
      <c r="AJ99" s="7" t="str">
        <f>IF(Data_Summary!Y100&lt;&gt;"Coverage","",IF(Data_Summary!AA100="","",IF(COUNTIFS(Data_Summary!$Y$2:$Y100,"Coverage",Data_Summary!$AA$2:$AA100,Data_Summary!AA100)=1,Data_Summary!AA100,"")))</f>
        <v/>
      </c>
      <c r="AK99" s="7" t="str">
        <f>IF(AJ99="","",COUNTIFS(Data_Summary!$Y$2:$Y$5002,"Coverage",Data_Summary!$AA$2:$AA$5002,AJ99))</f>
        <v/>
      </c>
      <c r="AM99" s="7" t="str">
        <f>IF(Data_Insight!X99="","",IF(COUNTIF(Data_Insight!$X$2:$X99,Data_Insight!X99)=1,Data_Insight!X99,""))</f>
        <v>IBU Cadence Connect</v>
      </c>
      <c r="AN99" s="7">
        <f>IF(AM99="","",COUNTIF(Data_Insight!$X$2:$X$5001,AM99))</f>
        <v>3</v>
      </c>
    </row>
    <row r="100" spans="36:40" ht="15" customHeight="1">
      <c r="AJ100" s="7" t="str">
        <f>IF(Data_Summary!Y101&lt;&gt;"Coverage","",IF(Data_Summary!AA101="","",IF(COUNTIFS(Data_Summary!$Y$2:$Y101,"Coverage",Data_Summary!$AA$2:$AA101,Data_Summary!AA101)=1,Data_Summary!AA101,"")))</f>
        <v/>
      </c>
      <c r="AK100" s="7" t="str">
        <f>IF(AJ100="","",COUNTIFS(Data_Summary!$Y$2:$Y$5002,"Coverage",Data_Summary!$AA$2:$AA$5002,AJ100))</f>
        <v/>
      </c>
      <c r="AM100" s="7" t="str">
        <f>IF(Data_Insight!X100="","",IF(COUNTIF(Data_Insight!$X$2:$X100,Data_Insight!X100)=1,Data_Insight!X100,""))</f>
        <v/>
      </c>
      <c r="AN100" s="7" t="str">
        <f>IF(AM100="","",COUNTIF(Data_Insight!$X$2:$X$5001,AM100))</f>
        <v/>
      </c>
    </row>
    <row r="101" spans="36:40" ht="15" customHeight="1">
      <c r="AJ101" s="7" t="str">
        <f>IF(Data_Summary!Y102&lt;&gt;"Coverage","",IF(Data_Summary!AA102="","",IF(COUNTIFS(Data_Summary!$Y$2:$Y102,"Coverage",Data_Summary!$AA$2:$AA102,Data_Summary!AA102)=1,Data_Summary!AA102,"")))</f>
        <v/>
      </c>
      <c r="AK101" s="7" t="str">
        <f>IF(AJ101="","",COUNTIFS(Data_Summary!$Y$2:$Y$5002,"Coverage",Data_Summary!$AA$2:$AA$5002,AJ101))</f>
        <v/>
      </c>
      <c r="AM101" s="7" t="str">
        <f>IF(Data_Insight!X101="","",IF(COUNTIF(Data_Insight!$X$2:$X101,Data_Insight!X101)=1,Data_Insight!X101,""))</f>
        <v/>
      </c>
      <c r="AN101" s="7" t="str">
        <f>IF(AM101="","",COUNTIF(Data_Insight!$X$2:$X$5001,AM101))</f>
        <v/>
      </c>
    </row>
    <row r="102" spans="36:40" ht="15" customHeight="1">
      <c r="AJ102" s="7" t="str">
        <f>IF(Data_Summary!Y103&lt;&gt;"Coverage","",IF(Data_Summary!AA103="","",IF(COUNTIFS(Data_Summary!$Y$2:$Y103,"Coverage",Data_Summary!$AA$2:$AA103,Data_Summary!AA103)=1,Data_Summary!AA103,"")))</f>
        <v/>
      </c>
      <c r="AK102" s="7" t="str">
        <f>IF(AJ102="","",COUNTIFS(Data_Summary!$Y$2:$Y$5002,"Coverage",Data_Summary!$AA$2:$AA$5002,AJ102))</f>
        <v/>
      </c>
      <c r="AM102" s="7" t="str">
        <f>IF(Data_Insight!X102="","",IF(COUNTIF(Data_Insight!$X$2:$X102,Data_Insight!X102)=1,Data_Insight!X102,""))</f>
        <v/>
      </c>
      <c r="AN102" s="7" t="str">
        <f>IF(AM102="","",COUNTIF(Data_Insight!$X$2:$X$5001,AM102))</f>
        <v/>
      </c>
    </row>
    <row r="103" spans="36:40" ht="15" customHeight="1">
      <c r="AJ103" s="7" t="str">
        <f>IF(Data_Summary!Y104&lt;&gt;"Coverage","",IF(Data_Summary!AA104="","",IF(COUNTIFS(Data_Summary!$Y$2:$Y104,"Coverage",Data_Summary!$AA$2:$AA104,Data_Summary!AA104)=1,Data_Summary!AA104,"")))</f>
        <v/>
      </c>
      <c r="AK103" s="7" t="str">
        <f>IF(AJ103="","",COUNTIFS(Data_Summary!$Y$2:$Y$5002,"Coverage",Data_Summary!$AA$2:$AA$5002,AJ103))</f>
        <v/>
      </c>
      <c r="AM103" s="7" t="str">
        <f>IF(Data_Insight!X103="","",IF(COUNTIF(Data_Insight!$X$2:$X103,Data_Insight!X103)=1,Data_Insight!X103,""))</f>
        <v/>
      </c>
      <c r="AN103" s="7" t="str">
        <f>IF(AM103="","",COUNTIF(Data_Insight!$X$2:$X$5001,AM103))</f>
        <v/>
      </c>
    </row>
    <row r="104" spans="36:40" ht="15" customHeight="1">
      <c r="AJ104" s="7" t="str">
        <f>IF(Data_Summary!Y105&lt;&gt;"Coverage","",IF(Data_Summary!AA105="","",IF(COUNTIFS(Data_Summary!$Y$2:$Y105,"Coverage",Data_Summary!$AA$2:$AA105,Data_Summary!AA105)=1,Data_Summary!AA105,"")))</f>
        <v/>
      </c>
      <c r="AK104" s="7" t="str">
        <f>IF(AJ104="","",COUNTIFS(Data_Summary!$Y$2:$Y$5002,"Coverage",Data_Summary!$AA$2:$AA$5002,AJ104))</f>
        <v/>
      </c>
      <c r="AM104" s="7" t="str">
        <f>IF(Data_Insight!X104="","",IF(COUNTIF(Data_Insight!$X$2:$X104,Data_Insight!X104)=1,Data_Insight!X104,""))</f>
        <v/>
      </c>
      <c r="AN104" s="7" t="str">
        <f>IF(AM104="","",COUNTIF(Data_Insight!$X$2:$X$5001,AM104))</f>
        <v/>
      </c>
    </row>
    <row r="105" spans="36:40" ht="15" customHeight="1">
      <c r="AJ105" s="7" t="str">
        <f>IF(Data_Summary!Y106&lt;&gt;"Coverage","",IF(Data_Summary!AA106="","",IF(COUNTIFS(Data_Summary!$Y$2:$Y106,"Coverage",Data_Summary!$AA$2:$AA106,Data_Summary!AA106)=1,Data_Summary!AA106,"")))</f>
        <v/>
      </c>
      <c r="AK105" s="7" t="str">
        <f>IF(AJ105="","",COUNTIFS(Data_Summary!$Y$2:$Y$5002,"Coverage",Data_Summary!$AA$2:$AA$5002,AJ105))</f>
        <v/>
      </c>
      <c r="AM105" s="7" t="str">
        <f>IF(Data_Insight!X105="","",IF(COUNTIF(Data_Insight!$X$2:$X105,Data_Insight!X105)=1,Data_Insight!X105,""))</f>
        <v/>
      </c>
      <c r="AN105" s="7" t="str">
        <f>IF(AM105="","",COUNTIF(Data_Insight!$X$2:$X$5001,AM105))</f>
        <v/>
      </c>
    </row>
    <row r="106" spans="36:40" ht="15" customHeight="1">
      <c r="AJ106" s="7" t="str">
        <f>IF(Data_Summary!Y107&lt;&gt;"Coverage","",IF(Data_Summary!AA107="","",IF(COUNTIFS(Data_Summary!$Y$2:$Y107,"Coverage",Data_Summary!$AA$2:$AA107,Data_Summary!AA107)=1,Data_Summary!AA107,"")))</f>
        <v/>
      </c>
      <c r="AK106" s="7" t="str">
        <f>IF(AJ106="","",COUNTIFS(Data_Summary!$Y$2:$Y$5002,"Coverage",Data_Summary!$AA$2:$AA$5002,AJ106))</f>
        <v/>
      </c>
      <c r="AM106" s="7" t="str">
        <f>IF(Data_Insight!X106="","",IF(COUNTIF(Data_Insight!$X$2:$X106,Data_Insight!X106)=1,Data_Insight!X106,""))</f>
        <v/>
      </c>
      <c r="AN106" s="7" t="str">
        <f>IF(AM106="","",COUNTIF(Data_Insight!$X$2:$X$5001,AM106))</f>
        <v/>
      </c>
    </row>
    <row r="107" spans="36:40" ht="15" customHeight="1">
      <c r="AJ107" s="7" t="str">
        <f>IF(Data_Summary!Y108&lt;&gt;"Coverage","",IF(Data_Summary!AA108="","",IF(COUNTIFS(Data_Summary!$Y$2:$Y108,"Coverage",Data_Summary!$AA$2:$AA108,Data_Summary!AA108)=1,Data_Summary!AA108,"")))</f>
        <v/>
      </c>
      <c r="AK107" s="7" t="str">
        <f>IF(AJ107="","",COUNTIFS(Data_Summary!$Y$2:$Y$5002,"Coverage",Data_Summary!$AA$2:$AA$5002,AJ107))</f>
        <v/>
      </c>
      <c r="AM107" s="7" t="str">
        <f>IF(Data_Insight!X107="","",IF(COUNTIF(Data_Insight!$X$2:$X107,Data_Insight!X107)=1,Data_Insight!X107,""))</f>
        <v/>
      </c>
      <c r="AN107" s="7" t="str">
        <f>IF(AM107="","",COUNTIF(Data_Insight!$X$2:$X$5001,AM107))</f>
        <v/>
      </c>
    </row>
    <row r="108" spans="36:40" ht="15" customHeight="1">
      <c r="AJ108" s="7" t="str">
        <f>IF(Data_Summary!Y109&lt;&gt;"Coverage","",IF(Data_Summary!AA109="","",IF(COUNTIFS(Data_Summary!$Y$2:$Y109,"Coverage",Data_Summary!$AA$2:$AA109,Data_Summary!AA109)=1,Data_Summary!AA109,"")))</f>
        <v/>
      </c>
      <c r="AK108" s="7" t="str">
        <f>IF(AJ108="","",COUNTIFS(Data_Summary!$Y$2:$Y$5002,"Coverage",Data_Summary!$AA$2:$AA$5002,AJ108))</f>
        <v/>
      </c>
      <c r="AM108" s="7" t="str">
        <f>IF(Data_Insight!X108="","",IF(COUNTIF(Data_Insight!$X$2:$X108,Data_Insight!X108)=1,Data_Insight!X108,""))</f>
        <v/>
      </c>
      <c r="AN108" s="7" t="str">
        <f>IF(AM108="","",COUNTIF(Data_Insight!$X$2:$X$5001,AM108))</f>
        <v/>
      </c>
    </row>
    <row r="109" spans="36:40" ht="15" customHeight="1">
      <c r="AJ109" s="7" t="str">
        <f>IF(Data_Summary!Y110&lt;&gt;"Coverage","",IF(Data_Summary!AA110="","",IF(COUNTIFS(Data_Summary!$Y$2:$Y110,"Coverage",Data_Summary!$AA$2:$AA110,Data_Summary!AA110)=1,Data_Summary!AA110,"")))</f>
        <v>HR Process Clarity</v>
      </c>
      <c r="AK109" s="7">
        <f>IF(AJ109="","",COUNTIFS(Data_Summary!$Y$2:$Y$5002,"Coverage",Data_Summary!$AA$2:$AA$5002,AJ109))</f>
        <v>11</v>
      </c>
      <c r="AM109" s="7" t="str">
        <f>IF(Data_Insight!X109="","",IF(COUNTIF(Data_Insight!$X$2:$X109,Data_Insight!X109)=1,Data_Insight!X109,""))</f>
        <v/>
      </c>
      <c r="AN109" s="7" t="str">
        <f>IF(AM109="","",COUNTIF(Data_Insight!$X$2:$X$5001,AM109))</f>
        <v/>
      </c>
    </row>
    <row r="110" spans="36:40" ht="15" customHeight="1">
      <c r="AJ110" s="7" t="str">
        <f>IF(Data_Summary!Y111&lt;&gt;"Coverage","",IF(Data_Summary!AA111="","",IF(COUNTIFS(Data_Summary!$Y$2:$Y111,"Coverage",Data_Summary!$AA$2:$AA111,Data_Summary!AA111)=1,Data_Summary!AA111,"")))</f>
        <v/>
      </c>
      <c r="AK110" s="7" t="str">
        <f>IF(AJ110="","",COUNTIFS(Data_Summary!$Y$2:$Y$5002,"Coverage",Data_Summary!$AA$2:$AA$5002,AJ110))</f>
        <v/>
      </c>
      <c r="AM110" s="7" t="str">
        <f>IF(Data_Insight!X110="","",IF(COUNTIF(Data_Insight!$X$2:$X110,Data_Insight!X110)=1,Data_Insight!X110,""))</f>
        <v/>
      </c>
      <c r="AN110" s="7" t="str">
        <f>IF(AM110="","",COUNTIF(Data_Insight!$X$2:$X$5001,AM110))</f>
        <v/>
      </c>
    </row>
    <row r="111" spans="36:40" ht="15" customHeight="1">
      <c r="AJ111" s="7" t="str">
        <f>IF(Data_Summary!Y112&lt;&gt;"Coverage","",IF(Data_Summary!AA112="","",IF(COUNTIFS(Data_Summary!$Y$2:$Y112,"Coverage",Data_Summary!$AA$2:$AA112,Data_Summary!AA112)=1,Data_Summary!AA112,"")))</f>
        <v/>
      </c>
      <c r="AK111" s="7" t="str">
        <f>IF(AJ111="","",COUNTIFS(Data_Summary!$Y$2:$Y$5002,"Coverage",Data_Summary!$AA$2:$AA$5002,AJ111))</f>
        <v/>
      </c>
      <c r="AM111" s="7" t="str">
        <f>IF(Data_Insight!X111="","",IF(COUNTIF(Data_Insight!$X$2:$X111,Data_Insight!X111)=1,Data_Insight!X111,""))</f>
        <v/>
      </c>
      <c r="AN111" s="7" t="str">
        <f>IF(AM111="","",COUNTIF(Data_Insight!$X$2:$X$5001,AM111))</f>
        <v/>
      </c>
    </row>
    <row r="112" spans="36:40" ht="15" customHeight="1">
      <c r="AJ112" s="7" t="str">
        <f>IF(Data_Summary!Y113&lt;&gt;"Coverage","",IF(Data_Summary!AA113="","",IF(COUNTIFS(Data_Summary!$Y$2:$Y113,"Coverage",Data_Summary!$AA$2:$AA113,Data_Summary!AA113)=1,Data_Summary!AA113,"")))</f>
        <v/>
      </c>
      <c r="AK112" s="7" t="str">
        <f>IF(AJ112="","",COUNTIFS(Data_Summary!$Y$2:$Y$5002,"Coverage",Data_Summary!$AA$2:$AA$5002,AJ112))</f>
        <v/>
      </c>
      <c r="AM112" s="7" t="str">
        <f>IF(Data_Insight!X112="","",IF(COUNTIF(Data_Insight!$X$2:$X112,Data_Insight!X112)=1,Data_Insight!X112,""))</f>
        <v/>
      </c>
      <c r="AN112" s="7" t="str">
        <f>IF(AM112="","",COUNTIF(Data_Insight!$X$2:$X$5001,AM112))</f>
        <v/>
      </c>
    </row>
    <row r="113" spans="36:40" ht="12.75" customHeight="1">
      <c r="AJ113" s="7" t="str">
        <f>IF(Data_Summary!Y114&lt;&gt;"Coverage","",IF(Data_Summary!AA114="","",IF(COUNTIFS(Data_Summary!$Y$2:$Y114,"Coverage",Data_Summary!$AA$2:$AA114,Data_Summary!AA114)=1,Data_Summary!AA114,"")))</f>
        <v/>
      </c>
      <c r="AK113" s="7" t="str">
        <f>IF(AJ113="","",COUNTIFS(Data_Summary!$Y$2:$Y$5002,"Coverage",Data_Summary!$AA$2:$AA$5002,AJ113))</f>
        <v/>
      </c>
      <c r="AM113" s="7" t="str">
        <f>IF(Data_Insight!X113="","",IF(COUNTIF(Data_Insight!$X$2:$X113,Data_Insight!X113)=1,Data_Insight!X113,""))</f>
        <v>ELTP Connect (12-24m)</v>
      </c>
      <c r="AN113" s="7">
        <f>IF(AM113="","",COUNTIF(Data_Insight!$X$2:$X$5001,AM113))</f>
        <v>2</v>
      </c>
    </row>
    <row r="114" spans="36:40" ht="15.75" customHeight="1">
      <c r="AJ114" s="7" t="str">
        <f>IF(Data_Summary!Y115&lt;&gt;"Coverage","",IF(Data_Summary!AA115="","",IF(COUNTIFS(Data_Summary!$Y$2:$Y115,"Coverage",Data_Summary!$AA$2:$AA115,Data_Summary!AA115)=1,Data_Summary!AA115,"")))</f>
        <v/>
      </c>
      <c r="AK114" s="7" t="str">
        <f>IF(AJ114="","",COUNTIFS(Data_Summary!$Y$2:$Y$5002,"Coverage",Data_Summary!$AA$2:$AA$5002,AJ114))</f>
        <v/>
      </c>
      <c r="AM114" s="7" t="str">
        <f>IF(Data_Insight!X114="","",IF(COUNTIF(Data_Insight!$X$2:$X114,Data_Insight!X114)=1,Data_Insight!X114,""))</f>
        <v/>
      </c>
      <c r="AN114" s="7" t="str">
        <f>IF(AM114="","",COUNTIF(Data_Insight!$X$2:$X$5001,AM114))</f>
        <v/>
      </c>
    </row>
    <row r="115" spans="36:40" ht="13.5" customHeight="1">
      <c r="AJ115" s="7" t="str">
        <f>IF(Data_Summary!Y116&lt;&gt;"Coverage","",IF(Data_Summary!AA116="","",IF(COUNTIFS(Data_Summary!$Y$2:$Y116,"Coverage",Data_Summary!$AA$2:$AA116,Data_Summary!AA116)=1,Data_Summary!AA116,"")))</f>
        <v/>
      </c>
      <c r="AK115" s="7" t="str">
        <f>IF(AJ115="","",COUNTIFS(Data_Summary!$Y$2:$Y$5002,"Coverage",Data_Summary!$AA$2:$AA$5002,AJ115))</f>
        <v/>
      </c>
      <c r="AM115" s="7" t="str">
        <f>IF(Data_Insight!X115="","",IF(COUNTIF(Data_Insight!$X$2:$X115,Data_Insight!X115)=1,Data_Insight!X115,""))</f>
        <v/>
      </c>
      <c r="AN115" s="7" t="str">
        <f>IF(AM115="","",COUNTIF(Data_Insight!$X$2:$X$5001,AM115))</f>
        <v/>
      </c>
    </row>
    <row r="116" spans="36:40" ht="15" customHeight="1">
      <c r="AJ116" s="7" t="str">
        <f>IF(Data_Summary!Y117&lt;&gt;"Coverage","",IF(Data_Summary!AA117="","",IF(COUNTIFS(Data_Summary!$Y$2:$Y117,"Coverage",Data_Summary!$AA$2:$AA117,Data_Summary!AA117)=1,Data_Summary!AA117,"")))</f>
        <v/>
      </c>
      <c r="AK116" s="7" t="str">
        <f>IF(AJ116="","",COUNTIFS(Data_Summary!$Y$2:$Y$5002,"Coverage",Data_Summary!$AA$2:$AA$5002,AJ116))</f>
        <v/>
      </c>
      <c r="AM116" s="7" t="str">
        <f>IF(Data_Insight!X116="","",IF(COUNTIF(Data_Insight!$X$2:$X116,Data_Insight!X116)=1,Data_Insight!X116,""))</f>
        <v/>
      </c>
      <c r="AN116" s="7" t="str">
        <f>IF(AM116="","",COUNTIF(Data_Insight!$X$2:$X$5001,AM116))</f>
        <v/>
      </c>
    </row>
    <row r="117" spans="36:40" ht="15" customHeight="1">
      <c r="AJ117" s="7" t="str">
        <f>IF(Data_Summary!Y118&lt;&gt;"Coverage","",IF(Data_Summary!AA118="","",IF(COUNTIFS(Data_Summary!$Y$2:$Y118,"Coverage",Data_Summary!$AA$2:$AA118,Data_Summary!AA118)=1,Data_Summary!AA118,"")))</f>
        <v>Organization Policy Updates</v>
      </c>
      <c r="AK117" s="7">
        <f>IF(AJ117="","",COUNTIFS(Data_Summary!$Y$2:$Y$5002,"Coverage",Data_Summary!$AA$2:$AA$5002,AJ117))</f>
        <v>11</v>
      </c>
      <c r="AM117" s="7" t="str">
        <f>IF(Data_Insight!X117="","",IF(COUNTIF(Data_Insight!$X$2:$X117,Data_Insight!X117)=1,Data_Insight!X117,""))</f>
        <v/>
      </c>
      <c r="AN117" s="7" t="str">
        <f>IF(AM117="","",COUNTIF(Data_Insight!$X$2:$X$5001,AM117))</f>
        <v/>
      </c>
    </row>
    <row r="118" spans="36:40" ht="15" customHeight="1">
      <c r="AJ118" s="7" t="str">
        <f>IF(Data_Summary!Y119&lt;&gt;"Coverage","",IF(Data_Summary!AA119="","",IF(COUNTIFS(Data_Summary!$Y$2:$Y119,"Coverage",Data_Summary!$AA$2:$AA119,Data_Summary!AA119)=1,Data_Summary!AA119,"")))</f>
        <v>Benefits, Insurance &amp; Wellbeing</v>
      </c>
      <c r="AK118" s="7">
        <f>IF(AJ118="","",COUNTIFS(Data_Summary!$Y$2:$Y$5002,"Coverage",Data_Summary!$AA$2:$AA$5002,AJ118))</f>
        <v>4</v>
      </c>
      <c r="AM118" s="7" t="str">
        <f>IF(Data_Insight!X118="","",IF(COUNTIF(Data_Insight!$X$2:$X118,Data_Insight!X118)=1,Data_Insight!X118,""))</f>
        <v/>
      </c>
      <c r="AN118" s="7" t="str">
        <f>IF(AM118="","",COUNTIF(Data_Insight!$X$2:$X$5001,AM118))</f>
        <v/>
      </c>
    </row>
    <row r="119" spans="36:40" ht="15" customHeight="1">
      <c r="AJ119" s="7" t="str">
        <f>IF(Data_Summary!Y120&lt;&gt;"Coverage","",IF(Data_Summary!AA120="","",IF(COUNTIFS(Data_Summary!$Y$2:$Y120,"Coverage",Data_Summary!$AA$2:$AA120,Data_Summary!AA120)=1,Data_Summary!AA120,"")))</f>
        <v/>
      </c>
      <c r="AK119" s="7" t="str">
        <f>IF(AJ119="","",COUNTIFS(Data_Summary!$Y$2:$Y$5002,"Coverage",Data_Summary!$AA$2:$AA$5002,AJ119))</f>
        <v/>
      </c>
      <c r="AM119" s="7" t="str">
        <f>IF(Data_Insight!X119="","",IF(COUNTIF(Data_Insight!$X$2:$X119,Data_Insight!X119)=1,Data_Insight!X119,""))</f>
        <v/>
      </c>
      <c r="AN119" s="7" t="str">
        <f>IF(AM119="","",COUNTIF(Data_Insight!$X$2:$X$5001,AM119))</f>
        <v/>
      </c>
    </row>
    <row r="120" spans="36:40" ht="15" customHeight="1">
      <c r="AJ120" s="7" t="str">
        <f>IF(Data_Summary!Y121&lt;&gt;"Coverage","",IF(Data_Summary!AA121="","",IF(COUNTIFS(Data_Summary!$Y$2:$Y121,"Coverage",Data_Summary!$AA$2:$AA121,Data_Summary!AA121)=1,Data_Summary!AA121,"")))</f>
        <v>Guidance On Leave, Travel, And Exception Approvals</v>
      </c>
      <c r="AK120" s="7">
        <f>IF(AJ120="","",COUNTIFS(Data_Summary!$Y$2:$Y$5002,"Coverage",Data_Summary!$AA$2:$AA$5002,AJ120))</f>
        <v>5</v>
      </c>
      <c r="AM120" s="7" t="str">
        <f>IF(Data_Insight!X120="","",IF(COUNTIF(Data_Insight!$X$2:$X120,Data_Insight!X120)=1,Data_Insight!X120,""))</f>
        <v/>
      </c>
      <c r="AN120" s="7" t="str">
        <f>IF(AM120="","",COUNTIF(Data_Insight!$X$2:$X$5001,AM120))</f>
        <v/>
      </c>
    </row>
    <row r="121" spans="36:40" ht="15" customHeight="1">
      <c r="AJ121" s="7" t="str">
        <f>IF(Data_Summary!Y122&lt;&gt;"Coverage","",IF(Data_Summary!AA122="","",IF(COUNTIFS(Data_Summary!$Y$2:$Y122,"Coverage",Data_Summary!$AA$2:$AA122,Data_Summary!AA122)=1,Data_Summary!AA122,"")))</f>
        <v>Queries On Performance Cycle Steps And Deadlines</v>
      </c>
      <c r="AK121" s="7">
        <f>IF(AJ121="","",COUNTIFS(Data_Summary!$Y$2:$Y$5002,"Coverage",Data_Summary!$AA$2:$AA$5002,AJ121))</f>
        <v>5</v>
      </c>
      <c r="AM121" s="7" t="str">
        <f>IF(Data_Insight!X121="","",IF(COUNTIF(Data_Insight!$X$2:$X121,Data_Insight!X121)=1,Data_Insight!X121,""))</f>
        <v/>
      </c>
      <c r="AN121" s="7" t="str">
        <f>IF(AM121="","",COUNTIF(Data_Insight!$X$2:$X$5001,AM121))</f>
        <v/>
      </c>
    </row>
    <row r="122" spans="36:40" ht="15" customHeight="1">
      <c r="AJ122" s="7" t="str">
        <f>IF(Data_Summary!Y123&lt;&gt;"Coverage","",IF(Data_Summary!AA123="","",IF(COUNTIFS(Data_Summary!$Y$2:$Y123,"Coverage",Data_Summary!$AA$2:$AA123,Data_Summary!AA123)=1,Data_Summary!AA123,"")))</f>
        <v/>
      </c>
      <c r="AK122" s="7" t="str">
        <f>IF(AJ122="","",COUNTIFS(Data_Summary!$Y$2:$Y$5002,"Coverage",Data_Summary!$AA$2:$AA$5002,AJ122))</f>
        <v/>
      </c>
      <c r="AM122" s="7" t="str">
        <f>IF(Data_Insight!X122="","",IF(COUNTIF(Data_Insight!$X$2:$X122,Data_Insight!X122)=1,Data_Insight!X122,""))</f>
        <v/>
      </c>
      <c r="AN122" s="7" t="str">
        <f>IF(AM122="","",COUNTIF(Data_Insight!$X$2:$X$5001,AM122))</f>
        <v/>
      </c>
    </row>
    <row r="123" spans="36:40" ht="15" customHeight="1">
      <c r="AJ123" s="7" t="str">
        <f>IF(Data_Summary!Y124&lt;&gt;"Coverage","",IF(Data_Summary!AA124="","",IF(COUNTIFS(Data_Summary!$Y$2:$Y124,"Coverage",Data_Summary!$AA$2:$AA124,Data_Summary!AA124)=1,Data_Summary!AA124,"")))</f>
        <v/>
      </c>
      <c r="AK123" s="7" t="str">
        <f>IF(AJ123="","",COUNTIFS(Data_Summary!$Y$2:$Y$5002,"Coverage",Data_Summary!$AA$2:$AA$5002,AJ123))</f>
        <v/>
      </c>
      <c r="AM123" s="7" t="str">
        <f>IF(Data_Insight!X123="","",IF(COUNTIF(Data_Insight!$X$2:$X123,Data_Insight!X123)=1,Data_Insight!X123,""))</f>
        <v/>
      </c>
      <c r="AN123" s="7" t="str">
        <f>IF(AM123="","",COUNTIF(Data_Insight!$X$2:$X$5001,AM123))</f>
        <v/>
      </c>
    </row>
    <row r="124" spans="36:40" ht="15" customHeight="1">
      <c r="AJ124" s="7" t="str">
        <f>IF(Data_Summary!Y125&lt;&gt;"Coverage","",IF(Data_Summary!AA125="","",IF(COUNTIFS(Data_Summary!$Y$2:$Y125,"Coverage",Data_Summary!$AA$2:$AA125,Data_Summary!AA125)=1,Data_Summary!AA125,"")))</f>
        <v/>
      </c>
      <c r="AK124" s="7" t="str">
        <f>IF(AJ124="","",COUNTIFS(Data_Summary!$Y$2:$Y$5002,"Coverage",Data_Summary!$AA$2:$AA$5002,AJ124))</f>
        <v/>
      </c>
      <c r="AM124" s="7" t="str">
        <f>IF(Data_Insight!X124="","",IF(COUNTIF(Data_Insight!$X$2:$X124,Data_Insight!X124)=1,Data_Insight!X124,""))</f>
        <v/>
      </c>
      <c r="AN124" s="7" t="str">
        <f>IF(AM124="","",COUNTIF(Data_Insight!$X$2:$X$5001,AM124))</f>
        <v/>
      </c>
    </row>
    <row r="125" spans="36:40" ht="15" customHeight="1">
      <c r="AJ125" s="7" t="str">
        <f>IF(Data_Summary!Y126&lt;&gt;"Coverage","",IF(Data_Summary!AA126="","",IF(COUNTIFS(Data_Summary!$Y$2:$Y126,"Coverage",Data_Summary!$AA$2:$AA126,Data_Summary!AA126)=1,Data_Summary!AA126,"")))</f>
        <v>Celebrating Small Wins</v>
      </c>
      <c r="AK125" s="7">
        <f>IF(AJ125="","",COUNTIFS(Data_Summary!$Y$2:$Y$5002,"Coverage",Data_Summary!$AA$2:$AA$5002,AJ125))</f>
        <v>2</v>
      </c>
      <c r="AM125" s="7" t="str">
        <f>IF(Data_Insight!X125="","",IF(COUNTIF(Data_Insight!$X$2:$X125,Data_Insight!X125)=1,Data_Insight!X125,""))</f>
        <v/>
      </c>
      <c r="AN125" s="7" t="str">
        <f>IF(AM125="","",COUNTIF(Data_Insight!$X$2:$X$5001,AM125))</f>
        <v/>
      </c>
    </row>
    <row r="126" spans="36:40" ht="15" customHeight="1">
      <c r="AJ126" s="7" t="str">
        <f>IF(Data_Summary!Y127&lt;&gt;"Coverage","",IF(Data_Summary!AA127="","",IF(COUNTIFS(Data_Summary!$Y$2:$Y127,"Coverage",Data_Summary!$AA$2:$AA127,Data_Summary!AA127)=1,Data_Summary!AA127,"")))</f>
        <v>Wellbeing via Social Connection</v>
      </c>
      <c r="AK126" s="7">
        <f>IF(AJ126="","",COUNTIFS(Data_Summary!$Y$2:$Y$5002,"Coverage",Data_Summary!$AA$2:$AA$5002,AJ126))</f>
        <v>2</v>
      </c>
      <c r="AM126" s="7" t="str">
        <f>IF(Data_Insight!X126="","",IF(COUNTIF(Data_Insight!$X$2:$X126,Data_Insight!X126)=1,Data_Insight!X126,""))</f>
        <v/>
      </c>
      <c r="AN126" s="7" t="str">
        <f>IF(AM126="","",COUNTIF(Data_Insight!$X$2:$X$5001,AM126))</f>
        <v/>
      </c>
    </row>
    <row r="127" spans="36:40" ht="15" customHeight="1">
      <c r="AJ127" s="7" t="str">
        <f>IF(Data_Summary!Y128&lt;&gt;"Coverage","",IF(Data_Summary!AA128="","",IF(COUNTIFS(Data_Summary!$Y$2:$Y128,"Coverage",Data_Summary!$AA$2:$AA128,Data_Summary!AA128)=1,Data_Summary!AA128,"")))</f>
        <v>Morale &amp; Energy</v>
      </c>
      <c r="AK127" s="7">
        <f>IF(AJ127="","",COUNTIFS(Data_Summary!$Y$2:$Y$5002,"Coverage",Data_Summary!$AA$2:$AA$5002,AJ127))</f>
        <v>1</v>
      </c>
      <c r="AM127" s="7" t="str">
        <f>IF(Data_Insight!X127="","",IF(COUNTIF(Data_Insight!$X$2:$X127,Data_Insight!X127)=1,Data_Insight!X127,""))</f>
        <v/>
      </c>
      <c r="AN127" s="7" t="str">
        <f>IF(AM127="","",COUNTIF(Data_Insight!$X$2:$X$5001,AM127))</f>
        <v/>
      </c>
    </row>
    <row r="128" spans="36:40" ht="15" customHeight="1">
      <c r="AJ128" s="7" t="str">
        <f>IF(Data_Summary!Y129&lt;&gt;"Coverage","",IF(Data_Summary!AA129="","",IF(COUNTIFS(Data_Summary!$Y$2:$Y129,"Coverage",Data_Summary!$AA$2:$AA129,Data_Summary!AA129)=1,Data_Summary!AA129,"")))</f>
        <v/>
      </c>
      <c r="AK128" s="7" t="str">
        <f>IF(AJ128="","",COUNTIFS(Data_Summary!$Y$2:$Y$5002,"Coverage",Data_Summary!$AA$2:$AA$5002,AJ128))</f>
        <v/>
      </c>
      <c r="AM128" s="7" t="str">
        <f>IF(Data_Insight!X128="","",IF(COUNTIF(Data_Insight!$X$2:$X128,Data_Insight!X128)=1,Data_Insight!X128,""))</f>
        <v/>
      </c>
      <c r="AN128" s="7" t="str">
        <f>IF(AM128="","",COUNTIF(Data_Insight!$X$2:$X$5001,AM128))</f>
        <v/>
      </c>
    </row>
    <row r="129" spans="36:40" ht="15" customHeight="1">
      <c r="AJ129" s="7" t="str">
        <f>IF(Data_Summary!Y130&lt;&gt;"Coverage","",IF(Data_Summary!AA130="","",IF(COUNTIFS(Data_Summary!$Y$2:$Y130,"Coverage",Data_Summary!$AA$2:$AA130,Data_Summary!AA130)=1,Data_Summary!AA130,"")))</f>
        <v/>
      </c>
      <c r="AK129" s="7" t="str">
        <f>IF(AJ129="","",COUNTIFS(Data_Summary!$Y$2:$Y$5002,"Coverage",Data_Summary!$AA$2:$AA$5002,AJ129))</f>
        <v/>
      </c>
      <c r="AM129" s="7" t="str">
        <f>IF(Data_Insight!X129="","",IF(COUNTIF(Data_Insight!$X$2:$X129,Data_Insight!X129)=1,Data_Insight!X129,""))</f>
        <v/>
      </c>
      <c r="AN129" s="7" t="str">
        <f>IF(AM129="","",COUNTIF(Data_Insight!$X$2:$X$5001,AM129))</f>
        <v/>
      </c>
    </row>
    <row r="130" spans="36:40" ht="15" customHeight="1">
      <c r="AJ130" s="7" t="str">
        <f>IF(Data_Summary!Y131&lt;&gt;"Coverage","",IF(Data_Summary!AA131="","",IF(COUNTIFS(Data_Summary!$Y$2:$Y131,"Coverage",Data_Summary!$AA$2:$AA131,Data_Summary!AA131)=1,Data_Summary!AA131,"")))</f>
        <v/>
      </c>
      <c r="AK130" s="7" t="str">
        <f>IF(AJ130="","",COUNTIFS(Data_Summary!$Y$2:$Y$5002,"Coverage",Data_Summary!$AA$2:$AA$5002,AJ130))</f>
        <v/>
      </c>
      <c r="AM130" s="7" t="str">
        <f>IF(Data_Insight!X130="","",IF(COUNTIF(Data_Insight!$X$2:$X130,Data_Insight!X130)=1,Data_Insight!X130,""))</f>
        <v/>
      </c>
      <c r="AN130" s="7" t="str">
        <f>IF(AM130="","",COUNTIF(Data_Insight!$X$2:$X$5001,AM130))</f>
        <v/>
      </c>
    </row>
    <row r="131" spans="36:40" ht="15" customHeight="1">
      <c r="AJ131" s="7" t="str">
        <f>IF(Data_Summary!Y132&lt;&gt;"Coverage","",IF(Data_Summary!AA132="","",IF(COUNTIFS(Data_Summary!$Y$2:$Y132,"Coverage",Data_Summary!$AA$2:$AA132,Data_Summary!AA132)=1,Data_Summary!AA132,"")))</f>
        <v/>
      </c>
      <c r="AK131" s="7" t="str">
        <f>IF(AJ131="","",COUNTIFS(Data_Summary!$Y$2:$Y$5002,"Coverage",Data_Summary!$AA$2:$AA$5002,AJ131))</f>
        <v/>
      </c>
      <c r="AM131" s="7" t="str">
        <f>IF(Data_Insight!X131="","",IF(COUNTIF(Data_Insight!$X$2:$X131,Data_Insight!X131)=1,Data_Insight!X131,""))</f>
        <v/>
      </c>
      <c r="AN131" s="7" t="str">
        <f>IF(AM131="","",COUNTIF(Data_Insight!$X$2:$X$5001,AM131))</f>
        <v/>
      </c>
    </row>
    <row r="132" spans="36:40" ht="15" customHeight="1">
      <c r="AJ132" s="7" t="str">
        <f>IF(Data_Summary!Y133&lt;&gt;"Coverage","",IF(Data_Summary!AA133="","",IF(COUNTIFS(Data_Summary!$Y$2:$Y133,"Coverage",Data_Summary!$AA$2:$AA133,Data_Summary!AA133)=1,Data_Summary!AA133,"")))</f>
        <v>Project Allocation Clarity</v>
      </c>
      <c r="AK132" s="7">
        <f>IF(AJ132="","",COUNTIFS(Data_Summary!$Y$2:$Y$5002,"Coverage",Data_Summary!$AA$2:$AA$5002,AJ132))</f>
        <v>5</v>
      </c>
      <c r="AM132" s="7" t="str">
        <f>IF(Data_Insight!X132="","",IF(COUNTIF(Data_Insight!$X$2:$X132,Data_Insight!X132)=1,Data_Insight!X132,""))</f>
        <v/>
      </c>
      <c r="AN132" s="7" t="str">
        <f>IF(AM132="","",COUNTIF(Data_Insight!$X$2:$X$5001,AM132))</f>
        <v/>
      </c>
    </row>
    <row r="133" spans="36:40" ht="15" customHeight="1">
      <c r="AJ133" s="7" t="str">
        <f>IF(Data_Summary!Y134&lt;&gt;"Coverage","",IF(Data_Summary!AA134="","",IF(COUNTIFS(Data_Summary!$Y$2:$Y134,"Coverage",Data_Summary!$AA$2:$AA134,Data_Summary!AA134)=1,Data_Summary!AA134,"")))</f>
        <v>Manager Connect Effectiveness</v>
      </c>
      <c r="AK133" s="7">
        <f>IF(AJ133="","",COUNTIFS(Data_Summary!$Y$2:$Y$5002,"Coverage",Data_Summary!$AA$2:$AA$5002,AJ133))</f>
        <v>5</v>
      </c>
      <c r="AM133" s="7" t="str">
        <f>IF(Data_Insight!X133="","",IF(COUNTIF(Data_Insight!$X$2:$X133,Data_Insight!X133)=1,Data_Insight!X133,""))</f>
        <v/>
      </c>
      <c r="AN133" s="7" t="str">
        <f>IF(AM133="","",COUNTIF(Data_Insight!$X$2:$X$5001,AM133))</f>
        <v/>
      </c>
    </row>
    <row r="134" spans="36:40" ht="15" customHeight="1">
      <c r="AJ134" s="7" t="str">
        <f>IF(Data_Summary!Y135&lt;&gt;"Coverage","",IF(Data_Summary!AA135="","",IF(COUNTIFS(Data_Summary!$Y$2:$Y135,"Coverage",Data_Summary!$AA$2:$AA135,Data_Summary!AA135)=1,Data_Summary!AA135,"")))</f>
        <v/>
      </c>
      <c r="AK134" s="7" t="str">
        <f>IF(AJ134="","",COUNTIFS(Data_Summary!$Y$2:$Y$5002,"Coverage",Data_Summary!$AA$2:$AA$5002,AJ134))</f>
        <v/>
      </c>
      <c r="AM134" s="7" t="str">
        <f>IF(Data_Insight!X134="","",IF(COUNTIF(Data_Insight!$X$2:$X134,Data_Insight!X134)=1,Data_Insight!X134,""))</f>
        <v/>
      </c>
      <c r="AN134" s="7" t="str">
        <f>IF(AM134="","",COUNTIF(Data_Insight!$X$2:$X$5001,AM134))</f>
        <v/>
      </c>
    </row>
    <row r="135" spans="36:40" ht="15" customHeight="1">
      <c r="AJ135" s="7" t="str">
        <f>IF(Data_Summary!Y136&lt;&gt;"Coverage","",IF(Data_Summary!AA136="","",IF(COUNTIFS(Data_Summary!$Y$2:$Y136,"Coverage",Data_Summary!$AA$2:$AA136,Data_Summary!AA136)=1,Data_Summary!AA136,"")))</f>
        <v/>
      </c>
      <c r="AK135" s="7" t="str">
        <f>IF(AJ135="","",COUNTIFS(Data_Summary!$Y$2:$Y$5002,"Coverage",Data_Summary!$AA$2:$AA$5002,AJ135))</f>
        <v/>
      </c>
      <c r="AM135" s="7" t="str">
        <f>IF(Data_Insight!X135="","",IF(COUNTIF(Data_Insight!$X$2:$X135,Data_Insight!X135)=1,Data_Insight!X135,""))</f>
        <v/>
      </c>
      <c r="AN135" s="7" t="str">
        <f>IF(AM135="","",COUNTIF(Data_Insight!$X$2:$X$5001,AM135))</f>
        <v/>
      </c>
    </row>
    <row r="136" spans="36:40" ht="15" customHeight="1">
      <c r="AJ136" s="7" t="str">
        <f>IF(Data_Summary!Y137&lt;&gt;"Coverage","",IF(Data_Summary!AA137="","",IF(COUNTIFS(Data_Summary!$Y$2:$Y137,"Coverage",Data_Summary!$AA$2:$AA137,Data_Summary!AA137)=1,Data_Summary!AA137,"")))</f>
        <v/>
      </c>
      <c r="AK136" s="7" t="str">
        <f>IF(AJ136="","",COUNTIFS(Data_Summary!$Y$2:$Y$5002,"Coverage",Data_Summary!$AA$2:$AA$5002,AJ136))</f>
        <v/>
      </c>
      <c r="AM136" s="7" t="str">
        <f>IF(Data_Insight!X136="","",IF(COUNTIF(Data_Insight!$X$2:$X136,Data_Insight!X136)=1,Data_Insight!X136,""))</f>
        <v/>
      </c>
      <c r="AN136" s="7" t="str">
        <f>IF(AM136="","",COUNTIF(Data_Insight!$X$2:$X$5001,AM136))</f>
        <v/>
      </c>
    </row>
    <row r="137" spans="36:40" ht="15" customHeight="1">
      <c r="AJ137" s="7" t="str">
        <f>IF(Data_Summary!Y138&lt;&gt;"Coverage","",IF(Data_Summary!AA138="","",IF(COUNTIFS(Data_Summary!$Y$2:$Y138,"Coverage",Data_Summary!$AA$2:$AA138,Data_Summary!AA138)=1,Data_Summary!AA138,"")))</f>
        <v/>
      </c>
      <c r="AK137" s="7" t="str">
        <f>IF(AJ137="","",COUNTIFS(Data_Summary!$Y$2:$Y$5002,"Coverage",Data_Summary!$AA$2:$AA$5002,AJ137))</f>
        <v/>
      </c>
      <c r="AM137" s="7" t="str">
        <f>IF(Data_Insight!X137="","",IF(COUNTIF(Data_Insight!$X$2:$X137,Data_Insight!X137)=1,Data_Insight!X137,""))</f>
        <v/>
      </c>
      <c r="AN137" s="7" t="str">
        <f>IF(AM137="","",COUNTIF(Data_Insight!$X$2:$X$5001,AM137))</f>
        <v/>
      </c>
    </row>
    <row r="138" spans="36:40" ht="15" customHeight="1">
      <c r="AJ138" s="7" t="str">
        <f>IF(Data_Summary!Y139&lt;&gt;"Coverage","",IF(Data_Summary!AA139="","",IF(COUNTIFS(Data_Summary!$Y$2:$Y139,"Coverage",Data_Summary!$AA$2:$AA139,Data_Summary!AA139)=1,Data_Summary!AA139,"")))</f>
        <v/>
      </c>
      <c r="AK138" s="7" t="str">
        <f>IF(AJ138="","",COUNTIFS(Data_Summary!$Y$2:$Y$5002,"Coverage",Data_Summary!$AA$2:$AA$5002,AJ138))</f>
        <v/>
      </c>
      <c r="AM138" s="7" t="str">
        <f>IF(Data_Insight!X138="","",IF(COUNTIF(Data_Insight!$X$2:$X138,Data_Insight!X138)=1,Data_Insight!X138,""))</f>
        <v/>
      </c>
      <c r="AN138" s="7" t="str">
        <f>IF(AM138="","",COUNTIF(Data_Insight!$X$2:$X$5001,AM138))</f>
        <v/>
      </c>
    </row>
    <row r="139" spans="36:40" ht="15" customHeight="1">
      <c r="AJ139" s="7" t="str">
        <f>IF(Data_Summary!Y140&lt;&gt;"Coverage","",IF(Data_Summary!AA140="","",IF(COUNTIFS(Data_Summary!$Y$2:$Y140,"Coverage",Data_Summary!$AA$2:$AA140,Data_Summary!AA140)=1,Data_Summary!AA140,"")))</f>
        <v/>
      </c>
      <c r="AK139" s="7" t="str">
        <f>IF(AJ139="","",COUNTIFS(Data_Summary!$Y$2:$Y$5002,"Coverage",Data_Summary!$AA$2:$AA$5002,AJ139))</f>
        <v/>
      </c>
      <c r="AM139" s="7" t="str">
        <f>IF(Data_Insight!X139="","",IF(COUNTIF(Data_Insight!$X$2:$X139,Data_Insight!X139)=1,Data_Insight!X139,""))</f>
        <v/>
      </c>
      <c r="AN139" s="7" t="str">
        <f>IF(AM139="","",COUNTIF(Data_Insight!$X$2:$X$5001,AM139))</f>
        <v/>
      </c>
    </row>
    <row r="140" spans="36:40" ht="15" customHeight="1">
      <c r="AJ140" s="7" t="str">
        <f>IF(Data_Summary!Y141&lt;&gt;"Coverage","",IF(Data_Summary!AA141="","",IF(COUNTIFS(Data_Summary!$Y$2:$Y141,"Coverage",Data_Summary!$AA$2:$AA141,Data_Summary!AA141)=1,Data_Summary!AA141,"")))</f>
        <v/>
      </c>
      <c r="AK140" s="7" t="str">
        <f>IF(AJ140="","",COUNTIFS(Data_Summary!$Y$2:$Y$5002,"Coverage",Data_Summary!$AA$2:$AA$5002,AJ140))</f>
        <v/>
      </c>
      <c r="AM140" s="7" t="str">
        <f>IF(Data_Insight!X140="","",IF(COUNTIF(Data_Insight!$X$2:$X140,Data_Insight!X140)=1,Data_Insight!X140,""))</f>
        <v>ISR Activity</v>
      </c>
      <c r="AN140" s="7">
        <f>IF(AM140="","",COUNTIF(Data_Insight!$X$2:$X$5001,AM140))</f>
        <v>1</v>
      </c>
    </row>
    <row r="141" spans="36:40" ht="15" customHeight="1">
      <c r="AJ141" s="7" t="str">
        <f>IF(Data_Summary!Y142&lt;&gt;"Coverage","",IF(Data_Summary!AA142="","",IF(COUNTIFS(Data_Summary!$Y$2:$Y142,"Coverage",Data_Summary!$AA$2:$AA142,Data_Summary!AA142)=1,Data_Summary!AA142,"")))</f>
        <v/>
      </c>
      <c r="AK141" s="7" t="str">
        <f>IF(AJ141="","",COUNTIFS(Data_Summary!$Y$2:$Y$5002,"Coverage",Data_Summary!$AA$2:$AA$5002,AJ141))</f>
        <v/>
      </c>
      <c r="AM141" s="7" t="str">
        <f>IF(Data_Insight!X141="","",IF(COUNTIF(Data_Insight!$X$2:$X141,Data_Insight!X141)=1,Data_Insight!X141,""))</f>
        <v/>
      </c>
      <c r="AN141" s="7" t="str">
        <f>IF(AM141="","",COUNTIF(Data_Insight!$X$2:$X$5001,AM141))</f>
        <v/>
      </c>
    </row>
    <row r="142" spans="36:40" ht="12.75" customHeight="1">
      <c r="AJ142" s="7" t="str">
        <f>IF(Data_Summary!Y143&lt;&gt;"Coverage","",IF(Data_Summary!AA143="","",IF(COUNTIFS(Data_Summary!$Y$2:$Y143,"Coverage",Data_Summary!$AA$2:$AA143,Data_Summary!AA143)=1,Data_Summary!AA143,"")))</f>
        <v/>
      </c>
      <c r="AK142" s="7" t="str">
        <f>IF(AJ142="","",COUNTIFS(Data_Summary!$Y$2:$Y$5002,"Coverage",Data_Summary!$AA$2:$AA$5002,AJ142))</f>
        <v/>
      </c>
      <c r="AM142" s="7" t="str">
        <f>IF(Data_Insight!X142="","",IF(COUNTIF(Data_Insight!$X$2:$X142,Data_Insight!X142)=1,Data_Insight!X142,""))</f>
        <v/>
      </c>
      <c r="AN142" s="7" t="str">
        <f>IF(AM142="","",COUNTIF(Data_Insight!$X$2:$X$5001,AM142))</f>
        <v/>
      </c>
    </row>
    <row r="143" spans="36:40" ht="15.75" customHeight="1">
      <c r="AJ143" s="7" t="str">
        <f>IF(Data_Summary!Y144&lt;&gt;"Coverage","",IF(Data_Summary!AA144="","",IF(COUNTIFS(Data_Summary!$Y$2:$Y144,"Coverage",Data_Summary!$AA$2:$AA144,Data_Summary!AA144)=1,Data_Summary!AA144,"")))</f>
        <v/>
      </c>
      <c r="AK143" s="7" t="str">
        <f>IF(AJ143="","",COUNTIFS(Data_Summary!$Y$2:$Y$5002,"Coverage",Data_Summary!$AA$2:$AA$5002,AJ143))</f>
        <v/>
      </c>
      <c r="AM143" s="7" t="str">
        <f>IF(Data_Insight!X143="","",IF(COUNTIF(Data_Insight!$X$2:$X143,Data_Insight!X143)=1,Data_Insight!X143,""))</f>
        <v/>
      </c>
      <c r="AN143" s="7" t="str">
        <f>IF(AM143="","",COUNTIF(Data_Insight!$X$2:$X$5001,AM143))</f>
        <v/>
      </c>
    </row>
    <row r="144" spans="36:40" ht="13.5" customHeight="1">
      <c r="AJ144" s="7" t="str">
        <f>IF(Data_Summary!Y145&lt;&gt;"Coverage","",IF(Data_Summary!AA145="","",IF(COUNTIFS(Data_Summary!$Y$2:$Y145,"Coverage",Data_Summary!$AA$2:$AA145,Data_Summary!AA145)=1,Data_Summary!AA145,"")))</f>
        <v/>
      </c>
      <c r="AK144" s="7" t="str">
        <f>IF(AJ144="","",COUNTIFS(Data_Summary!$Y$2:$Y$5002,"Coverage",Data_Summary!$AA$2:$AA$5002,AJ144))</f>
        <v/>
      </c>
      <c r="AM144" s="7" t="str">
        <f>IF(Data_Insight!X144="","",IF(COUNTIF(Data_Insight!$X$2:$X144,Data_Insight!X144)=1,Data_Insight!X144,""))</f>
        <v/>
      </c>
      <c r="AN144" s="7" t="str">
        <f>IF(AM144="","",COUNTIF(Data_Insight!$X$2:$X$5001,AM144))</f>
        <v/>
      </c>
    </row>
    <row r="145" spans="36:40" ht="15" customHeight="1">
      <c r="AJ145" s="7" t="str">
        <f>IF(Data_Summary!Y146&lt;&gt;"Coverage","",IF(Data_Summary!AA146="","",IF(COUNTIFS(Data_Summary!$Y$2:$Y146,"Coverage",Data_Summary!$AA$2:$AA146,Data_Summary!AA146)=1,Data_Summary!AA146,"")))</f>
        <v>Culture &amp; Engagement</v>
      </c>
      <c r="AK145" s="7">
        <f>IF(AJ145="","",COUNTIFS(Data_Summary!$Y$2:$Y$5002,"Coverage",Data_Summary!$AA$2:$AA$5002,AJ145))</f>
        <v>4</v>
      </c>
      <c r="AM145" s="7" t="str">
        <f>IF(Data_Insight!X145="","",IF(COUNTIF(Data_Insight!$X$2:$X145,Data_Insight!X145)=1,Data_Insight!X145,""))</f>
        <v/>
      </c>
      <c r="AN145" s="7" t="str">
        <f>IF(AM145="","",COUNTIF(Data_Insight!$X$2:$X$5001,AM145))</f>
        <v/>
      </c>
    </row>
    <row r="146" spans="36:40" ht="15" customHeight="1">
      <c r="AJ146" s="7" t="str">
        <f>IF(Data_Summary!Y147&lt;&gt;"Coverage","",IF(Data_Summary!AA147="","",IF(COUNTIFS(Data_Summary!$Y$2:$Y147,"Coverage",Data_Summary!$AA$2:$AA147,Data_Summary!AA147)=1,Data_Summary!AA147,"")))</f>
        <v/>
      </c>
      <c r="AK146" s="7" t="str">
        <f>IF(AJ146="","",COUNTIFS(Data_Summary!$Y$2:$Y$5002,"Coverage",Data_Summary!$AA$2:$AA$5002,AJ146))</f>
        <v/>
      </c>
      <c r="AM146" s="7" t="str">
        <f>IF(Data_Insight!X146="","",IF(COUNTIF(Data_Insight!$X$2:$X146,Data_Insight!X146)=1,Data_Insight!X146,""))</f>
        <v/>
      </c>
      <c r="AN146" s="7" t="str">
        <f>IF(AM146="","",COUNTIF(Data_Insight!$X$2:$X$5001,AM146))</f>
        <v/>
      </c>
    </row>
    <row r="147" spans="36:40" ht="15" customHeight="1">
      <c r="AJ147" s="7" t="str">
        <f>IF(Data_Summary!Y148&lt;&gt;"Coverage","",IF(Data_Summary!AA148="","",IF(COUNTIFS(Data_Summary!$Y$2:$Y148,"Coverage",Data_Summary!$AA$2:$AA148,Data_Summary!AA148)=1,Data_Summary!AA148,"")))</f>
        <v/>
      </c>
      <c r="AK147" s="7" t="str">
        <f>IF(AJ147="","",COUNTIFS(Data_Summary!$Y$2:$Y$5002,"Coverage",Data_Summary!$AA$2:$AA$5002,AJ147))</f>
        <v/>
      </c>
      <c r="AM147" s="7" t="str">
        <f>IF(Data_Insight!X147="","",IF(COUNTIF(Data_Insight!$X$2:$X147,Data_Insight!X147)=1,Data_Insight!X147,""))</f>
        <v>Cadence Connect</v>
      </c>
      <c r="AN147" s="7">
        <f>IF(AM147="","",COUNTIF(Data_Insight!$X$2:$X$5001,AM147))</f>
        <v>3</v>
      </c>
    </row>
    <row r="148" spans="36:40" ht="12.75" customHeight="1">
      <c r="AJ148" s="7" t="str">
        <f>IF(Data_Summary!Y149&lt;&gt;"Coverage","",IF(Data_Summary!AA149="","",IF(COUNTIFS(Data_Summary!$Y$2:$Y149,"Coverage",Data_Summary!$AA$2:$AA149,Data_Summary!AA149)=1,Data_Summary!AA149,"")))</f>
        <v/>
      </c>
      <c r="AK148" s="7" t="str">
        <f>IF(AJ148="","",COUNTIFS(Data_Summary!$Y$2:$Y$5002,"Coverage",Data_Summary!$AA$2:$AA$5002,AJ148))</f>
        <v/>
      </c>
      <c r="AM148" s="7" t="str">
        <f>IF(Data_Insight!X148="","",IF(COUNTIF(Data_Insight!$X$2:$X148,Data_Insight!X148)=1,Data_Insight!X148,""))</f>
        <v/>
      </c>
      <c r="AN148" s="7" t="str">
        <f>IF(AM148="","",COUNTIF(Data_Insight!$X$2:$X$5001,AM148))</f>
        <v/>
      </c>
    </row>
    <row r="149" spans="36:40" ht="12.75" customHeight="1">
      <c r="AJ149" s="7" t="str">
        <f>IF(Data_Summary!Y150&lt;&gt;"Coverage","",IF(Data_Summary!AA150="","",IF(COUNTIFS(Data_Summary!$Y$2:$Y150,"Coverage",Data_Summary!$AA$2:$AA150,Data_Summary!AA150)=1,Data_Summary!AA150,"")))</f>
        <v/>
      </c>
      <c r="AK149" s="7" t="str">
        <f>IF(AJ149="","",COUNTIFS(Data_Summary!$Y$2:$Y$5002,"Coverage",Data_Summary!$AA$2:$AA$5002,AJ149))</f>
        <v/>
      </c>
      <c r="AM149" s="7" t="str">
        <f>IF(Data_Insight!X149="","",IF(COUNTIF(Data_Insight!$X$2:$X149,Data_Insight!X149)=1,Data_Insight!X149,""))</f>
        <v/>
      </c>
      <c r="AN149" s="7" t="str">
        <f>IF(AM149="","",COUNTIF(Data_Insight!$X$2:$X$5001,AM149))</f>
        <v/>
      </c>
    </row>
    <row r="150" spans="36:40" ht="15" customHeight="1">
      <c r="AJ150" s="7" t="str">
        <f>IF(Data_Summary!Y151&lt;&gt;"Coverage","",IF(Data_Summary!AA151="","",IF(COUNTIFS(Data_Summary!$Y$2:$Y151,"Coverage",Data_Summary!$AA$2:$AA151,Data_Summary!AA151)=1,Data_Summary!AA151,"")))</f>
        <v/>
      </c>
      <c r="AK150" s="7" t="str">
        <f>IF(AJ150="","",COUNTIFS(Data_Summary!$Y$2:$Y$5002,"Coverage",Data_Summary!$AA$2:$AA$5002,AJ150))</f>
        <v/>
      </c>
      <c r="AM150" s="7" t="str">
        <f>IF(Data_Insight!X150="","",IF(COUNTIF(Data_Insight!$X$2:$X150,Data_Insight!X150)=1,Data_Insight!X150,""))</f>
        <v/>
      </c>
      <c r="AN150" s="7" t="str">
        <f>IF(AM150="","",COUNTIF(Data_Insight!$X$2:$X$5001,AM150))</f>
        <v/>
      </c>
    </row>
    <row r="151" spans="36:40" ht="32.25" customHeight="1">
      <c r="AJ151" s="7" t="str">
        <f>IF(Data_Summary!Y152&lt;&gt;"Coverage","",IF(Data_Summary!AA152="","",IF(COUNTIFS(Data_Summary!$Y$2:$Y152,"Coverage",Data_Summary!$AA$2:$AA152,Data_Summary!AA152)=1,Data_Summary!AA152,"")))</f>
        <v/>
      </c>
      <c r="AK151" s="7" t="str">
        <f>IF(AJ151="","",COUNTIFS(Data_Summary!$Y$2:$Y$5002,"Coverage",Data_Summary!$AA$2:$AA$5002,AJ151))</f>
        <v/>
      </c>
      <c r="AM151" s="7" t="str">
        <f>IF(Data_Insight!X151="","",IF(COUNTIF(Data_Insight!$X$2:$X151,Data_Insight!X151)=1,Data_Insight!X151,""))</f>
        <v/>
      </c>
      <c r="AN151" s="7" t="str">
        <f>IF(AM151="","",COUNTIF(Data_Insight!$X$2:$X$5001,AM151))</f>
        <v/>
      </c>
    </row>
    <row r="152" spans="36:40" ht="15" customHeight="1">
      <c r="AJ152" s="7" t="str">
        <f>IF(Data_Summary!Y153&lt;&gt;"Coverage","",IF(Data_Summary!AA153="","",IF(COUNTIFS(Data_Summary!$Y$2:$Y153,"Coverage",Data_Summary!$AA$2:$AA153,Data_Summary!AA153)=1,Data_Summary!AA153,"")))</f>
        <v/>
      </c>
      <c r="AK152" s="7" t="str">
        <f>IF(AJ152="","",COUNTIFS(Data_Summary!$Y$2:$Y$5002,"Coverage",Data_Summary!$AA$2:$AA$5002,AJ152))</f>
        <v/>
      </c>
      <c r="AM152" s="7" t="str">
        <f>IF(Data_Insight!X152="","",IF(COUNTIF(Data_Insight!$X$2:$X152,Data_Insight!X152)=1,Data_Insight!X152,""))</f>
        <v/>
      </c>
      <c r="AN152" s="7" t="str">
        <f>IF(AM152="","",COUNTIF(Data_Insight!$X$2:$X$5001,AM152))</f>
        <v/>
      </c>
    </row>
    <row r="153" spans="36:40" ht="15" customHeight="1">
      <c r="AJ153" s="7" t="str">
        <f>IF(Data_Summary!Y154&lt;&gt;"Coverage","",IF(Data_Summary!AA154="","",IF(COUNTIFS(Data_Summary!$Y$2:$Y154,"Coverage",Data_Summary!$AA$2:$AA154,Data_Summary!AA154)=1,Data_Summary!AA154,"")))</f>
        <v/>
      </c>
      <c r="AK153" s="7" t="str">
        <f>IF(AJ153="","",COUNTIFS(Data_Summary!$Y$2:$Y$5002,"Coverage",Data_Summary!$AA$2:$AA$5002,AJ153))</f>
        <v/>
      </c>
      <c r="AM153" s="7" t="str">
        <f>IF(Data_Insight!X153="","",IF(COUNTIF(Data_Insight!$X$2:$X153,Data_Insight!X153)=1,Data_Insight!X153,""))</f>
        <v/>
      </c>
      <c r="AN153" s="7" t="str">
        <f>IF(AM153="","",COUNTIF(Data_Insight!$X$2:$X$5001,AM153))</f>
        <v/>
      </c>
    </row>
    <row r="154" spans="36:40" ht="15" customHeight="1">
      <c r="AJ154" s="7" t="str">
        <f>IF(Data_Summary!Y155&lt;&gt;"Coverage","",IF(Data_Summary!AA155="","",IF(COUNTIFS(Data_Summary!$Y$2:$Y155,"Coverage",Data_Summary!$AA$2:$AA155,Data_Summary!AA155)=1,Data_Summary!AA155,"")))</f>
        <v/>
      </c>
      <c r="AK154" s="7" t="str">
        <f>IF(AJ154="","",COUNTIFS(Data_Summary!$Y$2:$Y$5002,"Coverage",Data_Summary!$AA$2:$AA$5002,AJ154))</f>
        <v/>
      </c>
      <c r="AM154" s="7" t="str">
        <f>IF(Data_Insight!X154="","",IF(COUNTIF(Data_Insight!$X$2:$X154,Data_Insight!X154)=1,Data_Insight!X154,""))</f>
        <v/>
      </c>
      <c r="AN154" s="7" t="str">
        <f>IF(AM154="","",COUNTIF(Data_Insight!$X$2:$X$5001,AM154))</f>
        <v/>
      </c>
    </row>
    <row r="155" spans="36:40" ht="15" customHeight="1">
      <c r="AJ155" s="7" t="str">
        <f>IF(Data_Summary!Y156&lt;&gt;"Coverage","",IF(Data_Summary!AA156="","",IF(COUNTIFS(Data_Summary!$Y$2:$Y156,"Coverage",Data_Summary!$AA$2:$AA156,Data_Summary!AA156)=1,Data_Summary!AA156,"")))</f>
        <v/>
      </c>
      <c r="AK155" s="7" t="str">
        <f>IF(AJ155="","",COUNTIFS(Data_Summary!$Y$2:$Y$5002,"Coverage",Data_Summary!$AA$2:$AA$5002,AJ155))</f>
        <v/>
      </c>
      <c r="AM155" s="7" t="str">
        <f>IF(Data_Insight!X155="","",IF(COUNTIF(Data_Insight!$X$2:$X155,Data_Insight!X155)=1,Data_Insight!X155,""))</f>
        <v/>
      </c>
      <c r="AN155" s="7" t="str">
        <f>IF(AM155="","",COUNTIF(Data_Insight!$X$2:$X$5001,AM155))</f>
        <v/>
      </c>
    </row>
    <row r="156" spans="36:40" ht="15" customHeight="1">
      <c r="AJ156" s="7" t="str">
        <f>IF(Data_Summary!Y157&lt;&gt;"Coverage","",IF(Data_Summary!AA157="","",IF(COUNTIFS(Data_Summary!$Y$2:$Y157,"Coverage",Data_Summary!$AA$2:$AA157,Data_Summary!AA157)=1,Data_Summary!AA157,"")))</f>
        <v/>
      </c>
      <c r="AK156" s="7" t="str">
        <f>IF(AJ156="","",COUNTIFS(Data_Summary!$Y$2:$Y$5002,"Coverage",Data_Summary!$AA$2:$AA$5002,AJ156))</f>
        <v/>
      </c>
      <c r="AM156" s="7" t="str">
        <f>IF(Data_Insight!X156="","",IF(COUNTIF(Data_Insight!$X$2:$X156,Data_Insight!X156)=1,Data_Insight!X156,""))</f>
        <v/>
      </c>
      <c r="AN156" s="7" t="str">
        <f>IF(AM156="","",COUNTIF(Data_Insight!$X$2:$X$5001,AM156))</f>
        <v/>
      </c>
    </row>
    <row r="157" spans="36:40" ht="15" customHeight="1">
      <c r="AJ157" s="7" t="str">
        <f>IF(Data_Summary!Y158&lt;&gt;"Coverage","",IF(Data_Summary!AA158="","",IF(COUNTIFS(Data_Summary!$Y$2:$Y158,"Coverage",Data_Summary!$AA$2:$AA158,Data_Summary!AA158)=1,Data_Summary!AA158,"")))</f>
        <v/>
      </c>
      <c r="AK157" s="7" t="str">
        <f>IF(AJ157="","",COUNTIFS(Data_Summary!$Y$2:$Y$5002,"Coverage",Data_Summary!$AA$2:$AA$5002,AJ157))</f>
        <v/>
      </c>
      <c r="AM157" s="7" t="str">
        <f>IF(Data_Insight!X157="","",IF(COUNTIF(Data_Insight!$X$2:$X157,Data_Insight!X157)=1,Data_Insight!X157,""))</f>
        <v/>
      </c>
      <c r="AN157" s="7" t="str">
        <f>IF(AM157="","",COUNTIF(Data_Insight!$X$2:$X$5001,AM157))</f>
        <v/>
      </c>
    </row>
    <row r="158" spans="36:40" ht="15" customHeight="1">
      <c r="AJ158" s="7" t="str">
        <f>IF(Data_Summary!Y159&lt;&gt;"Coverage","",IF(Data_Summary!AA159="","",IF(COUNTIFS(Data_Summary!$Y$2:$Y159,"Coverage",Data_Summary!$AA$2:$AA159,Data_Summary!AA159)=1,Data_Summary!AA159,"")))</f>
        <v/>
      </c>
      <c r="AK158" s="7" t="str">
        <f>IF(AJ158="","",COUNTIFS(Data_Summary!$Y$2:$Y$5002,"Coverage",Data_Summary!$AA$2:$AA$5002,AJ158))</f>
        <v/>
      </c>
      <c r="AM158" s="7" t="str">
        <f>IF(Data_Insight!X158="","",IF(COUNTIF(Data_Insight!$X$2:$X158,Data_Insight!X158)=1,Data_Insight!X158,""))</f>
        <v/>
      </c>
      <c r="AN158" s="7" t="str">
        <f>IF(AM158="","",COUNTIF(Data_Insight!$X$2:$X$5001,AM158))</f>
        <v/>
      </c>
    </row>
    <row r="159" spans="36:40" ht="15" customHeight="1">
      <c r="AJ159" s="7" t="str">
        <f>IF(Data_Summary!Y160&lt;&gt;"Coverage","",IF(Data_Summary!AA160="","",IF(COUNTIFS(Data_Summary!$Y$2:$Y160,"Coverage",Data_Summary!$AA$2:$AA160,Data_Summary!AA160)=1,Data_Summary!AA160,"")))</f>
        <v/>
      </c>
      <c r="AK159" s="7" t="str">
        <f>IF(AJ159="","",COUNTIFS(Data_Summary!$Y$2:$Y$5002,"Coverage",Data_Summary!$AA$2:$AA$5002,AJ159))</f>
        <v/>
      </c>
      <c r="AM159" s="7" t="str">
        <f>IF(Data_Insight!X159="","",IF(COUNTIF(Data_Insight!$X$2:$X159,Data_Insight!X159)=1,Data_Insight!X159,""))</f>
        <v/>
      </c>
      <c r="AN159" s="7" t="str">
        <f>IF(AM159="","",COUNTIF(Data_Insight!$X$2:$X$5001,AM159))</f>
        <v/>
      </c>
    </row>
    <row r="160" spans="36:40" ht="15" customHeight="1">
      <c r="AJ160" s="7" t="str">
        <f>IF(Data_Summary!Y161&lt;&gt;"Coverage","",IF(Data_Summary!AA161="","",IF(COUNTIFS(Data_Summary!$Y$2:$Y161,"Coverage",Data_Summary!$AA$2:$AA161,Data_Summary!AA161)=1,Data_Summary!AA161,"")))</f>
        <v/>
      </c>
      <c r="AK160" s="7" t="str">
        <f>IF(AJ160="","",COUNTIFS(Data_Summary!$Y$2:$Y$5002,"Coverage",Data_Summary!$AA$2:$AA$5002,AJ160))</f>
        <v/>
      </c>
      <c r="AM160" s="7" t="str">
        <f>IF(Data_Insight!X160="","",IF(COUNTIF(Data_Insight!$X$2:$X160,Data_Insight!X160)=1,Data_Insight!X160,""))</f>
        <v/>
      </c>
      <c r="AN160" s="7" t="str">
        <f>IF(AM160="","",COUNTIF(Data_Insight!$X$2:$X$5001,AM160))</f>
        <v/>
      </c>
    </row>
    <row r="161" spans="36:40" ht="15" customHeight="1">
      <c r="AJ161" s="7" t="str">
        <f>IF(Data_Summary!Y162&lt;&gt;"Coverage","",IF(Data_Summary!AA162="","",IF(COUNTIFS(Data_Summary!$Y$2:$Y162,"Coverage",Data_Summary!$AA$2:$AA162,Data_Summary!AA162)=1,Data_Summary!AA162,"")))</f>
        <v>Role Confidence Level</v>
      </c>
      <c r="AK161" s="7">
        <f>IF(AJ161="","",COUNTIFS(Data_Summary!$Y$2:$Y$5002,"Coverage",Data_Summary!$AA$2:$AA$5002,AJ161))</f>
        <v>3</v>
      </c>
      <c r="AM161" s="7" t="str">
        <f>IF(Data_Insight!X161="","",IF(COUNTIF(Data_Insight!$X$2:$X161,Data_Insight!X161)=1,Data_Insight!X161,""))</f>
        <v/>
      </c>
      <c r="AN161" s="7" t="str">
        <f>IF(AM161="","",COUNTIF(Data_Insight!$X$2:$X$5001,AM161))</f>
        <v/>
      </c>
    </row>
    <row r="162" spans="36:40" ht="15" customHeight="1">
      <c r="AJ162" s="7" t="str">
        <f>IF(Data_Summary!Y163&lt;&gt;"Coverage","",IF(Data_Summary!AA163="","",IF(COUNTIFS(Data_Summary!$Y$2:$Y163,"Coverage",Data_Summary!$AA$2:$AA163,Data_Summary!AA163)=1,Data_Summary!AA163,"")))</f>
        <v>Workload Management</v>
      </c>
      <c r="AK162" s="7">
        <f>IF(AJ162="","",COUNTIFS(Data_Summary!$Y$2:$Y$5002,"Coverage",Data_Summary!$AA$2:$AA$5002,AJ162))</f>
        <v>1</v>
      </c>
      <c r="AM162" s="7" t="str">
        <f>IF(Data_Insight!X162="","",IF(COUNTIF(Data_Insight!$X$2:$X162,Data_Insight!X162)=1,Data_Insight!X162,""))</f>
        <v/>
      </c>
      <c r="AN162" s="7" t="str">
        <f>IF(AM162="","",COUNTIF(Data_Insight!$X$2:$X$5001,AM162))</f>
        <v/>
      </c>
    </row>
    <row r="163" spans="36:40" ht="15" customHeight="1">
      <c r="AJ163" s="7" t="str">
        <f>IF(Data_Summary!Y164&lt;&gt;"Coverage","",IF(Data_Summary!AA164="","",IF(COUNTIFS(Data_Summary!$Y$2:$Y164,"Coverage",Data_Summary!$AA$2:$AA164,Data_Summary!AA164)=1,Data_Summary!AA164,"")))</f>
        <v>Feedback Mechanism</v>
      </c>
      <c r="AK163" s="7">
        <f>IF(AJ163="","",COUNTIFS(Data_Summary!$Y$2:$Y$5002,"Coverage",Data_Summary!$AA$2:$AA$5002,AJ163))</f>
        <v>4</v>
      </c>
      <c r="AM163" s="7" t="str">
        <f>IF(Data_Insight!X163="","",IF(COUNTIF(Data_Insight!$X$2:$X163,Data_Insight!X163)=1,Data_Insight!X163,""))</f>
        <v>ELTP Connect (6-12m)</v>
      </c>
      <c r="AN163" s="7">
        <f>IF(AM163="","",COUNTIF(Data_Insight!$X$2:$X$5001,AM163))</f>
        <v>1</v>
      </c>
    </row>
    <row r="164" spans="36:40" ht="15" customHeight="1">
      <c r="AJ164" s="7" t="str">
        <f>IF(Data_Summary!Y165&lt;&gt;"Coverage","",IF(Data_Summary!AA165="","",IF(COUNTIFS(Data_Summary!$Y$2:$Y165,"Coverage",Data_Summary!$AA$2:$AA165,Data_Summary!AA165)=1,Data_Summary!AA165,"")))</f>
        <v/>
      </c>
      <c r="AK164" s="7" t="str">
        <f>IF(AJ164="","",COUNTIFS(Data_Summary!$Y$2:$Y$5002,"Coverage",Data_Summary!$AA$2:$AA$5002,AJ164))</f>
        <v/>
      </c>
      <c r="AM164" s="7" t="str">
        <f>IF(Data_Insight!X164="","",IF(COUNTIF(Data_Insight!$X$2:$X164,Data_Insight!X164)=1,Data_Insight!X164,""))</f>
        <v/>
      </c>
      <c r="AN164" s="7" t="str">
        <f>IF(AM164="","",COUNTIF(Data_Insight!$X$2:$X$5001,AM164))</f>
        <v/>
      </c>
    </row>
    <row r="165" spans="36:40" ht="15" customHeight="1">
      <c r="AJ165" s="7" t="str">
        <f>IF(Data_Summary!Y166&lt;&gt;"Coverage","",IF(Data_Summary!AA166="","",IF(COUNTIFS(Data_Summary!$Y$2:$Y166,"Coverage",Data_Summary!$AA$2:$AA166,Data_Summary!AA166)=1,Data_Summary!AA166,"")))</f>
        <v/>
      </c>
      <c r="AK165" s="7" t="str">
        <f>IF(AJ165="","",COUNTIFS(Data_Summary!$Y$2:$Y$5002,"Coverage",Data_Summary!$AA$2:$AA$5002,AJ165))</f>
        <v/>
      </c>
      <c r="AM165" s="7" t="str">
        <f>IF(Data_Insight!X165="","",IF(COUNTIF(Data_Insight!$X$2:$X165,Data_Insight!X165)=1,Data_Insight!X165,""))</f>
        <v/>
      </c>
      <c r="AN165" s="7" t="str">
        <f>IF(AM165="","",COUNTIF(Data_Insight!$X$2:$X$5001,AM165))</f>
        <v/>
      </c>
    </row>
    <row r="166" spans="36:40" ht="15" customHeight="1">
      <c r="AJ166" s="7" t="str">
        <f>IF(Data_Summary!Y167&lt;&gt;"Coverage","",IF(Data_Summary!AA167="","",IF(COUNTIFS(Data_Summary!$Y$2:$Y167,"Coverage",Data_Summary!$AA$2:$AA167,Data_Summary!AA167)=1,Data_Summary!AA167,"")))</f>
        <v/>
      </c>
      <c r="AK166" s="7" t="str">
        <f>IF(AJ166="","",COUNTIFS(Data_Summary!$Y$2:$Y$5002,"Coverage",Data_Summary!$AA$2:$AA$5002,AJ166))</f>
        <v/>
      </c>
      <c r="AM166" s="7" t="str">
        <f>IF(Data_Insight!X166="","",IF(COUNTIF(Data_Insight!$X$2:$X166,Data_Insight!X166)=1,Data_Insight!X166,""))</f>
        <v/>
      </c>
      <c r="AN166" s="7" t="str">
        <f>IF(AM166="","",COUNTIF(Data_Insight!$X$2:$X$5001,AM166))</f>
        <v/>
      </c>
    </row>
    <row r="167" spans="36:40" ht="15" customHeight="1">
      <c r="AJ167" s="7" t="str">
        <f>IF(Data_Summary!Y168&lt;&gt;"Coverage","",IF(Data_Summary!AA168="","",IF(COUNTIFS(Data_Summary!$Y$2:$Y168,"Coverage",Data_Summary!$AA$2:$AA168,Data_Summary!AA168)=1,Data_Summary!AA168,"")))</f>
        <v/>
      </c>
      <c r="AK167" s="7" t="str">
        <f>IF(AJ167="","",COUNTIFS(Data_Summary!$Y$2:$Y$5002,"Coverage",Data_Summary!$AA$2:$AA$5002,AJ167))</f>
        <v/>
      </c>
      <c r="AM167" s="7" t="str">
        <f>IF(Data_Insight!X167="","",IF(COUNTIF(Data_Insight!$X$2:$X167,Data_Insight!X167)=1,Data_Insight!X167,""))</f>
        <v/>
      </c>
      <c r="AN167" s="7" t="str">
        <f>IF(AM167="","",COUNTIF(Data_Insight!$X$2:$X$5001,AM167))</f>
        <v/>
      </c>
    </row>
    <row r="168" spans="36:40" ht="15" customHeight="1">
      <c r="AJ168" s="7" t="str">
        <f>IF(Data_Summary!Y169&lt;&gt;"Coverage","",IF(Data_Summary!AA169="","",IF(COUNTIFS(Data_Summary!$Y$2:$Y169,"Coverage",Data_Summary!$AA$2:$AA169,Data_Summary!AA169)=1,Data_Summary!AA169,"")))</f>
        <v>Queries On Timesheet/attendance Compliance During Bench</v>
      </c>
      <c r="AK168" s="7">
        <f>IF(AJ168="","",COUNTIFS(Data_Summary!$Y$2:$Y$5002,"Coverage",Data_Summary!$AA$2:$AA$5002,AJ168))</f>
        <v>10</v>
      </c>
      <c r="AM168" s="7" t="str">
        <f>IF(Data_Insight!X168="","",IF(COUNTIF(Data_Insight!$X$2:$X168,Data_Insight!X168)=1,Data_Insight!X168,""))</f>
        <v/>
      </c>
      <c r="AN168" s="7" t="str">
        <f>IF(AM168="","",COUNTIF(Data_Insight!$X$2:$X$5001,AM168))</f>
        <v/>
      </c>
    </row>
    <row r="169" spans="36:40" ht="15" customHeight="1">
      <c r="AJ169" s="7" t="str">
        <f>IF(Data_Summary!Y170&lt;&gt;"Coverage","",IF(Data_Summary!AA170="","",IF(COUNTIFS(Data_Summary!$Y$2:$Y170,"Coverage",Data_Summary!$AA$2:$AA170,Data_Summary!AA170)=1,Data_Summary!AA170,"")))</f>
        <v/>
      </c>
      <c r="AK169" s="7" t="str">
        <f>IF(AJ169="","",COUNTIFS(Data_Summary!$Y$2:$Y$5002,"Coverage",Data_Summary!$AA$2:$AA$5002,AJ169))</f>
        <v/>
      </c>
      <c r="AM169" s="7" t="str">
        <f>IF(Data_Insight!X169="","",IF(COUNTIF(Data_Insight!$X$2:$X169,Data_Insight!X169)=1,Data_Insight!X169,""))</f>
        <v/>
      </c>
      <c r="AN169" s="7" t="str">
        <f>IF(AM169="","",COUNTIF(Data_Insight!$X$2:$X$5001,AM169))</f>
        <v/>
      </c>
    </row>
    <row r="170" spans="36:40" ht="15" customHeight="1">
      <c r="AJ170" s="7" t="str">
        <f>IF(Data_Summary!Y171&lt;&gt;"Coverage","",IF(Data_Summary!AA171="","",IF(COUNTIFS(Data_Summary!$Y$2:$Y171,"Coverage",Data_Summary!$AA$2:$AA171,Data_Summary!AA171)=1,Data_Summary!AA171,"")))</f>
        <v/>
      </c>
      <c r="AK170" s="7" t="str">
        <f>IF(AJ170="","",COUNTIFS(Data_Summary!$Y$2:$Y$5002,"Coverage",Data_Summary!$AA$2:$AA$5002,AJ170))</f>
        <v/>
      </c>
      <c r="AM170" s="7" t="str">
        <f>IF(Data_Insight!X170="","",IF(COUNTIF(Data_Insight!$X$2:$X170,Data_Insight!X170)=1,Data_Insight!X170,""))</f>
        <v/>
      </c>
      <c r="AN170" s="7" t="str">
        <f>IF(AM170="","",COUNTIF(Data_Insight!$X$2:$X$5001,AM170))</f>
        <v/>
      </c>
    </row>
    <row r="171" spans="36:40" ht="15" customHeight="1">
      <c r="AJ171" s="7" t="str">
        <f>IF(Data_Summary!Y172&lt;&gt;"Coverage","",IF(Data_Summary!AA172="","",IF(COUNTIFS(Data_Summary!$Y$2:$Y172,"Coverage",Data_Summary!$AA$2:$AA172,Data_Summary!AA172)=1,Data_Summary!AA172,"")))</f>
        <v/>
      </c>
      <c r="AK171" s="7" t="str">
        <f>IF(AJ171="","",COUNTIFS(Data_Summary!$Y$2:$Y$5002,"Coverage",Data_Summary!$AA$2:$AA$5002,AJ171))</f>
        <v/>
      </c>
      <c r="AM171" s="7" t="str">
        <f>IF(Data_Insight!X171="","",IF(COUNTIF(Data_Insight!$X$2:$X171,Data_Insight!X171)=1,Data_Insight!X171,""))</f>
        <v/>
      </c>
      <c r="AN171" s="7" t="str">
        <f>IF(AM171="","",COUNTIF(Data_Insight!$X$2:$X$5001,AM171))</f>
        <v/>
      </c>
    </row>
    <row r="172" spans="36:40" ht="15" customHeight="1">
      <c r="AJ172" s="7" t="str">
        <f>IF(Data_Summary!Y173&lt;&gt;"Coverage","",IF(Data_Summary!AA173="","",IF(COUNTIFS(Data_Summary!$Y$2:$Y173,"Coverage",Data_Summary!$AA$2:$AA173,Data_Summary!AA173)=1,Data_Summary!AA173,"")))</f>
        <v/>
      </c>
      <c r="AK172" s="7" t="str">
        <f>IF(AJ172="","",COUNTIFS(Data_Summary!$Y$2:$Y$5002,"Coverage",Data_Summary!$AA$2:$AA$5002,AJ172))</f>
        <v/>
      </c>
      <c r="AM172" s="7" t="str">
        <f>IF(Data_Insight!X172="","",IF(COUNTIF(Data_Insight!$X$2:$X172,Data_Insight!X172)=1,Data_Insight!X172,""))</f>
        <v/>
      </c>
      <c r="AN172" s="7" t="str">
        <f>IF(AM172="","",COUNTIF(Data_Insight!$X$2:$X$5001,AM172))</f>
        <v/>
      </c>
    </row>
    <row r="173" spans="36:40" ht="15" customHeight="1">
      <c r="AJ173" s="7" t="str">
        <f>IF(Data_Summary!Y174&lt;&gt;"Coverage","",IF(Data_Summary!AA174="","",IF(COUNTIFS(Data_Summary!$Y$2:$Y174,"Coverage",Data_Summary!$AA$2:$AA174,Data_Summary!AA174)=1,Data_Summary!AA174,"")))</f>
        <v/>
      </c>
      <c r="AK173" s="7" t="str">
        <f>IF(AJ173="","",COUNTIFS(Data_Summary!$Y$2:$Y$5002,"Coverage",Data_Summary!$AA$2:$AA$5002,AJ173))</f>
        <v/>
      </c>
      <c r="AM173" s="7" t="str">
        <f>IF(Data_Insight!X173="","",IF(COUNTIF(Data_Insight!$X$2:$X173,Data_Insight!X173)=1,Data_Insight!X173,""))</f>
        <v/>
      </c>
      <c r="AN173" s="7" t="str">
        <f>IF(AM173="","",COUNTIF(Data_Insight!$X$2:$X$5001,AM173))</f>
        <v/>
      </c>
    </row>
    <row r="174" spans="36:40" ht="15" customHeight="1">
      <c r="AJ174" s="7" t="str">
        <f>IF(Data_Summary!Y175&lt;&gt;"Coverage","",IF(Data_Summary!AA175="","",IF(COUNTIFS(Data_Summary!$Y$2:$Y175,"Coverage",Data_Summary!$AA$2:$AA175,Data_Summary!AA175)=1,Data_Summary!AA175,"")))</f>
        <v/>
      </c>
      <c r="AK174" s="7" t="str">
        <f>IF(AJ174="","",COUNTIFS(Data_Summary!$Y$2:$Y$5002,"Coverage",Data_Summary!$AA$2:$AA$5002,AJ174))</f>
        <v/>
      </c>
      <c r="AM174" s="7" t="str">
        <f>IF(Data_Insight!X174="","",IF(COUNTIF(Data_Insight!$X$2:$X174,Data_Insight!X174)=1,Data_Insight!X174,""))</f>
        <v/>
      </c>
      <c r="AN174" s="7" t="str">
        <f>IF(AM174="","",COUNTIF(Data_Insight!$X$2:$X$5001,AM174))</f>
        <v/>
      </c>
    </row>
    <row r="175" spans="36:40" ht="15" customHeight="1">
      <c r="AJ175" s="7" t="str">
        <f>IF(Data_Summary!Y176&lt;&gt;"Coverage","",IF(Data_Summary!AA176="","",IF(COUNTIFS(Data_Summary!$Y$2:$Y176,"Coverage",Data_Summary!$AA$2:$AA176,Data_Summary!AA176)=1,Data_Summary!AA176,"")))</f>
        <v/>
      </c>
      <c r="AK175" s="7" t="str">
        <f>IF(AJ175="","",COUNTIFS(Data_Summary!$Y$2:$Y$5002,"Coverage",Data_Summary!$AA$2:$AA$5002,AJ175))</f>
        <v/>
      </c>
      <c r="AM175" s="7" t="str">
        <f>IF(Data_Insight!X175="","",IF(COUNTIF(Data_Insight!$X$2:$X175,Data_Insight!X175)=1,Data_Insight!X175,""))</f>
        <v/>
      </c>
      <c r="AN175" s="7" t="str">
        <f>IF(AM175="","",COUNTIF(Data_Insight!$X$2:$X$5001,AM175))</f>
        <v/>
      </c>
    </row>
    <row r="176" spans="36:40" ht="12.75" customHeight="1">
      <c r="AJ176" s="7" t="str">
        <f>IF(Data_Summary!Y177&lt;&gt;"Coverage","",IF(Data_Summary!AA177="","",IF(COUNTIFS(Data_Summary!$Y$2:$Y177,"Coverage",Data_Summary!$AA$2:$AA177,Data_Summary!AA177)=1,Data_Summary!AA177,"")))</f>
        <v/>
      </c>
      <c r="AK176" s="7" t="str">
        <f>IF(AJ176="","",COUNTIFS(Data_Summary!$Y$2:$Y$5002,"Coverage",Data_Summary!$AA$2:$AA$5002,AJ176))</f>
        <v/>
      </c>
      <c r="AM176" s="7" t="str">
        <f>IF(Data_Insight!X176="","",IF(COUNTIF(Data_Insight!$X$2:$X176,Data_Insight!X176)=1,Data_Insight!X176,""))</f>
        <v/>
      </c>
      <c r="AN176" s="7" t="str">
        <f>IF(AM176="","",COUNTIF(Data_Insight!$X$2:$X$5001,AM176))</f>
        <v/>
      </c>
    </row>
    <row r="177" spans="36:40" ht="12.75" customHeight="1">
      <c r="AJ177" s="7" t="str">
        <f>IF(Data_Summary!Y178&lt;&gt;"Coverage","",IF(Data_Summary!AA178="","",IF(COUNTIFS(Data_Summary!$Y$2:$Y178,"Coverage",Data_Summary!$AA$2:$AA178,Data_Summary!AA178)=1,Data_Summary!AA178,"")))</f>
        <v/>
      </c>
      <c r="AK177" s="7" t="str">
        <f>IF(AJ177="","",COUNTIFS(Data_Summary!$Y$2:$Y$5002,"Coverage",Data_Summary!$AA$2:$AA$5002,AJ177))</f>
        <v/>
      </c>
      <c r="AM177" s="7" t="str">
        <f>IF(Data_Insight!X177="","",IF(COUNTIF(Data_Insight!$X$2:$X177,Data_Insight!X177)=1,Data_Insight!X177,""))</f>
        <v/>
      </c>
      <c r="AN177" s="7" t="str">
        <f>IF(AM177="","",COUNTIF(Data_Insight!$X$2:$X$5001,AM177))</f>
        <v/>
      </c>
    </row>
    <row r="178" spans="36:40" ht="15" customHeight="1">
      <c r="AJ178" s="7" t="str">
        <f>IF(Data_Summary!Y179&lt;&gt;"Coverage","",IF(Data_Summary!AA179="","",IF(COUNTIFS(Data_Summary!$Y$2:$Y179,"Coverage",Data_Summary!$AA$2:$AA179,Data_Summary!AA179)=1,Data_Summary!AA179,"")))</f>
        <v/>
      </c>
      <c r="AK178" s="7" t="str">
        <f>IF(AJ178="","",COUNTIFS(Data_Summary!$Y$2:$Y$5002,"Coverage",Data_Summary!$AA$2:$AA$5002,AJ178))</f>
        <v/>
      </c>
      <c r="AM178" s="7" t="str">
        <f>IF(Data_Insight!X178="","",IF(COUNTIF(Data_Insight!$X$2:$X178,Data_Insight!X178)=1,Data_Insight!X178,""))</f>
        <v/>
      </c>
      <c r="AN178" s="7" t="str">
        <f>IF(AM178="","",COUNTIF(Data_Insight!$X$2:$X$5001,AM178))</f>
        <v/>
      </c>
    </row>
    <row r="179" spans="36:40" ht="32.25" customHeight="1">
      <c r="AJ179" s="7" t="str">
        <f>IF(Data_Summary!Y180&lt;&gt;"Coverage","",IF(Data_Summary!AA180="","",IF(COUNTIFS(Data_Summary!$Y$2:$Y180,"Coverage",Data_Summary!$AA$2:$AA180,Data_Summary!AA180)=1,Data_Summary!AA180,"")))</f>
        <v/>
      </c>
      <c r="AK179" s="7" t="str">
        <f>IF(AJ179="","",COUNTIFS(Data_Summary!$Y$2:$Y$5002,"Coverage",Data_Summary!$AA$2:$AA$5002,AJ179))</f>
        <v/>
      </c>
      <c r="AM179" s="7" t="str">
        <f>IF(Data_Insight!X179="","",IF(COUNTIF(Data_Insight!$X$2:$X179,Data_Insight!X179)=1,Data_Insight!X179,""))</f>
        <v/>
      </c>
      <c r="AN179" s="7" t="str">
        <f>IF(AM179="","",COUNTIF(Data_Insight!$X$2:$X$5001,AM179))</f>
        <v/>
      </c>
    </row>
    <row r="180" spans="36:40" ht="15" customHeight="1">
      <c r="AJ180" s="7" t="str">
        <f>IF(Data_Summary!Y181&lt;&gt;"Coverage","",IF(Data_Summary!AA181="","",IF(COUNTIFS(Data_Summary!$Y$2:$Y181,"Coverage",Data_Summary!$AA$2:$AA181,Data_Summary!AA181)=1,Data_Summary!AA181,"")))</f>
        <v/>
      </c>
      <c r="AK180" s="7" t="str">
        <f>IF(AJ180="","",COUNTIFS(Data_Summary!$Y$2:$Y$5002,"Coverage",Data_Summary!$AA$2:$AA$5002,AJ180))</f>
        <v/>
      </c>
      <c r="AM180" s="7" t="str">
        <f>IF(Data_Insight!X180="","",IF(COUNTIF(Data_Insight!$X$2:$X180,Data_Insight!X180)=1,Data_Insight!X180,""))</f>
        <v/>
      </c>
      <c r="AN180" s="7" t="str">
        <f>IF(AM180="","",COUNTIF(Data_Insight!$X$2:$X$5001,AM180))</f>
        <v/>
      </c>
    </row>
    <row r="181" spans="36:40" ht="15" customHeight="1">
      <c r="AJ181" s="7" t="str">
        <f>IF(Data_Summary!Y182&lt;&gt;"Coverage","",IF(Data_Summary!AA182="","",IF(COUNTIFS(Data_Summary!$Y$2:$Y182,"Coverage",Data_Summary!$AA$2:$AA182,Data_Summary!AA182)=1,Data_Summary!AA182,"")))</f>
        <v/>
      </c>
      <c r="AK181" s="7" t="str">
        <f>IF(AJ181="","",COUNTIFS(Data_Summary!$Y$2:$Y$5002,"Coverage",Data_Summary!$AA$2:$AA$5002,AJ181))</f>
        <v/>
      </c>
      <c r="AM181" s="7" t="str">
        <f>IF(Data_Insight!X181="","",IF(COUNTIF(Data_Insight!$X$2:$X181,Data_Insight!X181)=1,Data_Insight!X181,""))</f>
        <v/>
      </c>
      <c r="AN181" s="7" t="str">
        <f>IF(AM181="","",COUNTIF(Data_Insight!$X$2:$X$5001,AM181))</f>
        <v/>
      </c>
    </row>
    <row r="182" spans="36:40" ht="15" customHeight="1">
      <c r="AJ182" s="7" t="str">
        <f>IF(Data_Summary!Y183&lt;&gt;"Coverage","",IF(Data_Summary!AA183="","",IF(COUNTIFS(Data_Summary!$Y$2:$Y183,"Coverage",Data_Summary!$AA$2:$AA183,Data_Summary!AA183)=1,Data_Summary!AA183,"")))</f>
        <v/>
      </c>
      <c r="AK182" s="7" t="str">
        <f>IF(AJ182="","",COUNTIFS(Data_Summary!$Y$2:$Y$5002,"Coverage",Data_Summary!$AA$2:$AA$5002,AJ182))</f>
        <v/>
      </c>
      <c r="AM182" s="7" t="str">
        <f>IF(Data_Insight!X182="","",IF(COUNTIF(Data_Insight!$X$2:$X182,Data_Insight!X182)=1,Data_Insight!X182,""))</f>
        <v/>
      </c>
      <c r="AN182" s="7" t="str">
        <f>IF(AM182="","",COUNTIF(Data_Insight!$X$2:$X$5001,AM182))</f>
        <v/>
      </c>
    </row>
    <row r="183" spans="36:40" ht="12.75" customHeight="1">
      <c r="AJ183" s="7" t="str">
        <f>IF(Data_Summary!Y184&lt;&gt;"Coverage","",IF(Data_Summary!AA184="","",IF(COUNTIFS(Data_Summary!$Y$2:$Y184,"Coverage",Data_Summary!$AA$2:$AA184,Data_Summary!AA184)=1,Data_Summary!AA184,"")))</f>
        <v/>
      </c>
      <c r="AK183" s="7" t="str">
        <f>IF(AJ183="","",COUNTIFS(Data_Summary!$Y$2:$Y$5002,"Coverage",Data_Summary!$AA$2:$AA$5002,AJ183))</f>
        <v/>
      </c>
      <c r="AM183" s="7" t="str">
        <f>IF(Data_Insight!X183="","",IF(COUNTIF(Data_Insight!$X$2:$X183,Data_Insight!X183)=1,Data_Insight!X183,""))</f>
        <v/>
      </c>
      <c r="AN183" s="7" t="str">
        <f>IF(AM183="","",COUNTIF(Data_Insight!$X$2:$X$5001,AM183))</f>
        <v/>
      </c>
    </row>
    <row r="184" spans="36:40" ht="12.75" customHeight="1">
      <c r="AJ184" s="7" t="str">
        <f>IF(Data_Summary!Y185&lt;&gt;"Coverage","",IF(Data_Summary!AA185="","",IF(COUNTIFS(Data_Summary!$Y$2:$Y185,"Coverage",Data_Summary!$AA$2:$AA185,Data_Summary!AA185)=1,Data_Summary!AA185,"")))</f>
        <v/>
      </c>
      <c r="AK184" s="7" t="str">
        <f>IF(AJ184="","",COUNTIFS(Data_Summary!$Y$2:$Y$5002,"Coverage",Data_Summary!$AA$2:$AA$5002,AJ184))</f>
        <v/>
      </c>
      <c r="AM184" s="7" t="str">
        <f>IF(Data_Insight!X184="","",IF(COUNTIF(Data_Insight!$X$2:$X184,Data_Insight!X184)=1,Data_Insight!X184,""))</f>
        <v/>
      </c>
      <c r="AN184" s="7" t="str">
        <f>IF(AM184="","",COUNTIF(Data_Insight!$X$2:$X$5001,AM184))</f>
        <v/>
      </c>
    </row>
    <row r="185" spans="36:40" ht="21" customHeight="1">
      <c r="AJ185" s="7" t="str">
        <f>IF(Data_Summary!Y186&lt;&gt;"Coverage","",IF(Data_Summary!AA186="","",IF(COUNTIFS(Data_Summary!$Y$2:$Y186,"Coverage",Data_Summary!$AA$2:$AA186,Data_Summary!AA186)=1,Data_Summary!AA186,"")))</f>
        <v/>
      </c>
      <c r="AK185" s="7" t="str">
        <f>IF(AJ185="","",COUNTIFS(Data_Summary!$Y$2:$Y$5002,"Coverage",Data_Summary!$AA$2:$AA$5002,AJ185))</f>
        <v/>
      </c>
      <c r="AM185" s="7" t="str">
        <f>IF(Data_Insight!X185="","",IF(COUNTIF(Data_Insight!$X$2:$X185,Data_Insight!X185)=1,Data_Insight!X185,""))</f>
        <v/>
      </c>
      <c r="AN185" s="7" t="str">
        <f>IF(AM185="","",COUNTIF(Data_Insight!$X$2:$X$5001,AM185))</f>
        <v/>
      </c>
    </row>
    <row r="186" spans="36:40" ht="12.75" customHeight="1">
      <c r="AJ186" s="7" t="str">
        <f>IF(Data_Summary!Y187&lt;&gt;"Coverage","",IF(Data_Summary!AA187="","",IF(COUNTIFS(Data_Summary!$Y$2:$Y187,"Coverage",Data_Summary!$AA$2:$AA187,Data_Summary!AA187)=1,Data_Summary!AA187,"")))</f>
        <v/>
      </c>
      <c r="AK186" s="7" t="str">
        <f>IF(AJ186="","",COUNTIFS(Data_Summary!$Y$2:$Y$5002,"Coverage",Data_Summary!$AA$2:$AA$5002,AJ186))</f>
        <v/>
      </c>
      <c r="AM186" s="7" t="str">
        <f>IF(Data_Insight!X186="","",IF(COUNTIF(Data_Insight!$X$2:$X186,Data_Insight!X186)=1,Data_Insight!X186,""))</f>
        <v/>
      </c>
      <c r="AN186" s="7" t="str">
        <f>IF(AM186="","",COUNTIF(Data_Insight!$X$2:$X$5001,AM186))</f>
        <v/>
      </c>
    </row>
    <row r="187" spans="36:40" ht="29.25" customHeight="1">
      <c r="AJ187" s="7" t="str">
        <f>IF(Data_Summary!Y188&lt;&gt;"Coverage","",IF(Data_Summary!AA188="","",IF(COUNTIFS(Data_Summary!$Y$2:$Y188,"Coverage",Data_Summary!$AA$2:$AA188,Data_Summary!AA188)=1,Data_Summary!AA188,"")))</f>
        <v>Career Progression &amp; Next-Level Readiness</v>
      </c>
      <c r="AK187" s="7">
        <f>IF(AJ187="","",COUNTIFS(Data_Summary!$Y$2:$Y$5002,"Coverage",Data_Summary!$AA$2:$AA$5002,AJ187))</f>
        <v>2</v>
      </c>
      <c r="AM187" s="7" t="str">
        <f>IF(Data_Insight!X187="","",IF(COUNTIF(Data_Insight!$X$2:$X187,Data_Insight!X187)=1,Data_Insight!X187,""))</f>
        <v/>
      </c>
      <c r="AN187" s="7" t="str">
        <f>IF(AM187="","",COUNTIF(Data_Insight!$X$2:$X$5001,AM187))</f>
        <v/>
      </c>
    </row>
    <row r="188" spans="36:40" ht="15" customHeight="1">
      <c r="AJ188" s="7" t="str">
        <f>IF(Data_Summary!Y189&lt;&gt;"Coverage","",IF(Data_Summary!AA189="","",IF(COUNTIFS(Data_Summary!$Y$2:$Y189,"Coverage",Data_Summary!$AA$2:$AA189,Data_Summary!AA189)=1,Data_Summary!AA189,"")))</f>
        <v/>
      </c>
      <c r="AK188" s="7" t="str">
        <f>IF(AJ188="","",COUNTIFS(Data_Summary!$Y$2:$Y$5002,"Coverage",Data_Summary!$AA$2:$AA$5002,AJ188))</f>
        <v/>
      </c>
      <c r="AM188" s="7" t="str">
        <f>IF(Data_Insight!X188="","",IF(COUNTIF(Data_Insight!$X$2:$X188,Data_Insight!X188)=1,Data_Insight!X188,""))</f>
        <v/>
      </c>
      <c r="AN188" s="7" t="str">
        <f>IF(AM188="","",COUNTIF(Data_Insight!$X$2:$X$5001,AM188))</f>
        <v/>
      </c>
    </row>
    <row r="189" spans="36:40" ht="15" customHeight="1">
      <c r="AJ189" s="7" t="str">
        <f>IF(Data_Summary!Y190&lt;&gt;"Coverage","",IF(Data_Summary!AA190="","",IF(COUNTIFS(Data_Summary!$Y$2:$Y190,"Coverage",Data_Summary!$AA$2:$AA190,Data_Summary!AA190)=1,Data_Summary!AA190,"")))</f>
        <v/>
      </c>
      <c r="AK189" s="7" t="str">
        <f>IF(AJ189="","",COUNTIFS(Data_Summary!$Y$2:$Y$5002,"Coverage",Data_Summary!$AA$2:$AA$5002,AJ189))</f>
        <v/>
      </c>
      <c r="AM189" s="7" t="str">
        <f>IF(Data_Insight!X189="","",IF(COUNTIF(Data_Insight!$X$2:$X189,Data_Insight!X189)=1,Data_Insight!X189,""))</f>
        <v/>
      </c>
      <c r="AN189" s="7" t="str">
        <f>IF(AM189="","",COUNTIF(Data_Insight!$X$2:$X$5001,AM189))</f>
        <v/>
      </c>
    </row>
    <row r="190" spans="36:40" ht="27.75" customHeight="1">
      <c r="AJ190" s="7" t="str">
        <f>IF(Data_Summary!Y191&lt;&gt;"Coverage","",IF(Data_Summary!AA191="","",IF(COUNTIFS(Data_Summary!$Y$2:$Y191,"Coverage",Data_Summary!$AA$2:$AA191,Data_Summary!AA191)=1,Data_Summary!AA191,"")))</f>
        <v/>
      </c>
      <c r="AK190" s="7" t="str">
        <f>IF(AJ190="","",COUNTIFS(Data_Summary!$Y$2:$Y$5002,"Coverage",Data_Summary!$AA$2:$AA$5002,AJ190))</f>
        <v/>
      </c>
      <c r="AM190" s="7" t="str">
        <f>IF(Data_Insight!X190="","",IF(COUNTIF(Data_Insight!$X$2:$X190,Data_Insight!X190)=1,Data_Insight!X190,""))</f>
        <v/>
      </c>
      <c r="AN190" s="7" t="str">
        <f>IF(AM190="","",COUNTIF(Data_Insight!$X$2:$X$5001,AM190))</f>
        <v/>
      </c>
    </row>
    <row r="191" spans="36:40" ht="15" customHeight="1">
      <c r="AJ191" s="7" t="str">
        <f>IF(Data_Summary!Y192&lt;&gt;"Coverage","",IF(Data_Summary!AA192="","",IF(COUNTIFS(Data_Summary!$Y$2:$Y192,"Coverage",Data_Summary!$AA$2:$AA192,Data_Summary!AA192)=1,Data_Summary!AA192,"")))</f>
        <v/>
      </c>
      <c r="AK191" s="7" t="str">
        <f>IF(AJ191="","",COUNTIFS(Data_Summary!$Y$2:$Y$5002,"Coverage",Data_Summary!$AA$2:$AA$5002,AJ191))</f>
        <v/>
      </c>
      <c r="AM191" s="7" t="str">
        <f>IF(Data_Insight!X191="","",IF(COUNTIF(Data_Insight!$X$2:$X191,Data_Insight!X191)=1,Data_Insight!X191,""))</f>
        <v/>
      </c>
      <c r="AN191" s="7" t="str">
        <f>IF(AM191="","",COUNTIF(Data_Insight!$X$2:$X$5001,AM191))</f>
        <v/>
      </c>
    </row>
    <row r="192" spans="36:40" ht="28.5" customHeight="1">
      <c r="AJ192" s="7" t="str">
        <f>IF(Data_Summary!Y193&lt;&gt;"Coverage","",IF(Data_Summary!AA193="","",IF(COUNTIFS(Data_Summary!$Y$2:$Y193,"Coverage",Data_Summary!$AA$2:$AA193,Data_Summary!AA193)=1,Data_Summary!AA193,"")))</f>
        <v/>
      </c>
      <c r="AK192" s="7" t="str">
        <f>IF(AJ192="","",COUNTIFS(Data_Summary!$Y$2:$Y$5002,"Coverage",Data_Summary!$AA$2:$AA$5002,AJ192))</f>
        <v/>
      </c>
      <c r="AM192" s="7" t="str">
        <f>IF(Data_Insight!X192="","",IF(COUNTIF(Data_Insight!$X$2:$X192,Data_Insight!X192)=1,Data_Insight!X192,""))</f>
        <v/>
      </c>
      <c r="AN192" s="7" t="str">
        <f>IF(AM192="","",COUNTIF(Data_Insight!$X$2:$X$5001,AM192))</f>
        <v/>
      </c>
    </row>
    <row r="193" spans="36:40" ht="15" customHeight="1">
      <c r="AJ193" s="7" t="str">
        <f>IF(Data_Summary!Y194&lt;&gt;"Coverage","",IF(Data_Summary!AA194="","",IF(COUNTIFS(Data_Summary!$Y$2:$Y194,"Coverage",Data_Summary!$AA$2:$AA194,Data_Summary!AA194)=1,Data_Summary!AA194,"")))</f>
        <v/>
      </c>
      <c r="AK193" s="7" t="str">
        <f>IF(AJ193="","",COUNTIFS(Data_Summary!$Y$2:$Y$5002,"Coverage",Data_Summary!$AA$2:$AA$5002,AJ193))</f>
        <v/>
      </c>
      <c r="AM193" s="7" t="str">
        <f>IF(Data_Insight!X193="","",IF(COUNTIF(Data_Insight!$X$2:$X193,Data_Insight!X193)=1,Data_Insight!X193,""))</f>
        <v/>
      </c>
      <c r="AN193" s="7" t="str">
        <f>IF(AM193="","",COUNTIF(Data_Insight!$X$2:$X$5001,AM193))</f>
        <v/>
      </c>
    </row>
    <row r="194" spans="36:40" ht="27.75" customHeight="1">
      <c r="AJ194" s="7" t="str">
        <f>IF(Data_Summary!Y195&lt;&gt;"Coverage","",IF(Data_Summary!AA195="","",IF(COUNTIFS(Data_Summary!$Y$2:$Y195,"Coverage",Data_Summary!$AA$2:$AA195,Data_Summary!AA195)=1,Data_Summary!AA195,"")))</f>
        <v/>
      </c>
      <c r="AK194" s="7" t="str">
        <f>IF(AJ194="","",COUNTIFS(Data_Summary!$Y$2:$Y$5002,"Coverage",Data_Summary!$AA$2:$AA$5002,AJ194))</f>
        <v/>
      </c>
      <c r="AM194" s="7" t="str">
        <f>IF(Data_Insight!X194="","",IF(COUNTIF(Data_Insight!$X$2:$X194,Data_Insight!X194)=1,Data_Insight!X194,""))</f>
        <v/>
      </c>
      <c r="AN194" s="7" t="str">
        <f>IF(AM194="","",COUNTIF(Data_Insight!$X$2:$X$5001,AM194))</f>
        <v/>
      </c>
    </row>
    <row r="195" spans="36:40" ht="27.75" customHeight="1">
      <c r="AJ195" s="7" t="str">
        <f>IF(Data_Summary!Y196&lt;&gt;"Coverage","",IF(Data_Summary!AA196="","",IF(COUNTIFS(Data_Summary!$Y$2:$Y196,"Coverage",Data_Summary!$AA$2:$AA196,Data_Summary!AA196)=1,Data_Summary!AA196,"")))</f>
        <v>Recognition &amp; Motivation</v>
      </c>
      <c r="AK195" s="7">
        <f>IF(AJ195="","",COUNTIFS(Data_Summary!$Y$2:$Y$5002,"Coverage",Data_Summary!$AA$2:$AA$5002,AJ195))</f>
        <v>2</v>
      </c>
      <c r="AM195" s="7" t="str">
        <f>IF(Data_Insight!X195="","",IF(COUNTIF(Data_Insight!$X$2:$X195,Data_Insight!X195)=1,Data_Insight!X195,""))</f>
        <v/>
      </c>
      <c r="AN195" s="7" t="str">
        <f>IF(AM195="","",COUNTIF(Data_Insight!$X$2:$X$5001,AM195))</f>
        <v/>
      </c>
    </row>
    <row r="196" spans="36:40" ht="15" customHeight="1">
      <c r="AJ196" s="7" t="str">
        <f>IF(Data_Summary!Y197&lt;&gt;"Coverage","",IF(Data_Summary!AA197="","",IF(COUNTIFS(Data_Summary!$Y$2:$Y197,"Coverage",Data_Summary!$AA$2:$AA197,Data_Summary!AA197)=1,Data_Summary!AA197,"")))</f>
        <v>Timely Policy/process Updates</v>
      </c>
      <c r="AK196" s="7">
        <f>IF(AJ196="","",COUNTIFS(Data_Summary!$Y$2:$Y$5002,"Coverage",Data_Summary!$AA$2:$AA$5002,AJ196))</f>
        <v>1</v>
      </c>
      <c r="AM196" s="7" t="str">
        <f>IF(Data_Insight!X196="","",IF(COUNTIF(Data_Insight!$X$2:$X196,Data_Insight!X196)=1,Data_Insight!X196,""))</f>
        <v/>
      </c>
      <c r="AN196" s="7" t="str">
        <f>IF(AM196="","",COUNTIF(Data_Insight!$X$2:$X$5001,AM196))</f>
        <v/>
      </c>
    </row>
    <row r="197" spans="36:40" ht="15" customHeight="1">
      <c r="AJ197" s="7" t="str">
        <f>IF(Data_Summary!Y198&lt;&gt;"Coverage","",IF(Data_Summary!AA198="","",IF(COUNTIFS(Data_Summary!$Y$2:$Y198,"Coverage",Data_Summary!$AA$2:$AA198,Data_Summary!AA198)=1,Data_Summary!AA198,"")))</f>
        <v>Learning/cert Support Requests</v>
      </c>
      <c r="AK197" s="7">
        <f>IF(AJ197="","",COUNTIFS(Data_Summary!$Y$2:$Y$5002,"Coverage",Data_Summary!$AA$2:$AA$5002,AJ197))</f>
        <v>2</v>
      </c>
      <c r="AM197" s="7" t="str">
        <f>IF(Data_Insight!X197="","",IF(COUNTIF(Data_Insight!$X$2:$X197,Data_Insight!X197)=1,Data_Insight!X197,""))</f>
        <v/>
      </c>
      <c r="AN197" s="7" t="str">
        <f>IF(AM197="","",COUNTIF(Data_Insight!$X$2:$X$5001,AM197))</f>
        <v/>
      </c>
    </row>
    <row r="198" spans="36:40" ht="15" customHeight="1">
      <c r="AJ198" s="7" t="str">
        <f>IF(Data_Summary!Y199&lt;&gt;"Coverage","",IF(Data_Summary!AA199="","",IF(COUNTIFS(Data_Summary!$Y$2:$Y199,"Coverage",Data_Summary!$AA$2:$AA199,Data_Summary!AA199)=1,Data_Summary!AA199,"")))</f>
        <v/>
      </c>
      <c r="AK198" s="7" t="str">
        <f>IF(AJ198="","",COUNTIFS(Data_Summary!$Y$2:$Y$5002,"Coverage",Data_Summary!$AA$2:$AA$5002,AJ198))</f>
        <v/>
      </c>
      <c r="AM198" s="7" t="str">
        <f>IF(Data_Insight!X198="","",IF(COUNTIF(Data_Insight!$X$2:$X198,Data_Insight!X198)=1,Data_Insight!X198,""))</f>
        <v/>
      </c>
      <c r="AN198" s="7" t="str">
        <f>IF(AM198="","",COUNTIF(Data_Insight!$X$2:$X$5001,AM198))</f>
        <v/>
      </c>
    </row>
    <row r="199" spans="36:40" ht="15" customHeight="1">
      <c r="AJ199" s="7" t="str">
        <f>IF(Data_Summary!Y200&lt;&gt;"Coverage","",IF(Data_Summary!AA200="","",IF(COUNTIFS(Data_Summary!$Y$2:$Y200,"Coverage",Data_Summary!$AA$2:$AA200,Data_Summary!AA200)=1,Data_Summary!AA200,"")))</f>
        <v/>
      </c>
      <c r="AK199" s="7" t="str">
        <f>IF(AJ199="","",COUNTIFS(Data_Summary!$Y$2:$Y$5002,"Coverage",Data_Summary!$AA$2:$AA$5002,AJ199))</f>
        <v/>
      </c>
      <c r="AM199" s="7" t="str">
        <f>IF(Data_Insight!X199="","",IF(COUNTIF(Data_Insight!$X$2:$X199,Data_Insight!X199)=1,Data_Insight!X199,""))</f>
        <v/>
      </c>
      <c r="AN199" s="7" t="str">
        <f>IF(AM199="","",COUNTIF(Data_Insight!$X$2:$X$5001,AM199))</f>
        <v/>
      </c>
    </row>
    <row r="200" spans="36:40" ht="15" customHeight="1">
      <c r="AJ200" s="7" t="str">
        <f>IF(Data_Summary!Y201&lt;&gt;"Coverage","",IF(Data_Summary!AA201="","",IF(COUNTIFS(Data_Summary!$Y$2:$Y201,"Coverage",Data_Summary!$AA$2:$AA201,Data_Summary!AA201)=1,Data_Summary!AA201,"")))</f>
        <v/>
      </c>
      <c r="AK200" s="7" t="str">
        <f>IF(AJ200="","",COUNTIFS(Data_Summary!$Y$2:$Y$5002,"Coverage",Data_Summary!$AA$2:$AA$5002,AJ200))</f>
        <v/>
      </c>
    </row>
    <row r="201" spans="36:40" ht="28.5" customHeight="1">
      <c r="AJ201" s="7" t="str">
        <f>IF(Data_Summary!Y202&lt;&gt;"Coverage","",IF(Data_Summary!AA202="","",IF(COUNTIFS(Data_Summary!$Y$2:$Y202,"Coverage",Data_Summary!$AA$2:$AA202,Data_Summary!AA202)=1,Data_Summary!AA202,"")))</f>
        <v/>
      </c>
      <c r="AK201" s="7" t="str">
        <f>IF(AJ201="","",COUNTIFS(Data_Summary!$Y$2:$Y$5002,"Coverage",Data_Summary!$AA$2:$AA$5002,AJ201))</f>
        <v/>
      </c>
    </row>
    <row r="202" spans="36:40" ht="27.75" customHeight="1">
      <c r="AJ202" s="7" t="str">
        <f>IF(Data_Summary!Y203&lt;&gt;"Coverage","",IF(Data_Summary!AA203="","",IF(COUNTIFS(Data_Summary!$Y$2:$Y203,"Coverage",Data_Summary!$AA$2:$AA203,Data_Summary!AA203)=1,Data_Summary!AA203,"")))</f>
        <v/>
      </c>
      <c r="AK202" s="7" t="str">
        <f>IF(AJ202="","",COUNTIFS(Data_Summary!$Y$2:$Y$5002,"Coverage",Data_Summary!$AA$2:$AA$5002,AJ202))</f>
        <v/>
      </c>
    </row>
    <row r="203" spans="36:40" ht="27.75" customHeight="1">
      <c r="AJ203" s="7" t="str">
        <f>IF(Data_Summary!Y204&lt;&gt;"Coverage","",IF(Data_Summary!AA204="","",IF(COUNTIFS(Data_Summary!$Y$2:$Y204,"Coverage",Data_Summary!$AA$2:$AA204,Data_Summary!AA204)=1,Data_Summary!AA204,"")))</f>
        <v>Rules On Working Without Formal Allocation/PID</v>
      </c>
      <c r="AK203" s="7">
        <f>IF(AJ203="","",COUNTIFS(Data_Summary!$Y$2:$Y$5002,"Coverage",Data_Summary!$AA$2:$AA$5002,AJ203))</f>
        <v>10</v>
      </c>
    </row>
    <row r="204" spans="36:40" ht="27.75" customHeight="1">
      <c r="AJ204" s="7" t="str">
        <f>IF(Data_Summary!Y205&lt;&gt;"Coverage","",IF(Data_Summary!AA205="","",IF(COUNTIFS(Data_Summary!$Y$2:$Y205,"Coverage",Data_Summary!$AA$2:$AA205,Data_Summary!AA205)=1,Data_Summary!AA205,"")))</f>
        <v/>
      </c>
      <c r="AK204" s="7" t="str">
        <f>IF(AJ204="","",COUNTIFS(Data_Summary!$Y$2:$Y$5002,"Coverage",Data_Summary!$AA$2:$AA$5002,AJ204))</f>
        <v/>
      </c>
    </row>
    <row r="205" spans="36:40" ht="27.75" customHeight="1">
      <c r="AJ205" s="7" t="str">
        <f>IF(Data_Summary!Y206&lt;&gt;"Coverage","",IF(Data_Summary!AA206="","",IF(COUNTIFS(Data_Summary!$Y$2:$Y206,"Coverage",Data_Summary!$AA$2:$AA206,Data_Summary!AA206)=1,Data_Summary!AA206,"")))</f>
        <v/>
      </c>
      <c r="AK205" s="7" t="str">
        <f>IF(AJ205="","",COUNTIFS(Data_Summary!$Y$2:$Y$5002,"Coverage",Data_Summary!$AA$2:$AA$5002,AJ205))</f>
        <v/>
      </c>
    </row>
    <row r="206" spans="36:40" ht="15" customHeight="1">
      <c r="AJ206" s="7" t="str">
        <f>IF(Data_Summary!Y207&lt;&gt;"Coverage","",IF(Data_Summary!AA207="","",IF(COUNTIFS(Data_Summary!$Y$2:$Y207,"Coverage",Data_Summary!$AA$2:$AA207,Data_Summary!AA207)=1,Data_Summary!AA207,"")))</f>
        <v/>
      </c>
      <c r="AK206" s="7" t="str">
        <f>IF(AJ206="","",COUNTIFS(Data_Summary!$Y$2:$Y$5002,"Coverage",Data_Summary!$AA$2:$AA$5002,AJ206))</f>
        <v/>
      </c>
    </row>
    <row r="207" spans="36:40" ht="15" customHeight="1">
      <c r="AJ207" s="7" t="str">
        <f>IF(Data_Summary!Y208&lt;&gt;"Coverage","",IF(Data_Summary!AA208="","",IF(COUNTIFS(Data_Summary!$Y$2:$Y208,"Coverage",Data_Summary!$AA$2:$AA208,Data_Summary!AA208)=1,Data_Summary!AA208,"")))</f>
        <v/>
      </c>
      <c r="AK207" s="7" t="str">
        <f>IF(AJ207="","",COUNTIFS(Data_Summary!$Y$2:$Y$5002,"Coverage",Data_Summary!$AA$2:$AA$5002,AJ207))</f>
        <v/>
      </c>
    </row>
    <row r="208" spans="36:40" ht="15" customHeight="1">
      <c r="AJ208" s="7" t="str">
        <f>IF(Data_Summary!Y209&lt;&gt;"Coverage","",IF(Data_Summary!AA209="","",IF(COUNTIFS(Data_Summary!$Y$2:$Y209,"Coverage",Data_Summary!$AA$2:$AA209,Data_Summary!AA209)=1,Data_Summary!AA209,"")))</f>
        <v/>
      </c>
      <c r="AK208" s="7" t="str">
        <f>IF(AJ208="","",COUNTIFS(Data_Summary!$Y$2:$Y$5002,"Coverage",Data_Summary!$AA$2:$AA$5002,AJ208))</f>
        <v/>
      </c>
    </row>
    <row r="209" spans="36:37" ht="15" customHeight="1">
      <c r="AJ209" s="7" t="str">
        <f>IF(Data_Summary!Y210&lt;&gt;"Coverage","",IF(Data_Summary!AA210="","",IF(COUNTIFS(Data_Summary!$Y$2:$Y210,"Coverage",Data_Summary!$AA$2:$AA210,Data_Summary!AA210)=1,Data_Summary!AA210,"")))</f>
        <v/>
      </c>
      <c r="AK209" s="7" t="str">
        <f>IF(AJ209="","",COUNTIFS(Data_Summary!$Y$2:$Y$5002,"Coverage",Data_Summary!$AA$2:$AA$5002,AJ209))</f>
        <v/>
      </c>
    </row>
    <row r="210" spans="36:37" ht="15" customHeight="1">
      <c r="AJ210" s="7" t="str">
        <f>IF(Data_Summary!Y211&lt;&gt;"Coverage","",IF(Data_Summary!AA211="","",IF(COUNTIFS(Data_Summary!$Y$2:$Y211,"Coverage",Data_Summary!$AA$2:$AA211,Data_Summary!AA211)=1,Data_Summary!AA211,"")))</f>
        <v>Learning Curve Support</v>
      </c>
      <c r="AK210" s="7">
        <f>IF(AJ210="","",COUNTIFS(Data_Summary!$Y$2:$Y$5002,"Coverage",Data_Summary!$AA$2:$AA$5002,AJ210))</f>
        <v>2</v>
      </c>
    </row>
    <row r="211" spans="36:37" ht="15" customHeight="1">
      <c r="AJ211" s="7" t="str">
        <f>IF(Data_Summary!Y212&lt;&gt;"Coverage","",IF(Data_Summary!AA212="","",IF(COUNTIFS(Data_Summary!$Y$2:$Y212,"Coverage",Data_Summary!$AA$2:$AA212,Data_Summary!AA212)=1,Data_Summary!AA212,"")))</f>
        <v/>
      </c>
      <c r="AK211" s="7" t="str">
        <f>IF(AJ211="","",COUNTIFS(Data_Summary!$Y$2:$Y$5002,"Coverage",Data_Summary!$AA$2:$AA$5002,AJ211))</f>
        <v/>
      </c>
    </row>
    <row r="212" spans="36:37" ht="15" customHeight="1">
      <c r="AJ212" s="7" t="str">
        <f>IF(Data_Summary!Y213&lt;&gt;"Coverage","",IF(Data_Summary!AA213="","",IF(COUNTIFS(Data_Summary!$Y$2:$Y213,"Coverage",Data_Summary!$AA$2:$AA213,Data_Summary!AA213)=1,Data_Summary!AA213,"")))</f>
        <v/>
      </c>
      <c r="AK212" s="7" t="str">
        <f>IF(AJ212="","",COUNTIFS(Data_Summary!$Y$2:$Y$5002,"Coverage",Data_Summary!$AA$2:$AA$5002,AJ212))</f>
        <v/>
      </c>
    </row>
    <row r="213" spans="36:37" ht="15" customHeight="1">
      <c r="AJ213" s="7" t="str">
        <f>IF(Data_Summary!Y214&lt;&gt;"Coverage","",IF(Data_Summary!AA214="","",IF(COUNTIFS(Data_Summary!$Y$2:$Y214,"Coverage",Data_Summary!$AA$2:$AA214,Data_Summary!AA214)=1,Data_Summary!AA214,"")))</f>
        <v/>
      </c>
      <c r="AK213" s="7" t="str">
        <f>IF(AJ213="","",COUNTIFS(Data_Summary!$Y$2:$Y$5002,"Coverage",Data_Summary!$AA$2:$AA$5002,AJ213))</f>
        <v/>
      </c>
    </row>
    <row r="214" spans="36:37" ht="15" customHeight="1">
      <c r="AJ214" s="7" t="str">
        <f>IF(Data_Summary!Y215&lt;&gt;"Coverage","",IF(Data_Summary!AA215="","",IF(COUNTIFS(Data_Summary!$Y$2:$Y215,"Coverage",Data_Summary!$AA$2:$AA215,Data_Summary!AA215)=1,Data_Summary!AA215,"")))</f>
        <v/>
      </c>
      <c r="AK214" s="7" t="str">
        <f>IF(AJ214="","",COUNTIFS(Data_Summary!$Y$2:$Y$5002,"Coverage",Data_Summary!$AA$2:$AA$5002,AJ214))</f>
        <v/>
      </c>
    </row>
    <row r="215" spans="36:37" ht="15" customHeight="1">
      <c r="AJ215" s="7" t="str">
        <f>IF(Data_Summary!Y216&lt;&gt;"Coverage","",IF(Data_Summary!AA216="","",IF(COUNTIFS(Data_Summary!$Y$2:$Y216,"Coverage",Data_Summary!$AA$2:$AA216,Data_Summary!AA216)=1,Data_Summary!AA216,"")))</f>
        <v/>
      </c>
      <c r="AK215" s="7" t="str">
        <f>IF(AJ215="","",COUNTIFS(Data_Summary!$Y$2:$Y$5002,"Coverage",Data_Summary!$AA$2:$AA$5002,AJ215))</f>
        <v/>
      </c>
    </row>
    <row r="216" spans="36:37" ht="15" customHeight="1">
      <c r="AJ216" s="7" t="str">
        <f>IF(Data_Summary!Y217&lt;&gt;"Coverage","",IF(Data_Summary!AA217="","",IF(COUNTIFS(Data_Summary!$Y$2:$Y217,"Coverage",Data_Summary!$AA$2:$AA217,Data_Summary!AA217)=1,Data_Summary!AA217,"")))</f>
        <v/>
      </c>
      <c r="AK216" s="7" t="str">
        <f>IF(AJ216="","",COUNTIFS(Data_Summary!$Y$2:$Y$5002,"Coverage",Data_Summary!$AA$2:$AA$5002,AJ216))</f>
        <v/>
      </c>
    </row>
    <row r="217" spans="36:37" ht="15" customHeight="1">
      <c r="AJ217" s="7" t="str">
        <f>IF(Data_Summary!Y218&lt;&gt;"Coverage","",IF(Data_Summary!AA218="","",IF(COUNTIFS(Data_Summary!$Y$2:$Y218,"Coverage",Data_Summary!$AA$2:$AA218,Data_Summary!AA218)=1,Data_Summary!AA218,"")))</f>
        <v/>
      </c>
      <c r="AK217" s="7" t="str">
        <f>IF(AJ217="","",COUNTIFS(Data_Summary!$Y$2:$Y$5002,"Coverage",Data_Summary!$AA$2:$AA$5002,AJ217))</f>
        <v/>
      </c>
    </row>
    <row r="218" spans="36:37" ht="15" customHeight="1">
      <c r="AJ218" s="7" t="str">
        <f>IF(Data_Summary!Y219&lt;&gt;"Coverage","",IF(Data_Summary!AA219="","",IF(COUNTIFS(Data_Summary!$Y$2:$Y219,"Coverage",Data_Summary!$AA$2:$AA219,Data_Summary!AA219)=1,Data_Summary!AA219,"")))</f>
        <v/>
      </c>
      <c r="AK218" s="7" t="str">
        <f>IF(AJ218="","",COUNTIFS(Data_Summary!$Y$2:$Y$5002,"Coverage",Data_Summary!$AA$2:$AA$5002,AJ218))</f>
        <v/>
      </c>
    </row>
    <row r="219" spans="36:37" ht="15" customHeight="1">
      <c r="AJ219" s="7" t="str">
        <f>IF(Data_Summary!Y220&lt;&gt;"Coverage","",IF(Data_Summary!AA220="","",IF(COUNTIFS(Data_Summary!$Y$2:$Y220,"Coverage",Data_Summary!$AA$2:$AA220,Data_Summary!AA220)=1,Data_Summary!AA220,"")))</f>
        <v/>
      </c>
      <c r="AK219" s="7" t="str">
        <f>IF(AJ219="","",COUNTIFS(Data_Summary!$Y$2:$Y$5002,"Coverage",Data_Summary!$AA$2:$AA$5002,AJ219))</f>
        <v/>
      </c>
    </row>
    <row r="220" spans="36:37" ht="15" customHeight="1">
      <c r="AJ220" s="7" t="str">
        <f>IF(Data_Summary!Y221&lt;&gt;"Coverage","",IF(Data_Summary!AA221="","",IF(COUNTIFS(Data_Summary!$Y$2:$Y221,"Coverage",Data_Summary!$AA$2:$AA221,Data_Summary!AA221)=1,Data_Summary!AA221,"")))</f>
        <v/>
      </c>
      <c r="AK220" s="7" t="str">
        <f>IF(AJ220="","",COUNTIFS(Data_Summary!$Y$2:$Y$5002,"Coverage",Data_Summary!$AA$2:$AA$5002,AJ220))</f>
        <v/>
      </c>
    </row>
    <row r="221" spans="36:37" ht="15" customHeight="1">
      <c r="AJ221" s="7" t="str">
        <f>IF(Data_Summary!Y222&lt;&gt;"Coverage","",IF(Data_Summary!AA222="","",IF(COUNTIFS(Data_Summary!$Y$2:$Y222,"Coverage",Data_Summary!$AA$2:$AA222,Data_Summary!AA222)=1,Data_Summary!AA222,"")))</f>
        <v/>
      </c>
      <c r="AK221" s="7" t="str">
        <f>IF(AJ221="","",COUNTIFS(Data_Summary!$Y$2:$Y$5002,"Coverage",Data_Summary!$AA$2:$AA$5002,AJ221))</f>
        <v/>
      </c>
    </row>
    <row r="222" spans="36:37" ht="15" customHeight="1">
      <c r="AJ222" s="7" t="str">
        <f>IF(Data_Summary!Y223&lt;&gt;"Coverage","",IF(Data_Summary!AA223="","",IF(COUNTIFS(Data_Summary!$Y$2:$Y223,"Coverage",Data_Summary!$AA$2:$AA223,Data_Summary!AA223)=1,Data_Summary!AA223,"")))</f>
        <v>Work-Life Balance &amp; Flexibility</v>
      </c>
      <c r="AK222" s="7">
        <f>IF(AJ222="","",COUNTIFS(Data_Summary!$Y$2:$Y$5002,"Coverage",Data_Summary!$AA$2:$AA$5002,AJ222))</f>
        <v>4</v>
      </c>
    </row>
    <row r="223" spans="36:37" ht="15" customHeight="1">
      <c r="AJ223" s="7" t="str">
        <f>IF(Data_Summary!Y224&lt;&gt;"Coverage","",IF(Data_Summary!AA224="","",IF(COUNTIFS(Data_Summary!$Y$2:$Y224,"Coverage",Data_Summary!$AA$2:$AA224,Data_Summary!AA224)=1,Data_Summary!AA224,"")))</f>
        <v/>
      </c>
      <c r="AK223" s="7" t="str">
        <f>IF(AJ223="","",COUNTIFS(Data_Summary!$Y$2:$Y$5002,"Coverage",Data_Summary!$AA$2:$AA$5002,AJ223))</f>
        <v/>
      </c>
    </row>
    <row r="224" spans="36:37" ht="15" customHeight="1">
      <c r="AJ224" s="7" t="str">
        <f>IF(Data_Summary!Y225&lt;&gt;"Coverage","",IF(Data_Summary!AA225="","",IF(COUNTIFS(Data_Summary!$Y$2:$Y225,"Coverage",Data_Summary!$AA$2:$AA225,Data_Summary!AA225)=1,Data_Summary!AA225,"")))</f>
        <v/>
      </c>
      <c r="AK224" s="7" t="str">
        <f>IF(AJ224="","",COUNTIFS(Data_Summary!$Y$2:$Y$5002,"Coverage",Data_Summary!$AA$2:$AA$5002,AJ224))</f>
        <v/>
      </c>
    </row>
    <row r="225" spans="36:37" ht="15" customHeight="1">
      <c r="AJ225" s="7" t="str">
        <f>IF(Data_Summary!Y226&lt;&gt;"Coverage","",IF(Data_Summary!AA226="","",IF(COUNTIFS(Data_Summary!$Y$2:$Y226,"Coverage",Data_Summary!$AA$2:$AA226,Data_Summary!AA226)=1,Data_Summary!AA226,"")))</f>
        <v/>
      </c>
      <c r="AK225" s="7" t="str">
        <f>IF(AJ225="","",COUNTIFS(Data_Summary!$Y$2:$Y$5002,"Coverage",Data_Summary!$AA$2:$AA$5002,AJ225))</f>
        <v/>
      </c>
    </row>
    <row r="226" spans="36:37" ht="15" customHeight="1">
      <c r="AJ226" s="7" t="str">
        <f>IF(Data_Summary!Y227&lt;&gt;"Coverage","",IF(Data_Summary!AA227="","",IF(COUNTIFS(Data_Summary!$Y$2:$Y227,"Coverage",Data_Summary!$AA$2:$AA227,Data_Summary!AA227)=1,Data_Summary!AA227,"")))</f>
        <v/>
      </c>
      <c r="AK226" s="7" t="str">
        <f>IF(AJ226="","",COUNTIFS(Data_Summary!$Y$2:$Y$5002,"Coverage",Data_Summary!$AA$2:$AA$5002,AJ226))</f>
        <v/>
      </c>
    </row>
    <row r="227" spans="36:37" ht="28.5" customHeight="1">
      <c r="AJ227" s="7" t="str">
        <f>IF(Data_Summary!Y228&lt;&gt;"Coverage","",IF(Data_Summary!AA228="","",IF(COUNTIFS(Data_Summary!$Y$2:$Y228,"Coverage",Data_Summary!$AA$2:$AA228,Data_Summary!AA228)=1,Data_Summary!AA228,"")))</f>
        <v/>
      </c>
      <c r="AK227" s="7" t="str">
        <f>IF(AJ227="","",COUNTIFS(Data_Summary!$Y$2:$Y$5002,"Coverage",Data_Summary!$AA$2:$AA$5002,AJ227))</f>
        <v/>
      </c>
    </row>
    <row r="228" spans="36:37" ht="25.5" customHeight="1">
      <c r="AJ228" s="7" t="str">
        <f>IF(Data_Summary!Y229&lt;&gt;"Coverage","",IF(Data_Summary!AA229="","",IF(COUNTIFS(Data_Summary!$Y$2:$Y229,"Coverage",Data_Summary!$AA$2:$AA229,Data_Summary!AA229)=1,Data_Summary!AA229,"")))</f>
        <v>Connect for recognition</v>
      </c>
      <c r="AK228" s="7">
        <f>IF(AJ228="","",COUNTIFS(Data_Summary!$Y$2:$Y$5002,"Coverage",Data_Summary!$AA$2:$AA$5002,AJ228))</f>
        <v>1</v>
      </c>
    </row>
    <row r="229" spans="36:37" ht="15" customHeight="1">
      <c r="AJ229" s="7" t="str">
        <f>IF(Data_Summary!Y230&lt;&gt;"Coverage","",IF(Data_Summary!AA230="","",IF(COUNTIFS(Data_Summary!$Y$2:$Y230,"Coverage",Data_Summary!$AA$2:$AA230,Data_Summary!AA230)=1,Data_Summary!AA230,"")))</f>
        <v/>
      </c>
      <c r="AK229" s="7" t="str">
        <f>IF(AJ229="","",COUNTIFS(Data_Summary!$Y$2:$Y$5002,"Coverage",Data_Summary!$AA$2:$AA$5002,AJ229))</f>
        <v/>
      </c>
    </row>
    <row r="230" spans="36:37" ht="15" customHeight="1">
      <c r="AJ230" s="7" t="str">
        <f>IF(Data_Summary!Y231&lt;&gt;"Coverage","",IF(Data_Summary!AA231="","",IF(COUNTIFS(Data_Summary!$Y$2:$Y231,"Coverage",Data_Summary!$AA$2:$AA231,Data_Summary!AA231)=1,Data_Summary!AA231,"")))</f>
        <v/>
      </c>
      <c r="AK230" s="7" t="str">
        <f>IF(AJ230="","",COUNTIFS(Data_Summary!$Y$2:$Y$5002,"Coverage",Data_Summary!$AA$2:$AA$5002,AJ230))</f>
        <v/>
      </c>
    </row>
    <row r="231" spans="36:37" ht="15" customHeight="1">
      <c r="AJ231" s="7" t="str">
        <f>IF(Data_Summary!Y232&lt;&gt;"Coverage","",IF(Data_Summary!AA232="","",IF(COUNTIFS(Data_Summary!$Y$2:$Y232,"Coverage",Data_Summary!$AA$2:$AA232,Data_Summary!AA232)=1,Data_Summary!AA232,"")))</f>
        <v/>
      </c>
      <c r="AK231" s="7" t="str">
        <f>IF(AJ231="","",COUNTIFS(Data_Summary!$Y$2:$Y$5002,"Coverage",Data_Summary!$AA$2:$AA$5002,AJ231))</f>
        <v/>
      </c>
    </row>
    <row r="232" spans="36:37" ht="15" customHeight="1">
      <c r="AJ232" s="7" t="str">
        <f>IF(Data_Summary!Y233&lt;&gt;"Coverage","",IF(Data_Summary!AA233="","",IF(COUNTIFS(Data_Summary!$Y$2:$Y233,"Coverage",Data_Summary!$AA$2:$AA233,Data_Summary!AA233)=1,Data_Summary!AA233,"")))</f>
        <v/>
      </c>
      <c r="AK232" s="7" t="str">
        <f>IF(AJ232="","",COUNTIFS(Data_Summary!$Y$2:$Y$5002,"Coverage",Data_Summary!$AA$2:$AA$5002,AJ232))</f>
        <v/>
      </c>
    </row>
    <row r="233" spans="36:37" ht="15" customHeight="1">
      <c r="AJ233" s="7" t="str">
        <f>IF(Data_Summary!Y234&lt;&gt;"Coverage","",IF(Data_Summary!AA234="","",IF(COUNTIFS(Data_Summary!$Y$2:$Y234,"Coverage",Data_Summary!$AA$2:$AA234,Data_Summary!AA234)=1,Data_Summary!AA234,"")))</f>
        <v/>
      </c>
      <c r="AK233" s="7" t="str">
        <f>IF(AJ233="","",COUNTIFS(Data_Summary!$Y$2:$Y$5002,"Coverage",Data_Summary!$AA$2:$AA$5002,AJ233))</f>
        <v/>
      </c>
    </row>
    <row r="234" spans="36:37" ht="15" customHeight="1">
      <c r="AJ234" s="7" t="str">
        <f>IF(Data_Summary!Y235&lt;&gt;"Coverage","",IF(Data_Summary!AA235="","",IF(COUNTIFS(Data_Summary!$Y$2:$Y235,"Coverage",Data_Summary!$AA$2:$AA235,Data_Summary!AA235)=1,Data_Summary!AA235,"")))</f>
        <v/>
      </c>
      <c r="AK234" s="7" t="str">
        <f>IF(AJ234="","",COUNTIFS(Data_Summary!$Y$2:$Y$5002,"Coverage",Data_Summary!$AA$2:$AA$5002,AJ234))</f>
        <v/>
      </c>
    </row>
    <row r="235" spans="36:37" ht="27" customHeight="1">
      <c r="AJ235" s="7" t="str">
        <f>IF(Data_Summary!Y236&lt;&gt;"Coverage","",IF(Data_Summary!AA236="","",IF(COUNTIFS(Data_Summary!$Y$2:$Y236,"Coverage",Data_Summary!$AA$2:$AA236,Data_Summary!AA236)=1,Data_Summary!AA236,"")))</f>
        <v/>
      </c>
      <c r="AK235" s="7" t="str">
        <f>IF(AJ235="","",COUNTIFS(Data_Summary!$Y$2:$Y$5002,"Coverage",Data_Summary!$AA$2:$AA$5002,AJ235))</f>
        <v/>
      </c>
    </row>
    <row r="236" spans="36:37" ht="15" customHeight="1">
      <c r="AJ236" s="7" t="str">
        <f>IF(Data_Summary!Y237&lt;&gt;"Coverage","",IF(Data_Summary!AA237="","",IF(COUNTIFS(Data_Summary!$Y$2:$Y237,"Coverage",Data_Summary!$AA$2:$AA237,Data_Summary!AA237)=1,Data_Summary!AA237,"")))</f>
        <v>Had one on one with IBU head first time of SNOW Europe</v>
      </c>
      <c r="AK236" s="7">
        <f>IF(AJ236="","",COUNTIFS(Data_Summary!$Y$2:$Y$5002,"Coverage",Data_Summary!$AA$2:$AA$5002,AJ236))</f>
        <v>1</v>
      </c>
    </row>
    <row r="237" spans="36:37" ht="15" customHeight="1">
      <c r="AJ237" s="7" t="str">
        <f>IF(Data_Summary!Y238&lt;&gt;"Coverage","",IF(Data_Summary!AA238="","",IF(COUNTIFS(Data_Summary!$Y$2:$Y238,"Coverage",Data_Summary!$AA$2:$AA238,Data_Summary!AA238)=1,Data_Summary!AA238,"")))</f>
        <v/>
      </c>
      <c r="AK237" s="7" t="str">
        <f>IF(AJ237="","",COUNTIFS(Data_Summary!$Y$2:$Y$5002,"Coverage",Data_Summary!$AA$2:$AA$5002,AJ237))</f>
        <v/>
      </c>
    </row>
    <row r="238" spans="36:37" ht="15" customHeight="1">
      <c r="AJ238" s="7" t="str">
        <f>IF(Data_Summary!Y239&lt;&gt;"Coverage","",IF(Data_Summary!AA239="","",IF(COUNTIFS(Data_Summary!$Y$2:$Y239,"Coverage",Data_Summary!$AA$2:$AA239,Data_Summary!AA239)=1,Data_Summary!AA239,"")))</f>
        <v/>
      </c>
      <c r="AK238" s="7" t="str">
        <f>IF(AJ238="","",COUNTIFS(Data_Summary!$Y$2:$Y$5002,"Coverage",Data_Summary!$AA$2:$AA$5002,AJ238))</f>
        <v/>
      </c>
    </row>
    <row r="239" spans="36:37" ht="15" customHeight="1">
      <c r="AJ239" s="7" t="str">
        <f>IF(Data_Summary!Y240&lt;&gt;"Coverage","",IF(Data_Summary!AA240="","",IF(COUNTIFS(Data_Summary!$Y$2:$Y240,"Coverage",Data_Summary!$AA$2:$AA240,Data_Summary!AA240)=1,Data_Summary!AA240,"")))</f>
        <v/>
      </c>
      <c r="AK239" s="7" t="str">
        <f>IF(AJ239="","",COUNTIFS(Data_Summary!$Y$2:$Y$5002,"Coverage",Data_Summary!$AA$2:$AA$5002,AJ239))</f>
        <v/>
      </c>
    </row>
    <row r="240" spans="36:37" ht="15" customHeight="1">
      <c r="AJ240" s="7" t="str">
        <f>IF(Data_Summary!Y241&lt;&gt;"Coverage","",IF(Data_Summary!AA241="","",IF(COUNTIFS(Data_Summary!$Y$2:$Y241,"Coverage",Data_Summary!$AA$2:$AA241,Data_Summary!AA241)=1,Data_Summary!AA241,"")))</f>
        <v/>
      </c>
      <c r="AK240" s="7" t="str">
        <f>IF(AJ240="","",COUNTIFS(Data_Summary!$Y$2:$Y$5002,"Coverage",Data_Summary!$AA$2:$AA$5002,AJ240))</f>
        <v/>
      </c>
    </row>
    <row r="241" spans="10:37" ht="15" customHeight="1">
      <c r="AJ241" s="7" t="str">
        <f>IF(Data_Summary!Y242&lt;&gt;"Coverage","",IF(Data_Summary!AA242="","",IF(COUNTIFS(Data_Summary!$Y$2:$Y242,"Coverage",Data_Summary!$AA$2:$AA242,Data_Summary!AA242)=1,Data_Summary!AA242,"")))</f>
        <v/>
      </c>
      <c r="AK241" s="7" t="str">
        <f>IF(AJ241="","",COUNTIFS(Data_Summary!$Y$2:$Y$5002,"Coverage",Data_Summary!$AA$2:$AA$5002,AJ241))</f>
        <v/>
      </c>
    </row>
    <row r="242" spans="10:37" ht="15" customHeight="1">
      <c r="AJ242" s="7" t="str">
        <f>IF(Data_Summary!Y243&lt;&gt;"Coverage","",IF(Data_Summary!AA243="","",IF(COUNTIFS(Data_Summary!$Y$2:$Y243,"Coverage",Data_Summary!$AA$2:$AA243,Data_Summary!AA243)=1,Data_Summary!AA243,"")))</f>
        <v/>
      </c>
      <c r="AK242" s="7" t="str">
        <f>IF(AJ242="","",COUNTIFS(Data_Summary!$Y$2:$Y$5002,"Coverage",Data_Summary!$AA$2:$AA$5002,AJ242))</f>
        <v/>
      </c>
    </row>
    <row r="243" spans="10:37" ht="15" customHeight="1">
      <c r="AJ243" s="7" t="str">
        <f>IF(Data_Summary!Y244&lt;&gt;"Coverage","",IF(Data_Summary!AA244="","",IF(COUNTIFS(Data_Summary!$Y$2:$Y244,"Coverage",Data_Summary!$AA$2:$AA244,Data_Summary!AA244)=1,Data_Summary!AA244,"")))</f>
        <v/>
      </c>
      <c r="AK243" s="7" t="str">
        <f>IF(AJ243="","",COUNTIFS(Data_Summary!$Y$2:$Y$5002,"Coverage",Data_Summary!$AA$2:$AA$5002,AJ243))</f>
        <v/>
      </c>
    </row>
    <row r="244" spans="10:37" ht="15" customHeight="1">
      <c r="AJ244" s="7" t="str">
        <f>IF(Data_Summary!Y245&lt;&gt;"Coverage","",IF(Data_Summary!AA245="","",IF(COUNTIFS(Data_Summary!$Y$2:$Y245,"Coverage",Data_Summary!$AA$2:$AA245,Data_Summary!AA245)=1,Data_Summary!AA245,"")))</f>
        <v/>
      </c>
      <c r="AK244" s="7" t="str">
        <f>IF(AJ244="","",COUNTIFS(Data_Summary!$Y$2:$Y$5002,"Coverage",Data_Summary!$AA$2:$AA$5002,AJ244))</f>
        <v/>
      </c>
    </row>
    <row r="245" spans="10:37" ht="12.75" customHeight="1">
      <c r="AJ245" s="7" t="str">
        <f>IF(Data_Summary!Y246&lt;&gt;"Coverage","",IF(Data_Summary!AA246="","",IF(COUNTIFS(Data_Summary!$Y$2:$Y246,"Coverage",Data_Summary!$AA$2:$AA246,Data_Summary!AA246)=1,Data_Summary!AA246,"")))</f>
        <v/>
      </c>
      <c r="AK245" s="7" t="str">
        <f>IF(AJ245="","",COUNTIFS(Data_Summary!$Y$2:$Y$5002,"Coverage",Data_Summary!$AA$2:$AA$5002,AJ245))</f>
        <v/>
      </c>
    </row>
    <row r="246" spans="10:37" ht="12.75" customHeight="1">
      <c r="AJ246" s="7" t="str">
        <f>IF(Data_Summary!Y247&lt;&gt;"Coverage","",IF(Data_Summary!AA247="","",IF(COUNTIFS(Data_Summary!$Y$2:$Y247,"Coverage",Data_Summary!$AA$2:$AA247,Data_Summary!AA247)=1,Data_Summary!AA247,"")))</f>
        <v/>
      </c>
      <c r="AK246" s="7" t="str">
        <f>IF(AJ246="","",COUNTIFS(Data_Summary!$Y$2:$Y$5002,"Coverage",Data_Summary!$AA$2:$AA$5002,AJ246))</f>
        <v/>
      </c>
    </row>
    <row r="247" spans="10:37" ht="19.5" customHeight="1">
      <c r="AJ247" s="7" t="str">
        <f>IF(Data_Summary!Y248&lt;&gt;"Coverage","",IF(Data_Summary!AA248="","",IF(COUNTIFS(Data_Summary!$Y$2:$Y248,"Coverage",Data_Summary!$AA$2:$AA248,Data_Summary!AA248)=1,Data_Summary!AA248,"")))</f>
        <v/>
      </c>
      <c r="AK247" s="7" t="str">
        <f>IF(AJ247="","",COUNTIFS(Data_Summary!$Y$2:$Y$5002,"Coverage",Data_Summary!$AA$2:$AA$5002,AJ247))</f>
        <v/>
      </c>
    </row>
    <row r="248" spans="10:37" ht="15" customHeight="1">
      <c r="AJ248" s="7" t="str">
        <f>IF(Data_Summary!Y249&lt;&gt;"Coverage","",IF(Data_Summary!AA249="","",IF(COUNTIFS(Data_Summary!$Y$2:$Y249,"Coverage",Data_Summary!$AA$2:$AA249,Data_Summary!AA249)=1,Data_Summary!AA249,"")))</f>
        <v/>
      </c>
      <c r="AK248" s="7" t="str">
        <f>IF(AJ248="","",COUNTIFS(Data_Summary!$Y$2:$Y$5002,"Coverage",Data_Summary!$AA$2:$AA$5002,AJ248))</f>
        <v/>
      </c>
    </row>
    <row r="249" spans="10:37" ht="15" customHeight="1">
      <c r="AJ249" s="7" t="str">
        <f>IF(Data_Summary!Y250&lt;&gt;"Coverage","",IF(Data_Summary!AA250="","",IF(COUNTIFS(Data_Summary!$Y$2:$Y250,"Coverage",Data_Summary!$AA$2:$AA250,Data_Summary!AA250)=1,Data_Summary!AA250,"")))</f>
        <v/>
      </c>
      <c r="AK249" s="7" t="str">
        <f>IF(AJ249="","",COUNTIFS(Data_Summary!$Y$2:$Y$5002,"Coverage",Data_Summary!$AA$2:$AA$5002,AJ249))</f>
        <v/>
      </c>
    </row>
    <row r="250" spans="10:37" ht="34.5" customHeight="1">
      <c r="J250" s="35">
        <f t="array" ref="J250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1),"")</f>
        <v>100002</v>
      </c>
      <c r="AJ250" s="7" t="str">
        <f>IF(Data_Summary!Y251&lt;&gt;"Coverage","",IF(Data_Summary!AA251="","",IF(COUNTIFS(Data_Summary!$Y$2:$Y251,"Coverage",Data_Summary!$AA$2:$AA251,Data_Summary!AA251)=1,Data_Summary!AA251,"")))</f>
        <v/>
      </c>
      <c r="AK250" s="7" t="str">
        <f>IF(AJ250="","",COUNTIFS(Data_Summary!$Y$2:$Y$5002,"Coverage",Data_Summary!$AA$2:$AA$5002,AJ250))</f>
        <v/>
      </c>
    </row>
    <row r="251" spans="10:37" ht="34.5" customHeight="1">
      <c r="J251" s="35">
        <f t="array" ref="J251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2),"")</f>
        <v>100066</v>
      </c>
      <c r="AJ251" s="7" t="str">
        <f>IF(Data_Summary!Y252&lt;&gt;"Coverage","",IF(Data_Summary!AA252="","",IF(COUNTIFS(Data_Summary!$Y$2:$Y252,"Coverage",Data_Summary!$AA$2:$AA252,Data_Summary!AA252)=1,Data_Summary!AA252,"")))</f>
        <v/>
      </c>
      <c r="AK251" s="7" t="str">
        <f>IF(AJ251="","",COUNTIFS(Data_Summary!$Y$2:$Y$5002,"Coverage",Data_Summary!$AA$2:$AA$5002,AJ251))</f>
        <v/>
      </c>
    </row>
    <row r="252" spans="10:37" ht="34.5" customHeight="1">
      <c r="J252" s="35">
        <f t="array" ref="J252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3),"")</f>
        <v>100070</v>
      </c>
      <c r="AJ252" s="7" t="str">
        <f>IF(Data_Summary!Y253&lt;&gt;"Coverage","",IF(Data_Summary!AA253="","",IF(COUNTIFS(Data_Summary!$Y$2:$Y253,"Coverage",Data_Summary!$AA$2:$AA253,Data_Summary!AA253)=1,Data_Summary!AA253,"")))</f>
        <v/>
      </c>
      <c r="AK252" s="7" t="str">
        <f>IF(AJ252="","",COUNTIFS(Data_Summary!$Y$2:$Y$5002,"Coverage",Data_Summary!$AA$2:$AA$5002,AJ252))</f>
        <v/>
      </c>
    </row>
    <row r="253" spans="10:37" ht="34.5" customHeight="1">
      <c r="J253" s="35">
        <f t="array" ref="J253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4),"")</f>
        <v>100073</v>
      </c>
      <c r="AJ253" s="7" t="str">
        <f>IF(Data_Summary!Y254&lt;&gt;"Coverage","",IF(Data_Summary!AA254="","",IF(COUNTIFS(Data_Summary!$Y$2:$Y254,"Coverage",Data_Summary!$AA$2:$AA254,Data_Summary!AA254)=1,Data_Summary!AA254,"")))</f>
        <v/>
      </c>
      <c r="AK253" s="7" t="str">
        <f>IF(AJ253="","",COUNTIFS(Data_Summary!$Y$2:$Y$5002,"Coverage",Data_Summary!$AA$2:$AA$5002,AJ253))</f>
        <v/>
      </c>
    </row>
    <row r="254" spans="10:37" ht="34.5" customHeight="1">
      <c r="J254" s="35">
        <f t="array" ref="J254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5),"")</f>
        <v>100075</v>
      </c>
      <c r="AJ254" s="7" t="str">
        <f>IF(Data_Summary!Y255&lt;&gt;"Coverage","",IF(Data_Summary!AA255="","",IF(COUNTIFS(Data_Summary!$Y$2:$Y255,"Coverage",Data_Summary!$AA$2:$AA255,Data_Summary!AA255)=1,Data_Summary!AA255,"")))</f>
        <v/>
      </c>
      <c r="AK254" s="7" t="str">
        <f>IF(AJ254="","",COUNTIFS(Data_Summary!$Y$2:$Y$5002,"Coverage",Data_Summary!$AA$2:$AA$5002,AJ254))</f>
        <v/>
      </c>
    </row>
    <row r="255" spans="10:37" ht="34.5" customHeight="1">
      <c r="J255" s="35">
        <f t="array" ref="J255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6),"")</f>
        <v>100081</v>
      </c>
      <c r="AJ255" s="7" t="str">
        <f>IF(Data_Summary!Y256&lt;&gt;"Coverage","",IF(Data_Summary!AA256="","",IF(COUNTIFS(Data_Summary!$Y$2:$Y256,"Coverage",Data_Summary!$AA$2:$AA256,Data_Summary!AA256)=1,Data_Summary!AA256,"")))</f>
        <v/>
      </c>
      <c r="AK255" s="7" t="str">
        <f>IF(AJ255="","",COUNTIFS(Data_Summary!$Y$2:$Y$5002,"Coverage",Data_Summary!$AA$2:$AA$5002,AJ255))</f>
        <v/>
      </c>
    </row>
    <row r="256" spans="10:37" ht="34.5" customHeight="1">
      <c r="J256" s="35">
        <f t="array" ref="J256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7),"")</f>
        <v>100086</v>
      </c>
      <c r="AJ256" s="7" t="str">
        <f>IF(Data_Summary!Y257&lt;&gt;"Coverage","",IF(Data_Summary!AA257="","",IF(COUNTIFS(Data_Summary!$Y$2:$Y257,"Coverage",Data_Summary!$AA$2:$AA257,Data_Summary!AA257)=1,Data_Summary!AA257,"")))</f>
        <v>Infrastructure / Workplace Enablement</v>
      </c>
      <c r="AK256" s="7">
        <f>IF(AJ256="","",COUNTIFS(Data_Summary!$Y$2:$Y$5002,"Coverage",Data_Summary!$AA$2:$AA$5002,AJ256))</f>
        <v>1</v>
      </c>
    </row>
    <row r="257" spans="1:37" ht="34.5" customHeight="1">
      <c r="J257" s="35">
        <f t="array" ref="J257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8),"")</f>
        <v>200015</v>
      </c>
      <c r="AJ257" s="7" t="str">
        <f>IF(Data_Summary!Y258&lt;&gt;"Coverage","",IF(Data_Summary!AA258="","",IF(COUNTIFS(Data_Summary!$Y$2:$Y258,"Coverage",Data_Summary!$AA$2:$AA258,Data_Summary!AA258)=1,Data_Summary!AA258,"")))</f>
        <v/>
      </c>
      <c r="AK257" s="7" t="str">
        <f>IF(AJ257="","",COUNTIFS(Data_Summary!$Y$2:$Y$5002,"Coverage",Data_Summary!$AA$2:$AA$5002,AJ257))</f>
        <v/>
      </c>
    </row>
    <row r="258" spans="1:37" ht="34.5" customHeight="1">
      <c r="J258" s="35">
        <f t="array" ref="J258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9),"")</f>
        <v>200019</v>
      </c>
      <c r="AJ258" s="7" t="str">
        <f>IF(Data_Summary!Y259&lt;&gt;"Coverage","",IF(Data_Summary!AA259="","",IF(COUNTIFS(Data_Summary!$Y$2:$Y259,"Coverage",Data_Summary!$AA$2:$AA259,Data_Summary!AA259)=1,Data_Summary!AA259,"")))</f>
        <v/>
      </c>
      <c r="AK258" s="7" t="str">
        <f>IF(AJ258="","",COUNTIFS(Data_Summary!$Y$2:$Y$5002,"Coverage",Data_Summary!$AA$2:$AA$5002,AJ258))</f>
        <v/>
      </c>
    </row>
    <row r="259" spans="1:37" ht="34.5" customHeight="1">
      <c r="J259" s="35">
        <f t="array" ref="J259">IFERROR(SMALL(IF(((Data_Insight!$W$2:$W$5001="Open")+(Data_Insight!$W$2:$W$5001="In-progress")),(IF((Data_Insight!$V$2:$V$5001="High")*(Data_Insight!$W$2:$W$5001="Open"),1,IF((Data_Insight!$V$2:$V$5001="High")*(Data_Insight!$W$2:$W$5001="In-progress"),2,IF((Data_Insight!$V$2:$V$5001="Moderate")*(Data_Insight!$W$2:$W$5001="Open"),3,IF((Data_Insight!$V$2:$V$5001="Moderate")*(Data_Insight!$W$2:$W$5001="In-progress"),4,IF((Data_Insight!$V$2:$V$5001="Low")*(Data_Insight!$W$2:$W$5001="Open"),5,IF((Data_Insight!$V$2:$V$5001="Low")*(Data_Insight!$W$2:$W$5001="In-progress"),6,9999)))))))*100000+ROW(Data_Insight!$V$2:$V$5001)),10),"")</f>
        <v>200023</v>
      </c>
      <c r="AJ259" s="7" t="str">
        <f>IF(Data_Summary!Y260&lt;&gt;"Coverage","",IF(Data_Summary!AA260="","",IF(COUNTIFS(Data_Summary!$Y$2:$Y260,"Coverage",Data_Summary!$AA$2:$AA260,Data_Summary!AA260)=1,Data_Summary!AA260,"")))</f>
        <v/>
      </c>
      <c r="AK259" s="7" t="str">
        <f>IF(AJ259="","",COUNTIFS(Data_Summary!$Y$2:$Y$5002,"Coverage",Data_Summary!$AA$2:$AA$5002,AJ259))</f>
        <v/>
      </c>
    </row>
    <row r="260" spans="1:37" ht="12.75" customHeight="1">
      <c r="AJ260" s="7" t="str">
        <f>IF(Data_Summary!Y261&lt;&gt;"Coverage","",IF(Data_Summary!AA261="","",IF(COUNTIFS(Data_Summary!$Y$2:$Y261,"Coverage",Data_Summary!$AA$2:$AA261,Data_Summary!AA261)=1,Data_Summary!AA261,"")))</f>
        <v/>
      </c>
      <c r="AK260" s="7" t="str">
        <f>IF(AJ260="","",COUNTIFS(Data_Summary!$Y$2:$Y$5002,"Coverage",Data_Summary!$AA$2:$AA$5002,AJ260))</f>
        <v/>
      </c>
    </row>
    <row r="261" spans="1:37" ht="24.75" customHeight="1">
      <c r="A261" s="194" t="s">
        <v>992</v>
      </c>
      <c r="B261" s="194"/>
      <c r="C261" s="194"/>
      <c r="D261" s="194"/>
      <c r="E261" s="194"/>
      <c r="AJ261" s="7" t="str">
        <f>IF(Data_Summary!Y262&lt;&gt;"Coverage","",IF(Data_Summary!AA262="","",IF(COUNTIFS(Data_Summary!$Y$2:$Y262,"Coverage",Data_Summary!$AA$2:$AA262,Data_Summary!AA262)=1,Data_Summary!AA262,"")))</f>
        <v/>
      </c>
      <c r="AK261" s="7" t="str">
        <f>IF(AJ261="","",COUNTIFS(Data_Summary!$Y$2:$Y$5002,"Coverage",Data_Summary!$AA$2:$AA$5002,AJ261))</f>
        <v/>
      </c>
    </row>
    <row r="262" spans="1:37" ht="12.75" customHeight="1">
      <c r="AJ262" s="7" t="str">
        <f>IF(Data_Summary!Y263&lt;&gt;"Coverage","",IF(Data_Summary!AA263="","",IF(COUNTIFS(Data_Summary!$Y$2:$Y263,"Coverage",Data_Summary!$AA$2:$AA263,Data_Summary!AA263)=1,Data_Summary!AA263,"")))</f>
        <v/>
      </c>
      <c r="AK262" s="7" t="str">
        <f>IF(AJ262="","",COUNTIFS(Data_Summary!$Y$2:$Y$5002,"Coverage",Data_Summary!$AA$2:$AA$5002,AJ262))</f>
        <v/>
      </c>
    </row>
    <row r="263" spans="1:37" ht="15" customHeight="1">
      <c r="A263" s="36" t="s">
        <v>99</v>
      </c>
      <c r="B263" s="36" t="s">
        <v>116</v>
      </c>
      <c r="C263" s="36" t="s">
        <v>151</v>
      </c>
      <c r="D263" s="36" t="s">
        <v>129</v>
      </c>
      <c r="E263" s="36" t="s">
        <v>943</v>
      </c>
      <c r="AJ263" s="7" t="str">
        <f>IF(Data_Summary!Y264&lt;&gt;"Coverage","",IF(Data_Summary!AA264="","",IF(COUNTIFS(Data_Summary!$Y$2:$Y264,"Coverage",Data_Summary!$AA$2:$AA264,Data_Summary!AA264)=1,Data_Summary!AA264,"")))</f>
        <v/>
      </c>
      <c r="AK263" s="7" t="str">
        <f>IF(AJ263="","",COUNTIFS(Data_Summary!$Y$2:$Y$5002,"Coverage",Data_Summary!$AA$2:$AA$5002,AJ263))</f>
        <v/>
      </c>
    </row>
    <row r="264" spans="1:37" ht="15" customHeight="1">
      <c r="A264" s="37" t="s">
        <v>117</v>
      </c>
      <c r="B264" s="38">
        <f>COUNTIFS(InsightData[Status],A264,InsightData[Severity],"High")</f>
        <v>7</v>
      </c>
      <c r="C264" s="38">
        <f>COUNTIFS(InsightData[Status],A264,InsightData[Severity],"Moderate")</f>
        <v>8</v>
      </c>
      <c r="D264" s="38">
        <f>COUNTIFS(InsightData[Status],A264,InsightData[Severity],"Low")</f>
        <v>0</v>
      </c>
      <c r="E264" s="38">
        <f>SUM(B264:D264)</f>
        <v>15</v>
      </c>
      <c r="AJ264" s="7" t="str">
        <f>IF(Data_Summary!Y265&lt;&gt;"Coverage","",IF(Data_Summary!AA265="","",IF(COUNTIFS(Data_Summary!$Y$2:$Y265,"Coverage",Data_Summary!$AA$2:$AA265,Data_Summary!AA265)=1,Data_Summary!AA265,"")))</f>
        <v/>
      </c>
      <c r="AK264" s="7" t="str">
        <f>IF(AJ264="","",COUNTIFS(Data_Summary!$Y$2:$Y$5002,"Coverage",Data_Summary!$AA$2:$AA$5002,AJ264))</f>
        <v/>
      </c>
    </row>
    <row r="265" spans="1:37" ht="15" customHeight="1">
      <c r="A265" s="39" t="s">
        <v>169</v>
      </c>
      <c r="B265" s="40">
        <f>COUNTIFS(InsightData[Status],A265,InsightData[Severity],"High")</f>
        <v>12</v>
      </c>
      <c r="C265" s="40">
        <f>COUNTIFS(InsightData[Status],A265,InsightData[Severity],"Moderate")</f>
        <v>10</v>
      </c>
      <c r="D265" s="40">
        <f>COUNTIFS(InsightData[Status],A265,InsightData[Severity],"Low")</f>
        <v>4</v>
      </c>
      <c r="E265" s="40">
        <f>SUM(B265:D265)</f>
        <v>26</v>
      </c>
      <c r="AJ265" s="7" t="str">
        <f>IF(Data_Summary!Y266&lt;&gt;"Coverage","",IF(Data_Summary!AA266="","",IF(COUNTIFS(Data_Summary!$Y$2:$Y266,"Coverage",Data_Summary!$AA$2:$AA266,Data_Summary!AA266)=1,Data_Summary!AA266,"")))</f>
        <v/>
      </c>
      <c r="AK265" s="7" t="str">
        <f>IF(AJ265="","",COUNTIFS(Data_Summary!$Y$2:$Y$5002,"Coverage",Data_Summary!$AA$2:$AA$5002,AJ265))</f>
        <v/>
      </c>
    </row>
    <row r="266" spans="1:37" ht="15" customHeight="1">
      <c r="A266" s="41" t="s">
        <v>130</v>
      </c>
      <c r="B266" s="38">
        <f>COUNTIFS(InsightData[Status],A266,InsightData[Severity],"High")</f>
        <v>14</v>
      </c>
      <c r="C266" s="38">
        <f>COUNTIFS(InsightData[Status],A266,InsightData[Severity],"Moderate")</f>
        <v>56</v>
      </c>
      <c r="D266" s="38">
        <f>COUNTIFS(InsightData[Status],A266,InsightData[Severity],"Low")</f>
        <v>54</v>
      </c>
      <c r="E266" s="38">
        <f>SUM(B266:D266)</f>
        <v>124</v>
      </c>
      <c r="AJ266" s="7" t="str">
        <f>IF(Data_Summary!Y267&lt;&gt;"Coverage","",IF(Data_Summary!AA267="","",IF(COUNTIFS(Data_Summary!$Y$2:$Y267,"Coverage",Data_Summary!$AA$2:$AA267,Data_Summary!AA267)=1,Data_Summary!AA267,"")))</f>
        <v/>
      </c>
      <c r="AK266" s="7" t="str">
        <f>IF(AJ266="","",COUNTIFS(Data_Summary!$Y$2:$Y$5002,"Coverage",Data_Summary!$AA$2:$AA$5002,AJ266))</f>
        <v/>
      </c>
    </row>
    <row r="267" spans="1:37" ht="12.75" customHeight="1">
      <c r="AJ267" s="7" t="str">
        <f>IF(Data_Summary!Y268&lt;&gt;"Coverage","",IF(Data_Summary!AA268="","",IF(COUNTIFS(Data_Summary!$Y$2:$Y268,"Coverage",Data_Summary!$AA$2:$AA268,Data_Summary!AA268)=1,Data_Summary!AA268,"")))</f>
        <v/>
      </c>
      <c r="AK267" s="7" t="str">
        <f>IF(AJ267="","",COUNTIFS(Data_Summary!$Y$2:$Y$5002,"Coverage",Data_Summary!$AA$2:$AA$5002,AJ267))</f>
        <v/>
      </c>
    </row>
    <row r="268" spans="1:37" ht="12.75" customHeight="1">
      <c r="A268" s="195" t="s">
        <v>993</v>
      </c>
      <c r="B268" s="195"/>
      <c r="C268" s="195"/>
      <c r="D268" s="195"/>
      <c r="E268" s="195"/>
      <c r="F268" s="195"/>
      <c r="G268" s="195"/>
      <c r="H268" s="195"/>
      <c r="AJ268" s="7" t="str">
        <f>IF(Data_Summary!Y269&lt;&gt;"Coverage","",IF(Data_Summary!AA269="","",IF(COUNTIFS(Data_Summary!$Y$2:$Y269,"Coverage",Data_Summary!$AA$2:$AA269,Data_Summary!AA269)=1,Data_Summary!AA269,"")))</f>
        <v/>
      </c>
      <c r="AK268" s="7" t="str">
        <f>IF(AJ268="","",COUNTIFS(Data_Summary!$Y$2:$Y$5002,"Coverage",Data_Summary!$AA$2:$AA$5002,AJ268))</f>
        <v/>
      </c>
    </row>
    <row r="269" spans="1:37" ht="12.75" customHeight="1">
      <c r="A269" s="196"/>
      <c r="B269" s="196"/>
      <c r="C269" s="196"/>
      <c r="D269" s="196"/>
      <c r="E269" s="196"/>
      <c r="F269" s="196"/>
      <c r="G269" s="196"/>
      <c r="H269" s="196"/>
      <c r="AJ269" s="7" t="str">
        <f>IF(Data_Summary!Y270&lt;&gt;"Coverage","",IF(Data_Summary!AA270="","",IF(COUNTIFS(Data_Summary!$Y$2:$Y270,"Coverage",Data_Summary!$AA$2:$AA270,Data_Summary!AA270)=1,Data_Summary!AA270,"")))</f>
        <v>Inconsistent Guidance Across Locations/units Creates Frustra</v>
      </c>
      <c r="AK269" s="7">
        <f>IF(AJ269="","",COUNTIFS(Data_Summary!$Y$2:$Y$5002,"Coverage",Data_Summary!$AA$2:$AA$5002,AJ269))</f>
        <v>1</v>
      </c>
    </row>
    <row r="270" spans="1:37" ht="12.75" customHeight="1">
      <c r="A270" s="42" t="s">
        <v>994</v>
      </c>
      <c r="B270" s="42" t="s">
        <v>0</v>
      </c>
      <c r="C270" s="42" t="s">
        <v>5</v>
      </c>
      <c r="D270" s="42" t="s">
        <v>14</v>
      </c>
      <c r="E270" s="42" t="s">
        <v>995</v>
      </c>
      <c r="F270" s="42" t="s">
        <v>98</v>
      </c>
      <c r="G270" s="42" t="s">
        <v>99</v>
      </c>
      <c r="H270" s="42" t="s">
        <v>996</v>
      </c>
      <c r="AJ270" s="7" t="str">
        <f>IF(Data_Summary!Y271&lt;&gt;"Coverage","",IF(Data_Summary!AA271="","",IF(COUNTIFS(Data_Summary!$Y$2:$Y271,"Coverage",Data_Summary!$AA$2:$AA271,Data_Summary!AA271)=1,Data_Summary!AA271,"")))</f>
        <v/>
      </c>
      <c r="AK270" s="7" t="str">
        <f>IF(AJ270="","",COUNTIFS(Data_Summary!$Y$2:$Y$5002,"Coverage",Data_Summary!$AA$2:$AA$5002,AJ270))</f>
        <v/>
      </c>
    </row>
    <row r="271" spans="1:37" ht="12.75" customHeight="1">
      <c r="A271" s="43">
        <f>IF(J250="","",1)</f>
        <v>1</v>
      </c>
      <c r="B271" s="44">
        <f>IFERROR(IF(J250="","",INDEX(Data_Insight!$A:$A,MOD(J250,100000))),"—")</f>
        <v>1</v>
      </c>
      <c r="C271" s="45" t="str">
        <f>IFERROR(IF(J250="","",INDEX(Data_Insight!$F:$F,MOD(J250,100000))),"—")</f>
        <v>Preeti Verma</v>
      </c>
      <c r="D271" s="45">
        <f>IFERROR(IF(J250="","",INDEX(Data_Insight!$I:$I,MOD(J250,100000))),"—")</f>
        <v>0</v>
      </c>
      <c r="E271" s="45" t="str">
        <f>IFERROR(IF(J250="","",INDEX(Data_Insight!$X:$X,MOD(J250,100000))),"—")</f>
        <v>New Joiner Connect (60 Days)</v>
      </c>
      <c r="F271" s="46" t="str">
        <f>IFERROR(IF(J250="","",INDEX(Data_Insight!$V:$V,MOD(J250,100000))),"—")</f>
        <v>High</v>
      </c>
      <c r="G271" s="47" t="str">
        <f>IFERROR(IF(J250="","",INDEX(Data_Insight!$W:$W,MOD(J250,100000))),"—")</f>
        <v>Open</v>
      </c>
      <c r="H271" s="7" t="str">
        <f>IF(J250="","—",IFERROR(IF(INDEX(Data_Insight!$U:$U,MOD(J250,100000))="",IF(INDEX(Data_Insight!$AG:$AG,MOD(J250,100000))="","—",INDEX(Data_Insight!$AG:$AG,MOD(J250,100000))),INDEX(Data_Insight!$U:$U,MOD(J250,100000))),"—"))</f>
        <v>Include in team rituals (scrum, meetings, discussions)</v>
      </c>
      <c r="AJ271" s="7" t="str">
        <f>IF(Data_Summary!Y272&lt;&gt;"Coverage","",IF(Data_Summary!AA272="","",IF(COUNTIFS(Data_Summary!$Y$2:$Y272,"Coverage",Data_Summary!$AA$2:$AA272,Data_Summary!AA272)=1,Data_Summary!AA272,"")))</f>
        <v/>
      </c>
      <c r="AK271" s="7" t="str">
        <f>IF(AJ271="","",COUNTIFS(Data_Summary!$Y$2:$Y$5002,"Coverage",Data_Summary!$AA$2:$AA$5002,AJ271))</f>
        <v/>
      </c>
    </row>
    <row r="272" spans="1:37" ht="12.75" customHeight="1">
      <c r="A272" s="23">
        <f>IF(J251="","",2)</f>
        <v>2</v>
      </c>
      <c r="B272" s="48">
        <f>IFERROR(IF(J251="","",INDEX(Data_Insight!$A:$A,MOD(J251,100000))),"—")</f>
        <v>65</v>
      </c>
      <c r="C272" s="49" t="str">
        <f>IFERROR(IF(J251="","",INDEX(Data_Insight!$F:$F,MOD(J251,100000))),"—")</f>
        <v>Kavita Sadhu</v>
      </c>
      <c r="D272" s="49" t="str">
        <f>IFERROR(IF(J251="","",INDEX(Data_Insight!$I:$I,MOD(J251,100000))),"—")</f>
        <v>CIS Service Line</v>
      </c>
      <c r="E272" s="49" t="str">
        <f>IFERROR(IF(J251="","",INDEX(Data_Insight!$X:$X,MOD(J251,100000))),"—")</f>
        <v>HR Connect (General)</v>
      </c>
      <c r="F272" s="50" t="str">
        <f>IFERROR(IF(J251="","",INDEX(Data_Insight!$V:$V,MOD(J251,100000))),"—")</f>
        <v>High</v>
      </c>
      <c r="G272" s="51" t="str">
        <f>IFERROR(IF(J251="","",INDEX(Data_Insight!$W:$W,MOD(J251,100000))),"—")</f>
        <v>Open</v>
      </c>
      <c r="H272" s="49" t="str">
        <f>IF(J251="","—",IFERROR(IF(INDEX(Data_Insight!$U:$U,MOD(J251,100000))="",IF(INDEX(Data_Insight!$AG:$AG,MOD(J251,100000))="","—",INDEX(Data_Insight!$AG:$AG,MOD(J251,100000))),INDEX(Data_Insight!$U:$U,MOD(J251,100000))),"—"))</f>
        <v>Proactive inputs from HR</v>
      </c>
      <c r="AJ272" s="7" t="str">
        <f>IF(Data_Summary!Y273&lt;&gt;"Coverage","",IF(Data_Summary!AA273="","",IF(COUNTIFS(Data_Summary!$Y$2:$Y273,"Coverage",Data_Summary!$AA$2:$AA273,Data_Summary!AA273)=1,Data_Summary!AA273,"")))</f>
        <v/>
      </c>
      <c r="AK272" s="7" t="str">
        <f>IF(AJ272="","",COUNTIFS(Data_Summary!$Y$2:$Y$5002,"Coverage",Data_Summary!$AA$2:$AA$5002,AJ272))</f>
        <v/>
      </c>
    </row>
    <row r="273" spans="1:37" ht="25.5" customHeight="1">
      <c r="A273" s="43">
        <f>IF(J252="","",3)</f>
        <v>3</v>
      </c>
      <c r="B273" s="44">
        <f>IFERROR(IF(J252="","",INDEX(Data_Insight!$A:$A,MOD(J252,100000))),"—")</f>
        <v>69</v>
      </c>
      <c r="C273" s="45" t="str">
        <f>IFERROR(IF(J252="","",INDEX(Data_Insight!$F:$F,MOD(J252,100000))),"—")</f>
        <v>Poushali Ghosh</v>
      </c>
      <c r="D273" s="45" t="str">
        <f>IFERROR(IF(J252="","",INDEX(Data_Insight!$I:$I,MOD(J252,100000))),"—")</f>
        <v>DIG Vertical</v>
      </c>
      <c r="E273" s="45" t="str">
        <f>IFERROR(IF(J252="","",INDEX(Data_Insight!$X:$X,MOD(J252,100000))),"—")</f>
        <v>ELTP Connect - Practice Level</v>
      </c>
      <c r="F273" s="46" t="str">
        <f>IFERROR(IF(J252="","",INDEX(Data_Insight!$V:$V,MOD(J252,100000))),"—")</f>
        <v>High</v>
      </c>
      <c r="G273" s="47" t="str">
        <f>IFERROR(IF(J252="","",INDEX(Data_Insight!$W:$W,MOD(J252,100000))),"—")</f>
        <v>Open</v>
      </c>
      <c r="H273" s="45" t="str">
        <f>IF(J252="","—",IFERROR(IF(INDEX(Data_Insight!$U:$U,MOD(J252,100000))="",IF(INDEX(Data_Insight!$AG:$AG,MOD(J252,100000))="","—",INDEX(Data_Insight!$AG:$AG,MOD(J252,100000))),INDEX(Data_Insight!$U:$U,MOD(J252,100000))),"—"))</f>
        <v>Clarity on Performance cycle</v>
      </c>
      <c r="AJ273" s="7" t="str">
        <f>IF(Data_Summary!Y274&lt;&gt;"Coverage","",IF(Data_Summary!AA274="","",IF(COUNTIFS(Data_Summary!$Y$2:$Y274,"Coverage",Data_Summary!$AA$2:$AA274,Data_Summary!AA274)=1,Data_Summary!AA274,"")))</f>
        <v/>
      </c>
      <c r="AK273" s="7" t="str">
        <f>IF(AJ273="","",COUNTIFS(Data_Summary!$Y$2:$Y$5002,"Coverage",Data_Summary!$AA$2:$AA$5002,AJ273))</f>
        <v/>
      </c>
    </row>
    <row r="274" spans="1:37" ht="63.75" customHeight="1">
      <c r="A274" s="23">
        <f>IF(J253="","",4)</f>
        <v>4</v>
      </c>
      <c r="B274" s="48">
        <f>IFERROR(IF(J253="","",INDEX(Data_Insight!$A:$A,MOD(J253,100000))),"—")</f>
        <v>72</v>
      </c>
      <c r="C274" s="49" t="str">
        <f>IFERROR(IF(J253="","",INDEX(Data_Insight!$F:$F,MOD(J253,100000))),"—")</f>
        <v>Poushali Ghosh</v>
      </c>
      <c r="D274" s="49" t="str">
        <f>IFERROR(IF(J253="","",INDEX(Data_Insight!$I:$I,MOD(J253,100000))),"—")</f>
        <v>DIG Vertical</v>
      </c>
      <c r="E274" s="49" t="str">
        <f>IFERROR(IF(J253="","",INDEX(Data_Insight!$X:$X,MOD(J253,100000))),"—")</f>
        <v>Top Talent Connect (One to One) (Exclusives/Ascend/WLP/Mentor))</v>
      </c>
      <c r="F274" s="50" t="str">
        <f>IFERROR(IF(J253="","",INDEX(Data_Insight!$V:$V,MOD(J253,100000))),"—")</f>
        <v>High</v>
      </c>
      <c r="G274" s="51" t="str">
        <f>IFERROR(IF(J253="","",INDEX(Data_Insight!$W:$W,MOD(J253,100000))),"—")</f>
        <v>Open</v>
      </c>
      <c r="H274" s="49" t="str">
        <f>IF(J253="","—",IFERROR(IF(INDEX(Data_Insight!$U:$U,MOD(J253,100000))="",IF(INDEX(Data_Insight!$AG:$AG,MOD(J253,100000))="","—",INDEX(Data_Insight!$AG:$AG,MOD(J253,100000))),INDEX(Data_Insight!$U:$U,MOD(J253,100000))),"—"))</f>
        <v>No proper communication on hike and No hike since 2 years</v>
      </c>
      <c r="AJ274" s="7" t="str">
        <f>IF(Data_Summary!Y275&lt;&gt;"Coverage","",IF(Data_Summary!AA275="","",IF(COUNTIFS(Data_Summary!$Y$2:$Y275,"Coverage",Data_Summary!$AA$2:$AA275,Data_Summary!AA275)=1,Data_Summary!AA275,"")))</f>
        <v/>
      </c>
      <c r="AK274" s="7" t="str">
        <f>IF(AJ274="","",COUNTIFS(Data_Summary!$Y$2:$Y$5002,"Coverage",Data_Summary!$AA$2:$AA$5002,AJ274))</f>
        <v/>
      </c>
    </row>
    <row r="275" spans="1:37" ht="38.25" customHeight="1">
      <c r="A275" s="43">
        <f>IF(J254="","",5)</f>
        <v>5</v>
      </c>
      <c r="B275" s="44">
        <f>IFERROR(IF(J254="","",INDEX(Data_Insight!$A:$A,MOD(J254,100000))),"—")</f>
        <v>74</v>
      </c>
      <c r="C275" s="45" t="str">
        <f>IFERROR(IF(J254="","",INDEX(Data_Insight!$F:$F,MOD(J254,100000))),"—")</f>
        <v>Poushali Ghosh</v>
      </c>
      <c r="D275" s="45" t="str">
        <f>IFERROR(IF(J254="","",INDEX(Data_Insight!$I:$I,MOD(J254,100000))),"—")</f>
        <v>DIG Vertical</v>
      </c>
      <c r="E275" s="45" t="str">
        <f>IFERROR(IF(J254="","",INDEX(Data_Insight!$X:$X,MOD(J254,100000))),"—")</f>
        <v>New Joiner Connect (90 Days)</v>
      </c>
      <c r="F275" s="46" t="str">
        <f>IFERROR(IF(J254="","",INDEX(Data_Insight!$V:$V,MOD(J254,100000))),"—")</f>
        <v>High</v>
      </c>
      <c r="G275" s="47" t="str">
        <f>IFERROR(IF(J254="","",INDEX(Data_Insight!$W:$W,MOD(J254,100000))),"—")</f>
        <v>Open</v>
      </c>
      <c r="H275" s="45" t="str">
        <f>IF(J254="","—",IFERROR(IF(INDEX(Data_Insight!$U:$U,MOD(J254,100000))="",IF(INDEX(Data_Insight!$AG:$AG,MOD(J254,100000))="","—",INDEX(Data_Insight!$AG:$AG,MOD(J254,100000))),INDEX(Data_Insight!$U:$U,MOD(J254,100000))),"—"))</f>
        <v xml:space="preserve">No Projects for New Joiners in Bench </v>
      </c>
      <c r="AJ275" s="7" t="str">
        <f>IF(Data_Summary!Y276&lt;&gt;"Coverage","",IF(Data_Summary!AA276="","",IF(COUNTIFS(Data_Summary!$Y$2:$Y276,"Coverage",Data_Summary!$AA$2:$AA276,Data_Summary!AA276)=1,Data_Summary!AA276,"")))</f>
        <v/>
      </c>
      <c r="AK275" s="7" t="str">
        <f>IF(AJ275="","",COUNTIFS(Data_Summary!$Y$2:$Y$5002,"Coverage",Data_Summary!$AA$2:$AA$5002,AJ275))</f>
        <v/>
      </c>
    </row>
    <row r="276" spans="1:37" ht="25.5" customHeight="1">
      <c r="A276" s="23">
        <f>IF(J255="","",6)</f>
        <v>6</v>
      </c>
      <c r="B276" s="48">
        <f>IFERROR(IF(J255="","",INDEX(Data_Insight!$A:$A,MOD(J255,100000))),"—")</f>
        <v>80</v>
      </c>
      <c r="C276" s="52" t="str">
        <f>IFERROR(IF(J255="","",INDEX(Data_Insight!$F:$F,MOD(J255,100000))),"—")</f>
        <v>Upasana Talukdar</v>
      </c>
      <c r="D276" s="52" t="str">
        <f>IFERROR(IF(J255="","",INDEX(Data_Insight!$I:$I,MOD(J255,100000))),"—")</f>
        <v>DIG Vertical</v>
      </c>
      <c r="E276" s="52" t="str">
        <f>IFERROR(IF(J255="","",INDEX(Data_Insight!$X:$X,MOD(J255,100000))),"—")</f>
        <v>Josh (Fun Engagements)</v>
      </c>
      <c r="F276" s="50" t="str">
        <f>IFERROR(IF(J255="","",INDEX(Data_Insight!$V:$V,MOD(J255,100000))),"—")</f>
        <v>High</v>
      </c>
      <c r="G276" s="51" t="str">
        <f>IFERROR(IF(J255="","",INDEX(Data_Insight!$W:$W,MOD(J255,100000))),"—")</f>
        <v>Open</v>
      </c>
      <c r="H276" s="53" t="str">
        <f>IF(J255="","—",IFERROR(IF(INDEX(Data_Insight!$U:$U,MOD(J255,100000))="",IF(INDEX(Data_Insight!$AG:$AG,MOD(J255,100000))="","—",INDEX(Data_Insight!$AG:$AG,MOD(J255,100000))),INDEX(Data_Insight!$U:$U,MOD(J255,100000))),"—"))</f>
        <v>—</v>
      </c>
      <c r="AJ276" s="7" t="str">
        <f>IF(Data_Summary!Y277&lt;&gt;"Coverage","",IF(Data_Summary!AA277="","",IF(COUNTIFS(Data_Summary!$Y$2:$Y277,"Coverage",Data_Summary!$AA$2:$AA277,Data_Summary!AA277)=1,Data_Summary!AA277,"")))</f>
        <v/>
      </c>
      <c r="AK276" s="7" t="str">
        <f>IF(AJ276="","",COUNTIFS(Data_Summary!$Y$2:$Y$5002,"Coverage",Data_Summary!$AA$2:$AA$5002,AJ276))</f>
        <v/>
      </c>
    </row>
    <row r="277" spans="1:37" ht="12.75" customHeight="1">
      <c r="A277" s="43">
        <f>IF(J256="","",7)</f>
        <v>7</v>
      </c>
      <c r="B277" s="44">
        <f>IFERROR(IF(J256="","",INDEX(Data_Insight!$A:$A,MOD(J256,100000))),"—")</f>
        <v>85</v>
      </c>
      <c r="C277" s="53" t="str">
        <f>IFERROR(IF(J256="","",INDEX(Data_Insight!$F:$F,MOD(J256,100000))),"—")</f>
        <v>Upasana Talukdar</v>
      </c>
      <c r="D277" s="53" t="str">
        <f>IFERROR(IF(J256="","",INDEX(Data_Insight!$I:$I,MOD(J256,100000))),"—")</f>
        <v>DIG Vertical</v>
      </c>
      <c r="E277" s="53" t="str">
        <f>IFERROR(IF(J256="","",INDEX(Data_Insight!$X:$X,MOD(J256,100000))),"—")</f>
        <v>Business Wait Connect</v>
      </c>
      <c r="F277" s="46" t="str">
        <f>IFERROR(IF(J256="","",INDEX(Data_Insight!$V:$V,MOD(J256,100000))),"—")</f>
        <v>High</v>
      </c>
      <c r="G277" s="47" t="str">
        <f>IFERROR(IF(J256="","",INDEX(Data_Insight!$W:$W,MOD(J256,100000))),"—")</f>
        <v>Open</v>
      </c>
      <c r="H277" s="53" t="str">
        <f>IF(J256="","—",IFERROR(IF(INDEX(Data_Insight!$U:$U,MOD(J256,100000))="",IF(INDEX(Data_Insight!$AG:$AG,MOD(J256,100000))="","—",INDEX(Data_Insight!$AG:$AG,MOD(J256,100000))),INDEX(Data_Insight!$U:$U,MOD(J256,100000))),"—"))</f>
        <v>—</v>
      </c>
      <c r="AJ277" s="7" t="str">
        <f>IF(Data_Summary!Y278&lt;&gt;"Coverage","",IF(Data_Summary!AA278="","",IF(COUNTIFS(Data_Summary!$Y$2:$Y278,"Coverage",Data_Summary!$AA$2:$AA278,Data_Summary!AA278)=1,Data_Summary!AA278,"")))</f>
        <v/>
      </c>
      <c r="AK277" s="7" t="str">
        <f>IF(AJ277="","",COUNTIFS(Data_Summary!$Y$2:$Y$5002,"Coverage",Data_Summary!$AA$2:$AA$5002,AJ277))</f>
        <v/>
      </c>
    </row>
    <row r="278" spans="1:37" ht="12.75" customHeight="1">
      <c r="A278" s="23">
        <f>IF(J257="","",8)</f>
        <v>8</v>
      </c>
      <c r="B278" s="48">
        <f>IFERROR(IF(J257="","",INDEX(Data_Insight!$A:$A,MOD(J257,100000))),"—")</f>
        <v>14</v>
      </c>
      <c r="C278" s="52" t="str">
        <f>IFERROR(IF(J257="","",INDEX(Data_Insight!$F:$F,MOD(J257,100000))),"—")</f>
        <v>Tanay Malhotra</v>
      </c>
      <c r="D278" s="52" t="str">
        <f>IFERROR(IF(J257="","",INDEX(Data_Insight!$I:$I,MOD(J257,100000))),"—")</f>
        <v>DEA Service Line</v>
      </c>
      <c r="E278" s="52" t="str">
        <f>IFERROR(IF(J257="","",INDEX(Data_Insight!$X:$X,MOD(J257,100000))),"—")</f>
        <v>HR Connect (General)</v>
      </c>
      <c r="F278" s="50" t="str">
        <f>IFERROR(IF(J257="","",INDEX(Data_Insight!$V:$V,MOD(J257,100000))),"—")</f>
        <v>High</v>
      </c>
      <c r="G278" s="51" t="str">
        <f>IFERROR(IF(J257="","",INDEX(Data_Insight!$W:$W,MOD(J257,100000))),"—")</f>
        <v>In-progress</v>
      </c>
      <c r="H278" s="52" t="str">
        <f>IF(J257="","—",IFERROR(IF(INDEX(Data_Insight!$U:$U,MOD(J257,100000))="",IF(INDEX(Data_Insight!$AG:$AG,MOD(J257,100000))="","—",INDEX(Data_Insight!$AG:$AG,MOD(J257,100000))),INDEX(Data_Insight!$U:$U,MOD(J257,100000))),"—"))</f>
        <v>Send monthly HR bulletin with key updates and links</v>
      </c>
      <c r="AJ278" s="7" t="str">
        <f>IF(Data_Summary!Y279&lt;&gt;"Coverage","",IF(Data_Summary!AA279="","",IF(COUNTIFS(Data_Summary!$Y$2:$Y279,"Coverage",Data_Summary!$AA$2:$AA279,Data_Summary!AA279)=1,Data_Summary!AA279,"")))</f>
        <v/>
      </c>
      <c r="AK278" s="7" t="str">
        <f>IF(AJ278="","",COUNTIFS(Data_Summary!$Y$2:$Y$5002,"Coverage",Data_Summary!$AA$2:$AA$5002,AJ278))</f>
        <v/>
      </c>
    </row>
    <row r="279" spans="1:37" ht="25.5" customHeight="1">
      <c r="A279" s="43">
        <f>IF(J258="","",9)</f>
        <v>9</v>
      </c>
      <c r="B279" s="44">
        <f>IFERROR(IF(J258="","",INDEX(Data_Insight!$A:$A,MOD(J258,100000))),"—")</f>
        <v>18</v>
      </c>
      <c r="C279" s="53" t="str">
        <f>IFERROR(IF(J258="","",INDEX(Data_Insight!$F:$F,MOD(J258,100000))),"—")</f>
        <v>Haripriya Keerthiraj</v>
      </c>
      <c r="D279" s="53" t="str">
        <f>IFERROR(IF(J258="","",INDEX(Data_Insight!$I:$I,MOD(J258,100000))),"—")</f>
        <v>MFG Vertical</v>
      </c>
      <c r="E279" s="53" t="str">
        <f>IFERROR(IF(J258="","",INDEX(Data_Insight!$X:$X,MOD(J258,100000))),"—")</f>
        <v>HR Connect (General)</v>
      </c>
      <c r="F279" s="46" t="str">
        <f>IFERROR(IF(J258="","",INDEX(Data_Insight!$V:$V,MOD(J258,100000))),"—")</f>
        <v>High</v>
      </c>
      <c r="G279" s="47" t="str">
        <f>IFERROR(IF(J258="","",INDEX(Data_Insight!$W:$W,MOD(J258,100000))),"—")</f>
        <v>In-progress</v>
      </c>
      <c r="H279" s="53" t="str">
        <f>IF(J258="","—",IFERROR(IF(INDEX(Data_Insight!$U:$U,MOD(J258,100000))="",IF(INDEX(Data_Insight!$AG:$AG,MOD(J258,100000))="","—",INDEX(Data_Insight!$AG:$AG,MOD(J258,100000))),INDEX(Data_Insight!$U:$U,MOD(J258,100000))),"—"))</f>
        <v>Improve Hybrid compliance, IBU heads need to validate the data and share action plan</v>
      </c>
      <c r="AJ279" s="7" t="str">
        <f>IF(Data_Summary!Y280&lt;&gt;"Coverage","",IF(Data_Summary!AA280="","",IF(COUNTIFS(Data_Summary!$Y$2:$Y280,"Coverage",Data_Summary!$AA$2:$AA280,Data_Summary!AA280)=1,Data_Summary!AA280,"")))</f>
        <v/>
      </c>
      <c r="AK279" s="7" t="str">
        <f>IF(AJ279="","",COUNTIFS(Data_Summary!$Y$2:$Y$5002,"Coverage",Data_Summary!$AA$2:$AA$5002,AJ279))</f>
        <v/>
      </c>
    </row>
    <row r="280" spans="1:37" ht="57" customHeight="1">
      <c r="A280" s="23">
        <f>IF(J259="","",10)</f>
        <v>10</v>
      </c>
      <c r="B280" s="48">
        <f>IFERROR(IF(J259="","",INDEX(Data_Insight!$A:$A,MOD(J259,100000))),"—")</f>
        <v>22</v>
      </c>
      <c r="C280" s="52" t="str">
        <f>IFERROR(IF(J259="","",INDEX(Data_Insight!$F:$F,MOD(J259,100000))),"—")</f>
        <v>Monica</v>
      </c>
      <c r="D280" s="52" t="str">
        <f>IFERROR(IF(J259="","",INDEX(Data_Insight!$I:$I,MOD(J259,100000))),"—")</f>
        <v>DEA Service Line</v>
      </c>
      <c r="E280" s="52" t="str">
        <f>IFERROR(IF(J259="","",INDEX(Data_Insight!$X:$X,MOD(J259,100000))),"—")</f>
        <v>HR Connect (General)</v>
      </c>
      <c r="F280" s="50" t="str">
        <f>IFERROR(IF(J259="","",INDEX(Data_Insight!$V:$V,MOD(J259,100000))),"—")</f>
        <v>High</v>
      </c>
      <c r="G280" s="51" t="str">
        <f>IFERROR(IF(J259="","",INDEX(Data_Insight!$W:$W,MOD(J259,100000))),"—")</f>
        <v>In-progress</v>
      </c>
      <c r="H280" s="52" t="str">
        <f>IF(J259="","—",IFERROR(IF(INDEX(Data_Insight!$U:$U,MOD(J259,100000))="",IF(INDEX(Data_Insight!$AG:$AG,MOD(J259,100000))="","—",INDEX(Data_Insight!$AG:$AG,MOD(J259,100000))),INDEX(Data_Insight!$U:$U,MOD(J259,100000))),"—"))</f>
        <v>1. Transport related queries were higher, had scheduled in-person meeting with CS team on floor &amp; addressed the issue.
2. Updates on increments were raised.
3. WFH exception bases the speculation as per govt norms were raised
4. Updates on Implementation of mensural leave were raised</v>
      </c>
      <c r="AJ280" s="7" t="str">
        <f>IF(Data_Summary!Y281&lt;&gt;"Coverage","",IF(Data_Summary!AA281="","",IF(COUNTIFS(Data_Summary!$Y$2:$Y281,"Coverage",Data_Summary!$AA$2:$AA281,Data_Summary!AA281)=1,Data_Summary!AA281,"")))</f>
        <v/>
      </c>
      <c r="AK280" s="7" t="str">
        <f>IF(AJ280="","",COUNTIFS(Data_Summary!$Y$2:$Y$5002,"Coverage",Data_Summary!$AA$2:$AA$5002,AJ280))</f>
        <v/>
      </c>
    </row>
    <row r="281" spans="1:37" ht="12.75" customHeight="1">
      <c r="AJ281" s="7" t="str">
        <f>IF(Data_Summary!Y282&lt;&gt;"Coverage","",IF(Data_Summary!AA282="","",IF(COUNTIFS(Data_Summary!$Y$2:$Y282,"Coverage",Data_Summary!$AA$2:$AA282,Data_Summary!AA282)=1,Data_Summary!AA282,"")))</f>
        <v/>
      </c>
      <c r="AK281" s="7" t="str">
        <f>IF(AJ281="","",COUNTIFS(Data_Summary!$Y$2:$Y$5002,"Coverage",Data_Summary!$AA$2:$AA$5002,AJ281))</f>
        <v/>
      </c>
    </row>
    <row r="282" spans="1:37" ht="12.75" customHeight="1">
      <c r="AJ282" s="7" t="str">
        <f>IF(Data_Summary!Y283&lt;&gt;"Coverage","",IF(Data_Summary!AA283="","",IF(COUNTIFS(Data_Summary!$Y$2:$Y283,"Coverage",Data_Summary!$AA$2:$AA283,Data_Summary!AA283)=1,Data_Summary!AA283,"")))</f>
        <v/>
      </c>
      <c r="AK282" s="7" t="str">
        <f>IF(AJ282="","",COUNTIFS(Data_Summary!$Y$2:$Y$5002,"Coverage",Data_Summary!$AA$2:$AA$5002,AJ282))</f>
        <v/>
      </c>
    </row>
    <row r="283" spans="1:37" ht="12.75" customHeight="1">
      <c r="AJ283" s="7" t="str">
        <f>IF(Data_Summary!Y284&lt;&gt;"Coverage","",IF(Data_Summary!AA284="","",IF(COUNTIFS(Data_Summary!$Y$2:$Y284,"Coverage",Data_Summary!$AA$2:$AA284,Data_Summary!AA284)=1,Data_Summary!AA284,"")))</f>
        <v/>
      </c>
      <c r="AK283" s="7" t="str">
        <f>IF(AJ283="","",COUNTIFS(Data_Summary!$Y$2:$Y$5002,"Coverage",Data_Summary!$AA$2:$AA$5002,AJ283))</f>
        <v/>
      </c>
    </row>
    <row r="284" spans="1:37" ht="12.75" customHeight="1">
      <c r="AJ284" s="7" t="str">
        <f>IF(Data_Summary!Y285&lt;&gt;"Coverage","",IF(Data_Summary!AA285="","",IF(COUNTIFS(Data_Summary!$Y$2:$Y285,"Coverage",Data_Summary!$AA$2:$AA285,Data_Summary!AA285)=1,Data_Summary!AA285,"")))</f>
        <v/>
      </c>
      <c r="AK284" s="7" t="str">
        <f>IF(AJ284="","",COUNTIFS(Data_Summary!$Y$2:$Y$5002,"Coverage",Data_Summary!$AA$2:$AA$5002,AJ284))</f>
        <v/>
      </c>
    </row>
    <row r="285" spans="1:37" ht="12.75" customHeight="1">
      <c r="AJ285" s="7" t="str">
        <f>IF(Data_Summary!Y286&lt;&gt;"Coverage","",IF(Data_Summary!AA286="","",IF(COUNTIFS(Data_Summary!$Y$2:$Y286,"Coverage",Data_Summary!$AA$2:$AA286,Data_Summary!AA286)=1,Data_Summary!AA286,"")))</f>
        <v/>
      </c>
      <c r="AK285" s="7" t="str">
        <f>IF(AJ285="","",COUNTIFS(Data_Summary!$Y$2:$Y$5002,"Coverage",Data_Summary!$AA$2:$AA$5002,AJ285))</f>
        <v/>
      </c>
    </row>
    <row r="286" spans="1:37" ht="12.75" customHeight="1">
      <c r="AJ286" s="7" t="str">
        <f>IF(Data_Summary!Y287&lt;&gt;"Coverage","",IF(Data_Summary!AA287="","",IF(COUNTIFS(Data_Summary!$Y$2:$Y287,"Coverage",Data_Summary!$AA$2:$AA287,Data_Summary!AA287)=1,Data_Summary!AA287,"")))</f>
        <v/>
      </c>
      <c r="AK286" s="7" t="str">
        <f>IF(AJ286="","",COUNTIFS(Data_Summary!$Y$2:$Y$5002,"Coverage",Data_Summary!$AA$2:$AA$5002,AJ286))</f>
        <v/>
      </c>
    </row>
    <row r="287" spans="1:37" ht="12.75" customHeight="1">
      <c r="AJ287" s="7" t="str">
        <f>IF(Data_Summary!Y288&lt;&gt;"Coverage","",IF(Data_Summary!AA288="","",IF(COUNTIFS(Data_Summary!$Y$2:$Y288,"Coverage",Data_Summary!$AA$2:$AA288,Data_Summary!AA288)=1,Data_Summary!AA288,"")))</f>
        <v/>
      </c>
      <c r="AK287" s="7" t="str">
        <f>IF(AJ287="","",COUNTIFS(Data_Summary!$Y$2:$Y$5002,"Coverage",Data_Summary!$AA$2:$AA$5002,AJ287))</f>
        <v/>
      </c>
    </row>
    <row r="288" spans="1:37" ht="12.75" customHeight="1">
      <c r="AJ288" s="7" t="str">
        <f>IF(Data_Summary!Y289&lt;&gt;"Coverage","",IF(Data_Summary!AA289="","",IF(COUNTIFS(Data_Summary!$Y$2:$Y289,"Coverage",Data_Summary!$AA$2:$AA289,Data_Summary!AA289)=1,Data_Summary!AA289,"")))</f>
        <v/>
      </c>
      <c r="AK288" s="7" t="str">
        <f>IF(AJ288="","",COUNTIFS(Data_Summary!$Y$2:$Y$5002,"Coverage",Data_Summary!$AA$2:$AA$5002,AJ288))</f>
        <v/>
      </c>
    </row>
    <row r="289" spans="36:37" ht="12.75" customHeight="1">
      <c r="AJ289" s="7" t="str">
        <f>IF(Data_Summary!Y290&lt;&gt;"Coverage","",IF(Data_Summary!AA290="","",IF(COUNTIFS(Data_Summary!$Y$2:$Y290,"Coverage",Data_Summary!$AA$2:$AA290,Data_Summary!AA290)=1,Data_Summary!AA290,"")))</f>
        <v/>
      </c>
      <c r="AK289" s="7" t="str">
        <f>IF(AJ289="","",COUNTIFS(Data_Summary!$Y$2:$Y$5002,"Coverage",Data_Summary!$AA$2:$AA$5002,AJ289))</f>
        <v/>
      </c>
    </row>
    <row r="290" spans="36:37" ht="12.75" customHeight="1">
      <c r="AJ290" s="7" t="str">
        <f>IF(Data_Summary!Y291&lt;&gt;"Coverage","",IF(Data_Summary!AA291="","",IF(COUNTIFS(Data_Summary!$Y$2:$Y291,"Coverage",Data_Summary!$AA$2:$AA291,Data_Summary!AA291)=1,Data_Summary!AA291,"")))</f>
        <v>Induction Effectiveness</v>
      </c>
      <c r="AK290" s="7">
        <f>IF(AJ290="","",COUNTIFS(Data_Summary!$Y$2:$Y$5002,"Coverage",Data_Summary!$AA$2:$AA$5002,AJ290))</f>
        <v>9</v>
      </c>
    </row>
    <row r="291" spans="36:37" ht="12.75" customHeight="1">
      <c r="AJ291" s="7" t="str">
        <f>IF(Data_Summary!Y292&lt;&gt;"Coverage","",IF(Data_Summary!AA292="","",IF(COUNTIFS(Data_Summary!$Y$2:$Y292,"Coverage",Data_Summary!$AA$2:$AA292,Data_Summary!AA292)=1,Data_Summary!AA292,"")))</f>
        <v/>
      </c>
      <c r="AK291" s="7" t="str">
        <f>IF(AJ291="","",COUNTIFS(Data_Summary!$Y$2:$Y$5002,"Coverage",Data_Summary!$AA$2:$AA$5002,AJ291))</f>
        <v/>
      </c>
    </row>
    <row r="292" spans="36:37" ht="12.75" customHeight="1">
      <c r="AJ292" s="7" t="str">
        <f>IF(Data_Summary!Y293&lt;&gt;"Coverage","",IF(Data_Summary!AA293="","",IF(COUNTIFS(Data_Summary!$Y$2:$Y293,"Coverage",Data_Summary!$AA$2:$AA293,Data_Summary!AA293)=1,Data_Summary!AA293,"")))</f>
        <v/>
      </c>
      <c r="AK292" s="7" t="str">
        <f>IF(AJ292="","",COUNTIFS(Data_Summary!$Y$2:$Y$5002,"Coverage",Data_Summary!$AA$2:$AA$5002,AJ292))</f>
        <v/>
      </c>
    </row>
    <row r="293" spans="36:37" ht="12.75" customHeight="1">
      <c r="AJ293" s="7" t="str">
        <f>IF(Data_Summary!Y294&lt;&gt;"Coverage","",IF(Data_Summary!AA294="","",IF(COUNTIFS(Data_Summary!$Y$2:$Y294,"Coverage",Data_Summary!$AA$2:$AA294,Data_Summary!AA294)=1,Data_Summary!AA294,"")))</f>
        <v/>
      </c>
      <c r="AK293" s="7" t="str">
        <f>IF(AJ293="","",COUNTIFS(Data_Summary!$Y$2:$Y$5002,"Coverage",Data_Summary!$AA$2:$AA$5002,AJ293))</f>
        <v/>
      </c>
    </row>
    <row r="294" spans="36:37" ht="12.75" customHeight="1">
      <c r="AJ294" s="7" t="str">
        <f>IF(Data_Summary!Y295&lt;&gt;"Coverage","",IF(Data_Summary!AA295="","",IF(COUNTIFS(Data_Summary!$Y$2:$Y295,"Coverage",Data_Summary!$AA$2:$AA295,Data_Summary!AA295)=1,Data_Summary!AA295,"")))</f>
        <v/>
      </c>
      <c r="AK294" s="7" t="str">
        <f>IF(AJ294="","",COUNTIFS(Data_Summary!$Y$2:$Y$5002,"Coverage",Data_Summary!$AA$2:$AA$5002,AJ294))</f>
        <v/>
      </c>
    </row>
    <row r="295" spans="36:37" ht="12.75" customHeight="1">
      <c r="AJ295" s="7" t="str">
        <f>IF(Data_Summary!Y296&lt;&gt;"Coverage","",IF(Data_Summary!AA296="","",IF(COUNTIFS(Data_Summary!$Y$2:$Y296,"Coverage",Data_Summary!$AA$2:$AA296,Data_Summary!AA296)=1,Data_Summary!AA296,"")))</f>
        <v/>
      </c>
      <c r="AK295" s="7" t="str">
        <f>IF(AJ295="","",COUNTIFS(Data_Summary!$Y$2:$Y$5002,"Coverage",Data_Summary!$AA$2:$AA$5002,AJ295))</f>
        <v/>
      </c>
    </row>
    <row r="296" spans="36:37" ht="12.75" customHeight="1">
      <c r="AJ296" s="7" t="str">
        <f>IF(Data_Summary!Y297&lt;&gt;"Coverage","",IF(Data_Summary!AA297="","",IF(COUNTIFS(Data_Summary!$Y$2:$Y297,"Coverage",Data_Summary!$AA$2:$AA297,Data_Summary!AA297)=1,Data_Summary!AA297,"")))</f>
        <v/>
      </c>
      <c r="AK296" s="7" t="str">
        <f>IF(AJ296="","",COUNTIFS(Data_Summary!$Y$2:$Y$5002,"Coverage",Data_Summary!$AA$2:$AA$5002,AJ296))</f>
        <v/>
      </c>
    </row>
    <row r="297" spans="36:37" ht="12.75" customHeight="1">
      <c r="AJ297" s="7" t="str">
        <f>IF(Data_Summary!Y298&lt;&gt;"Coverage","",IF(Data_Summary!AA298="","",IF(COUNTIFS(Data_Summary!$Y$2:$Y298,"Coverage",Data_Summary!$AA$2:$AA298,Data_Summary!AA298)=1,Data_Summary!AA298,"")))</f>
        <v/>
      </c>
      <c r="AK297" s="7" t="str">
        <f>IF(AJ297="","",COUNTIFS(Data_Summary!$Y$2:$Y$5002,"Coverage",Data_Summary!$AA$2:$AA$5002,AJ297))</f>
        <v/>
      </c>
    </row>
    <row r="298" spans="36:37" ht="12.75" customHeight="1">
      <c r="AJ298" s="7" t="str">
        <f>IF(Data_Summary!Y299&lt;&gt;"Coverage","",IF(Data_Summary!AA299="","",IF(COUNTIFS(Data_Summary!$Y$2:$Y299,"Coverage",Data_Summary!$AA$2:$AA299,Data_Summary!AA299)=1,Data_Summary!AA299,"")))</f>
        <v/>
      </c>
      <c r="AK298" s="7" t="str">
        <f>IF(AJ298="","",COUNTIFS(Data_Summary!$Y$2:$Y$5002,"Coverage",Data_Summary!$AA$2:$AA$5002,AJ298))</f>
        <v/>
      </c>
    </row>
    <row r="299" spans="36:37" ht="12.75" customHeight="1">
      <c r="AJ299" s="7" t="str">
        <f>IF(Data_Summary!Y300&lt;&gt;"Coverage","",IF(Data_Summary!AA300="","",IF(COUNTIFS(Data_Summary!$Y$2:$Y300,"Coverage",Data_Summary!$AA$2:$AA300,Data_Summary!AA300)=1,Data_Summary!AA300,"")))</f>
        <v/>
      </c>
      <c r="AK299" s="7" t="str">
        <f>IF(AJ299="","",COUNTIFS(Data_Summary!$Y$2:$Y$5002,"Coverage",Data_Summary!$AA$2:$AA$5002,AJ299))</f>
        <v/>
      </c>
    </row>
    <row r="300" spans="36:37" ht="12.75" customHeight="1">
      <c r="AJ300" s="7" t="str">
        <f>IF(Data_Summary!Y301&lt;&gt;"Coverage","",IF(Data_Summary!AA301="","",IF(COUNTIFS(Data_Summary!$Y$2:$Y301,"Coverage",Data_Summary!$AA$2:$AA301,Data_Summary!AA301)=1,Data_Summary!AA301,"")))</f>
        <v/>
      </c>
      <c r="AK300" s="7" t="str">
        <f>IF(AJ300="","",COUNTIFS(Data_Summary!$Y$2:$Y$5002,"Coverage",Data_Summary!$AA$2:$AA$5002,AJ300))</f>
        <v/>
      </c>
    </row>
    <row r="301" spans="36:37" ht="12.75" customHeight="1">
      <c r="AJ301" s="7" t="str">
        <f>IF(Data_Summary!Y302&lt;&gt;"Coverage","",IF(Data_Summary!AA302="","",IF(COUNTIFS(Data_Summary!$Y$2:$Y302,"Coverage",Data_Summary!$AA$2:$AA302,Data_Summary!AA302)=1,Data_Summary!AA302,"")))</f>
        <v/>
      </c>
      <c r="AK301" s="7" t="str">
        <f>IF(AJ301="","",COUNTIFS(Data_Summary!$Y$2:$Y$5002,"Coverage",Data_Summary!$AA$2:$AA$5002,AJ301))</f>
        <v/>
      </c>
    </row>
    <row r="302" spans="36:37" ht="12.75" customHeight="1">
      <c r="AJ302" s="7" t="str">
        <f>IF(Data_Summary!Y303&lt;&gt;"Coverage","",IF(Data_Summary!AA303="","",IF(COUNTIFS(Data_Summary!$Y$2:$Y303,"Coverage",Data_Summary!$AA$2:$AA303,Data_Summary!AA303)=1,Data_Summary!AA303,"")))</f>
        <v/>
      </c>
      <c r="AK302" s="7" t="str">
        <f>IF(AJ302="","",COUNTIFS(Data_Summary!$Y$2:$Y$5002,"Coverage",Data_Summary!$AA$2:$AA$5002,AJ302))</f>
        <v/>
      </c>
    </row>
    <row r="303" spans="36:37" ht="12.75" customHeight="1">
      <c r="AJ303" s="7" t="str">
        <f>IF(Data_Summary!Y304&lt;&gt;"Coverage","",IF(Data_Summary!AA304="","",IF(COUNTIFS(Data_Summary!$Y$2:$Y304,"Coverage",Data_Summary!$AA$2:$AA304,Data_Summary!AA304)=1,Data_Summary!AA304,"")))</f>
        <v/>
      </c>
      <c r="AK303" s="7" t="str">
        <f>IF(AJ303="","",COUNTIFS(Data_Summary!$Y$2:$Y$5002,"Coverage",Data_Summary!$AA$2:$AA$5002,AJ303))</f>
        <v/>
      </c>
    </row>
    <row r="304" spans="36:37" ht="12.75" customHeight="1">
      <c r="AJ304" s="7" t="str">
        <f>IF(Data_Summary!Y305&lt;&gt;"Coverage","",IF(Data_Summary!AA305="","",IF(COUNTIFS(Data_Summary!$Y$2:$Y305,"Coverage",Data_Summary!$AA$2:$AA305,Data_Summary!AA305)=1,Data_Summary!AA305,"")))</f>
        <v/>
      </c>
      <c r="AK304" s="7" t="str">
        <f>IF(AJ304="","",COUNTIFS(Data_Summary!$Y$2:$Y$5002,"Coverage",Data_Summary!$AA$2:$AA$5002,AJ304))</f>
        <v/>
      </c>
    </row>
    <row r="305" spans="36:37" ht="12.75" customHeight="1">
      <c r="AJ305" s="7" t="str">
        <f>IF(Data_Summary!Y306&lt;&gt;"Coverage","",IF(Data_Summary!AA306="","",IF(COUNTIFS(Data_Summary!$Y$2:$Y306,"Coverage",Data_Summary!$AA$2:$AA306,Data_Summary!AA306)=1,Data_Summary!AA306,"")))</f>
        <v/>
      </c>
      <c r="AK305" s="7" t="str">
        <f>IF(AJ305="","",COUNTIFS(Data_Summary!$Y$2:$Y$5002,"Coverage",Data_Summary!$AA$2:$AA$5002,AJ305))</f>
        <v/>
      </c>
    </row>
    <row r="306" spans="36:37" ht="12.75" customHeight="1">
      <c r="AJ306" s="7" t="str">
        <f>IF(Data_Summary!Y307&lt;&gt;"Coverage","",IF(Data_Summary!AA307="","",IF(COUNTIFS(Data_Summary!$Y$2:$Y307,"Coverage",Data_Summary!$AA$2:$AA307,Data_Summary!AA307)=1,Data_Summary!AA307,"")))</f>
        <v/>
      </c>
      <c r="AK306" s="7" t="str">
        <f>IF(AJ306="","",COUNTIFS(Data_Summary!$Y$2:$Y$5002,"Coverage",Data_Summary!$AA$2:$AA$5002,AJ306))</f>
        <v/>
      </c>
    </row>
    <row r="307" spans="36:37" ht="12.75" customHeight="1">
      <c r="AJ307" s="7" t="str">
        <f>IF(Data_Summary!Y308&lt;&gt;"Coverage","",IF(Data_Summary!AA308="","",IF(COUNTIFS(Data_Summary!$Y$2:$Y308,"Coverage",Data_Summary!$AA$2:$AA308,Data_Summary!AA308)=1,Data_Summary!AA308,"")))</f>
        <v/>
      </c>
      <c r="AK307" s="7" t="str">
        <f>IF(AJ307="","",COUNTIFS(Data_Summary!$Y$2:$Y$5002,"Coverage",Data_Summary!$AA$2:$AA$5002,AJ307))</f>
        <v/>
      </c>
    </row>
    <row r="308" spans="36:37" ht="12.75" customHeight="1">
      <c r="AJ308" s="7" t="str">
        <f>IF(Data_Summary!Y309&lt;&gt;"Coverage","",IF(Data_Summary!AA309="","",IF(COUNTIFS(Data_Summary!$Y$2:$Y309,"Coverage",Data_Summary!$AA$2:$AA309,Data_Summary!AA309)=1,Data_Summary!AA309,"")))</f>
        <v/>
      </c>
      <c r="AK308" s="7" t="str">
        <f>IF(AJ308="","",COUNTIFS(Data_Summary!$Y$2:$Y$5002,"Coverage",Data_Summary!$AA$2:$AA$5002,AJ308))</f>
        <v/>
      </c>
    </row>
    <row r="309" spans="36:37" ht="12.75" customHeight="1">
      <c r="AJ309" s="7" t="str">
        <f>IF(Data_Summary!Y310&lt;&gt;"Coverage","",IF(Data_Summary!AA310="","",IF(COUNTIFS(Data_Summary!$Y$2:$Y310,"Coverage",Data_Summary!$AA$2:$AA310,Data_Summary!AA310)=1,Data_Summary!AA310,"")))</f>
        <v/>
      </c>
      <c r="AK309" s="7" t="str">
        <f>IF(AJ309="","",COUNTIFS(Data_Summary!$Y$2:$Y$5002,"Coverage",Data_Summary!$AA$2:$AA$5002,AJ309))</f>
        <v/>
      </c>
    </row>
    <row r="310" spans="36:37" ht="12.75" customHeight="1">
      <c r="AJ310" s="7" t="str">
        <f>IF(Data_Summary!Y311&lt;&gt;"Coverage","",IF(Data_Summary!AA311="","",IF(COUNTIFS(Data_Summary!$Y$2:$Y311,"Coverage",Data_Summary!$AA$2:$AA311,Data_Summary!AA311)=1,Data_Summary!AA311,"")))</f>
        <v/>
      </c>
      <c r="AK310" s="7" t="str">
        <f>IF(AJ310="","",COUNTIFS(Data_Summary!$Y$2:$Y$5002,"Coverage",Data_Summary!$AA$2:$AA$5002,AJ310))</f>
        <v/>
      </c>
    </row>
    <row r="311" spans="36:37" ht="12.75" customHeight="1">
      <c r="AJ311" s="7" t="str">
        <f>IF(Data_Summary!Y312&lt;&gt;"Coverage","",IF(Data_Summary!AA312="","",IF(COUNTIFS(Data_Summary!$Y$2:$Y312,"Coverage",Data_Summary!$AA$2:$AA312,Data_Summary!AA312)=1,Data_Summary!AA312,"")))</f>
        <v/>
      </c>
      <c r="AK311" s="7" t="str">
        <f>IF(AJ311="","",COUNTIFS(Data_Summary!$Y$2:$Y$5002,"Coverage",Data_Summary!$AA$2:$AA$5002,AJ311))</f>
        <v/>
      </c>
    </row>
    <row r="312" spans="36:37" ht="12.75" customHeight="1">
      <c r="AJ312" s="7" t="str">
        <f>IF(Data_Summary!Y313&lt;&gt;"Coverage","",IF(Data_Summary!AA313="","",IF(COUNTIFS(Data_Summary!$Y$2:$Y313,"Coverage",Data_Summary!$AA$2:$AA313,Data_Summary!AA313)=1,Data_Summary!AA313,"")))</f>
        <v/>
      </c>
      <c r="AK312" s="7" t="str">
        <f>IF(AJ312="","",COUNTIFS(Data_Summary!$Y$2:$Y$5002,"Coverage",Data_Summary!$AA$2:$AA$5002,AJ312))</f>
        <v/>
      </c>
    </row>
    <row r="313" spans="36:37" ht="12.75" customHeight="1">
      <c r="AJ313" s="7" t="str">
        <f>IF(Data_Summary!Y314&lt;&gt;"Coverage","",IF(Data_Summary!AA314="","",IF(COUNTIFS(Data_Summary!$Y$2:$Y314,"Coverage",Data_Summary!$AA$2:$AA314,Data_Summary!AA314)=1,Data_Summary!AA314,"")))</f>
        <v/>
      </c>
      <c r="AK313" s="7" t="str">
        <f>IF(AJ313="","",COUNTIFS(Data_Summary!$Y$2:$Y$5002,"Coverage",Data_Summary!$AA$2:$AA$5002,AJ313))</f>
        <v/>
      </c>
    </row>
    <row r="314" spans="36:37" ht="12.75" customHeight="1">
      <c r="AJ314" s="7" t="str">
        <f>IF(Data_Summary!Y315&lt;&gt;"Coverage","",IF(Data_Summary!AA315="","",IF(COUNTIFS(Data_Summary!$Y$2:$Y315,"Coverage",Data_Summary!$AA$2:$AA315,Data_Summary!AA315)=1,Data_Summary!AA315,"")))</f>
        <v/>
      </c>
      <c r="AK314" s="7" t="str">
        <f>IF(AJ314="","",COUNTIFS(Data_Summary!$Y$2:$Y$5002,"Coverage",Data_Summary!$AA$2:$AA$5002,AJ314))</f>
        <v/>
      </c>
    </row>
    <row r="315" spans="36:37" ht="12.75" customHeight="1">
      <c r="AJ315" s="7" t="str">
        <f>IF(Data_Summary!Y316&lt;&gt;"Coverage","",IF(Data_Summary!AA316="","",IF(COUNTIFS(Data_Summary!$Y$2:$Y316,"Coverage",Data_Summary!$AA$2:$AA316,Data_Summary!AA316)=1,Data_Summary!AA316,"")))</f>
        <v/>
      </c>
      <c r="AK315" s="7" t="str">
        <f>IF(AJ315="","",COUNTIFS(Data_Summary!$Y$2:$Y$5002,"Coverage",Data_Summary!$AA$2:$AA$5002,AJ315))</f>
        <v/>
      </c>
    </row>
    <row r="316" spans="36:37" ht="12.75" customHeight="1">
      <c r="AJ316" s="7" t="str">
        <f>IF(Data_Summary!Y317&lt;&gt;"Coverage","",IF(Data_Summary!AA317="","",IF(COUNTIFS(Data_Summary!$Y$2:$Y317,"Coverage",Data_Summary!$AA$2:$AA317,Data_Summary!AA317)=1,Data_Summary!AA317,"")))</f>
        <v/>
      </c>
      <c r="AK316" s="7" t="str">
        <f>IF(AJ316="","",COUNTIFS(Data_Summary!$Y$2:$Y$5002,"Coverage",Data_Summary!$AA$2:$AA$5002,AJ316))</f>
        <v/>
      </c>
    </row>
    <row r="317" spans="36:37" ht="12.75" customHeight="1">
      <c r="AJ317" s="7" t="str">
        <f>IF(Data_Summary!Y318&lt;&gt;"Coverage","",IF(Data_Summary!AA318="","",IF(COUNTIFS(Data_Summary!$Y$2:$Y318,"Coverage",Data_Summary!$AA$2:$AA318,Data_Summary!AA318)=1,Data_Summary!AA318,"")))</f>
        <v/>
      </c>
      <c r="AK317" s="7" t="str">
        <f>IF(AJ317="","",COUNTIFS(Data_Summary!$Y$2:$Y$5002,"Coverage",Data_Summary!$AA$2:$AA$5002,AJ317))</f>
        <v/>
      </c>
    </row>
    <row r="318" spans="36:37" ht="12.75" customHeight="1">
      <c r="AJ318" s="7" t="str">
        <f>IF(Data_Summary!Y319&lt;&gt;"Coverage","",IF(Data_Summary!AA319="","",IF(COUNTIFS(Data_Summary!$Y$2:$Y319,"Coverage",Data_Summary!$AA$2:$AA319,Data_Summary!AA319)=1,Data_Summary!AA319,"")))</f>
        <v/>
      </c>
      <c r="AK318" s="7" t="str">
        <f>IF(AJ318="","",COUNTIFS(Data_Summary!$Y$2:$Y$5002,"Coverage",Data_Summary!$AA$2:$AA$5002,AJ318))</f>
        <v/>
      </c>
    </row>
    <row r="319" spans="36:37" ht="12.75" customHeight="1">
      <c r="AJ319" s="7" t="str">
        <f>IF(Data_Summary!Y320&lt;&gt;"Coverage","",IF(Data_Summary!AA320="","",IF(COUNTIFS(Data_Summary!$Y$2:$Y320,"Coverage",Data_Summary!$AA$2:$AA320,Data_Summary!AA320)=1,Data_Summary!AA320,"")))</f>
        <v/>
      </c>
      <c r="AK319" s="7" t="str">
        <f>IF(AJ319="","",COUNTIFS(Data_Summary!$Y$2:$Y$5002,"Coverage",Data_Summary!$AA$2:$AA$5002,AJ319))</f>
        <v/>
      </c>
    </row>
    <row r="320" spans="36:37" ht="12.75" customHeight="1">
      <c r="AJ320" s="7" t="str">
        <f>IF(Data_Summary!Y321&lt;&gt;"Coverage","",IF(Data_Summary!AA321="","",IF(COUNTIFS(Data_Summary!$Y$2:$Y321,"Coverage",Data_Summary!$AA$2:$AA321,Data_Summary!AA321)=1,Data_Summary!AA321,"")))</f>
        <v/>
      </c>
      <c r="AK320" s="7" t="str">
        <f>IF(AJ320="","",COUNTIFS(Data_Summary!$Y$2:$Y$5002,"Coverage",Data_Summary!$AA$2:$AA$5002,AJ320))</f>
        <v/>
      </c>
    </row>
    <row r="321" spans="36:37" ht="12.75" customHeight="1">
      <c r="AJ321" s="7" t="str">
        <f>IF(Data_Summary!Y322&lt;&gt;"Coverage","",IF(Data_Summary!AA322="","",IF(COUNTIFS(Data_Summary!$Y$2:$Y322,"Coverage",Data_Summary!$AA$2:$AA322,Data_Summary!AA322)=1,Data_Summary!AA322,"")))</f>
        <v/>
      </c>
      <c r="AK321" s="7" t="str">
        <f>IF(AJ321="","",COUNTIFS(Data_Summary!$Y$2:$Y$5002,"Coverage",Data_Summary!$AA$2:$AA$5002,AJ321))</f>
        <v/>
      </c>
    </row>
    <row r="322" spans="36:37" ht="12.75" customHeight="1">
      <c r="AJ322" s="7" t="str">
        <f>IF(Data_Summary!Y323&lt;&gt;"Coverage","",IF(Data_Summary!AA323="","",IF(COUNTIFS(Data_Summary!$Y$2:$Y323,"Coverage",Data_Summary!$AA$2:$AA323,Data_Summary!AA323)=1,Data_Summary!AA323,"")))</f>
        <v/>
      </c>
      <c r="AK322" s="7" t="str">
        <f>IF(AJ322="","",COUNTIFS(Data_Summary!$Y$2:$Y$5002,"Coverage",Data_Summary!$AA$2:$AA$5002,AJ322))</f>
        <v/>
      </c>
    </row>
    <row r="323" spans="36:37" ht="12.75" customHeight="1">
      <c r="AJ323" s="7" t="str">
        <f>IF(Data_Summary!Y324&lt;&gt;"Coverage","",IF(Data_Summary!AA324="","",IF(COUNTIFS(Data_Summary!$Y$2:$Y324,"Coverage",Data_Summary!$AA$2:$AA324,Data_Summary!AA324)=1,Data_Summary!AA324,"")))</f>
        <v/>
      </c>
      <c r="AK323" s="7" t="str">
        <f>IF(AJ323="","",COUNTIFS(Data_Summary!$Y$2:$Y$5002,"Coverage",Data_Summary!$AA$2:$AA$5002,AJ323))</f>
        <v/>
      </c>
    </row>
    <row r="324" spans="36:37" ht="12.75" customHeight="1">
      <c r="AJ324" s="7" t="str">
        <f>IF(Data_Summary!Y325&lt;&gt;"Coverage","",IF(Data_Summary!AA325="","",IF(COUNTIFS(Data_Summary!$Y$2:$Y325,"Coverage",Data_Summary!$AA$2:$AA325,Data_Summary!AA325)=1,Data_Summary!AA325,"")))</f>
        <v/>
      </c>
      <c r="AK324" s="7" t="str">
        <f>IF(AJ324="","",COUNTIFS(Data_Summary!$Y$2:$Y$5002,"Coverage",Data_Summary!$AA$2:$AA$5002,AJ324))</f>
        <v/>
      </c>
    </row>
    <row r="325" spans="36:37" ht="12.75" customHeight="1">
      <c r="AJ325" s="7" t="str">
        <f>IF(Data_Summary!Y326&lt;&gt;"Coverage","",IF(Data_Summary!AA326="","",IF(COUNTIFS(Data_Summary!$Y$2:$Y326,"Coverage",Data_Summary!$AA$2:$AA326,Data_Summary!AA326)=1,Data_Summary!AA326,"")))</f>
        <v/>
      </c>
      <c r="AK325" s="7" t="str">
        <f>IF(AJ325="","",COUNTIFS(Data_Summary!$Y$2:$Y$5002,"Coverage",Data_Summary!$AA$2:$AA$5002,AJ325))</f>
        <v/>
      </c>
    </row>
    <row r="326" spans="36:37" ht="12.75" customHeight="1">
      <c r="AJ326" s="7" t="str">
        <f>IF(Data_Summary!Y327&lt;&gt;"Coverage","",IF(Data_Summary!AA327="","",IF(COUNTIFS(Data_Summary!$Y$2:$Y327,"Coverage",Data_Summary!$AA$2:$AA327,Data_Summary!AA327)=1,Data_Summary!AA327,"")))</f>
        <v/>
      </c>
      <c r="AK326" s="7" t="str">
        <f>IF(AJ326="","",COUNTIFS(Data_Summary!$Y$2:$Y$5002,"Coverage",Data_Summary!$AA$2:$AA$5002,AJ326))</f>
        <v/>
      </c>
    </row>
    <row r="327" spans="36:37" ht="12.75" customHeight="1">
      <c r="AJ327" s="7" t="str">
        <f>IF(Data_Summary!Y328&lt;&gt;"Coverage","",IF(Data_Summary!AA328="","",IF(COUNTIFS(Data_Summary!$Y$2:$Y328,"Coverage",Data_Summary!$AA$2:$AA328,Data_Summary!AA328)=1,Data_Summary!AA328,"")))</f>
        <v/>
      </c>
      <c r="AK327" s="7" t="str">
        <f>IF(AJ327="","",COUNTIFS(Data_Summary!$Y$2:$Y$5002,"Coverage",Data_Summary!$AA$2:$AA$5002,AJ327))</f>
        <v/>
      </c>
    </row>
    <row r="328" spans="36:37" ht="12.75" customHeight="1">
      <c r="AJ328" s="7" t="str">
        <f>IF(Data_Summary!Y329&lt;&gt;"Coverage","",IF(Data_Summary!AA329="","",IF(COUNTIFS(Data_Summary!$Y$2:$Y329,"Coverage",Data_Summary!$AA$2:$AA329,Data_Summary!AA329)=1,Data_Summary!AA329,"")))</f>
        <v>For Consolidated HR Communications Rather Than Scattered Upd</v>
      </c>
      <c r="AK328" s="7">
        <f>IF(AJ328="","",COUNTIFS(Data_Summary!$Y$2:$Y$5002,"Coverage",Data_Summary!$AA$2:$AA$5002,AJ328))</f>
        <v>2</v>
      </c>
    </row>
    <row r="329" spans="36:37" ht="12.75" customHeight="1">
      <c r="AJ329" s="7" t="str">
        <f>IF(Data_Summary!Y330&lt;&gt;"Coverage","",IF(Data_Summary!AA330="","",IF(COUNTIFS(Data_Summary!$Y$2:$Y330,"Coverage",Data_Summary!$AA$2:$AA330,Data_Summary!AA330)=1,Data_Summary!AA330,"")))</f>
        <v/>
      </c>
      <c r="AK329" s="7" t="str">
        <f>IF(AJ329="","",COUNTIFS(Data_Summary!$Y$2:$Y$5002,"Coverage",Data_Summary!$AA$2:$AA$5002,AJ329))</f>
        <v/>
      </c>
    </row>
    <row r="330" spans="36:37" ht="12.75" customHeight="1">
      <c r="AJ330" s="7" t="str">
        <f>IF(Data_Summary!Y331&lt;&gt;"Coverage","",IF(Data_Summary!AA331="","",IF(COUNTIFS(Data_Summary!$Y$2:$Y331,"Coverage",Data_Summary!$AA$2:$AA331,Data_Summary!AA331)=1,Data_Summary!AA331,"")))</f>
        <v/>
      </c>
      <c r="AK330" s="7" t="str">
        <f>IF(AJ330="","",COUNTIFS(Data_Summary!$Y$2:$Y$5002,"Coverage",Data_Summary!$AA$2:$AA$5002,AJ330))</f>
        <v/>
      </c>
    </row>
    <row r="331" spans="36:37" ht="12.75" customHeight="1">
      <c r="AJ331" s="7" t="str">
        <f>IF(Data_Summary!Y332&lt;&gt;"Coverage","",IF(Data_Summary!AA332="","",IF(COUNTIFS(Data_Summary!$Y$2:$Y332,"Coverage",Data_Summary!$AA$2:$AA332,Data_Summary!AA332)=1,Data_Summary!AA332,"")))</f>
        <v/>
      </c>
      <c r="AK331" s="7" t="str">
        <f>IF(AJ331="","",COUNTIFS(Data_Summary!$Y$2:$Y$5002,"Coverage",Data_Summary!$AA$2:$AA$5002,AJ331))</f>
        <v/>
      </c>
    </row>
    <row r="332" spans="36:37" ht="12.75" customHeight="1">
      <c r="AJ332" s="7" t="str">
        <f>IF(Data_Summary!Y333&lt;&gt;"Coverage","",IF(Data_Summary!AA333="","",IF(COUNTIFS(Data_Summary!$Y$2:$Y333,"Coverage",Data_Summary!$AA$2:$AA333,Data_Summary!AA333)=1,Data_Summary!AA333,"")))</f>
        <v/>
      </c>
      <c r="AK332" s="7" t="str">
        <f>IF(AJ332="","",COUNTIFS(Data_Summary!$Y$2:$Y$5002,"Coverage",Data_Summary!$AA$2:$AA$5002,AJ332))</f>
        <v/>
      </c>
    </row>
    <row r="333" spans="36:37" ht="12.75" customHeight="1">
      <c r="AJ333" s="7" t="str">
        <f>IF(Data_Summary!Y334&lt;&gt;"Coverage","",IF(Data_Summary!AA334="","",IF(COUNTIFS(Data_Summary!$Y$2:$Y334,"Coverage",Data_Summary!$AA$2:$AA334,Data_Summary!AA334)=1,Data_Summary!AA334,"")))</f>
        <v/>
      </c>
      <c r="AK333" s="7" t="str">
        <f>IF(AJ333="","",COUNTIFS(Data_Summary!$Y$2:$Y$5002,"Coverage",Data_Summary!$AA$2:$AA$5002,AJ333))</f>
        <v/>
      </c>
    </row>
    <row r="334" spans="36:37" ht="12.75" customHeight="1">
      <c r="AJ334" s="7" t="str">
        <f>IF(Data_Summary!Y335&lt;&gt;"Coverage","",IF(Data_Summary!AA335="","",IF(COUNTIFS(Data_Summary!$Y$2:$Y335,"Coverage",Data_Summary!$AA$2:$AA335,Data_Summary!AA335)=1,Data_Summary!AA335,"")))</f>
        <v/>
      </c>
      <c r="AK334" s="7" t="str">
        <f>IF(AJ334="","",COUNTIFS(Data_Summary!$Y$2:$Y$5002,"Coverage",Data_Summary!$AA$2:$AA$5002,AJ334))</f>
        <v/>
      </c>
    </row>
    <row r="335" spans="36:37" ht="12.75" customHeight="1">
      <c r="AJ335" s="7" t="str">
        <f>IF(Data_Summary!Y336&lt;&gt;"Coverage","",IF(Data_Summary!AA336="","",IF(COUNTIFS(Data_Summary!$Y$2:$Y336,"Coverage",Data_Summary!$AA$2:$AA336,Data_Summary!AA336)=1,Data_Summary!AA336,"")))</f>
        <v/>
      </c>
      <c r="AK335" s="7" t="str">
        <f>IF(AJ335="","",COUNTIFS(Data_Summary!$Y$2:$Y$5002,"Coverage",Data_Summary!$AA$2:$AA$5002,AJ335))</f>
        <v/>
      </c>
    </row>
    <row r="336" spans="36:37" ht="12.75" customHeight="1">
      <c r="AJ336" s="7" t="str">
        <f>IF(Data_Summary!Y337&lt;&gt;"Coverage","",IF(Data_Summary!AA337="","",IF(COUNTIFS(Data_Summary!$Y$2:$Y337,"Coverage",Data_Summary!$AA$2:$AA337,Data_Summary!AA337)=1,Data_Summary!AA337,"")))</f>
        <v/>
      </c>
      <c r="AK336" s="7" t="str">
        <f>IF(AJ336="","",COUNTIFS(Data_Summary!$Y$2:$Y$5002,"Coverage",Data_Summary!$AA$2:$AA$5002,AJ336))</f>
        <v/>
      </c>
    </row>
    <row r="337" spans="36:37" ht="12.75" customHeight="1">
      <c r="AJ337" s="7" t="str">
        <f>IF(Data_Summary!Y338&lt;&gt;"Coverage","",IF(Data_Summary!AA338="","",IF(COUNTIFS(Data_Summary!$Y$2:$Y338,"Coverage",Data_Summary!$AA$2:$AA338,Data_Summary!AA338)=1,Data_Summary!AA338,"")))</f>
        <v>AI Session</v>
      </c>
      <c r="AK337" s="7">
        <f>IF(AJ337="","",COUNTIFS(Data_Summary!$Y$2:$Y$5002,"Coverage",Data_Summary!$AA$2:$AA$5002,AJ337))</f>
        <v>1</v>
      </c>
    </row>
    <row r="338" spans="36:37" ht="12.75" customHeight="1">
      <c r="AJ338" s="7" t="str">
        <f>IF(Data_Summary!Y339&lt;&gt;"Coverage","",IF(Data_Summary!AA339="","",IF(COUNTIFS(Data_Summary!$Y$2:$Y339,"Coverage",Data_Summary!$AA$2:$AA339,Data_Summary!AA339)=1,Data_Summary!AA339,"")))</f>
        <v/>
      </c>
      <c r="AK338" s="7" t="str">
        <f>IF(AJ338="","",COUNTIFS(Data_Summary!$Y$2:$Y$5002,"Coverage",Data_Summary!$AA$2:$AA$5002,AJ338))</f>
        <v/>
      </c>
    </row>
    <row r="339" spans="36:37" ht="12.75" customHeight="1">
      <c r="AJ339" s="7" t="str">
        <f>IF(Data_Summary!Y340&lt;&gt;"Coverage","",IF(Data_Summary!AA340="","",IF(COUNTIFS(Data_Summary!$Y$2:$Y340,"Coverage",Data_Summary!$AA$2:$AA340,Data_Summary!AA340)=1,Data_Summary!AA340,"")))</f>
        <v/>
      </c>
      <c r="AK339" s="7" t="str">
        <f>IF(AJ339="","",COUNTIFS(Data_Summary!$Y$2:$Y$5002,"Coverage",Data_Summary!$AA$2:$AA$5002,AJ339))</f>
        <v/>
      </c>
    </row>
    <row r="340" spans="36:37" ht="12.75" customHeight="1">
      <c r="AJ340" s="7" t="str">
        <f>IF(Data_Summary!Y341&lt;&gt;"Coverage","",IF(Data_Summary!AA341="","",IF(COUNTIFS(Data_Summary!$Y$2:$Y341,"Coverage",Data_Summary!$AA$2:$AA341,Data_Summary!AA341)=1,Data_Summary!AA341,"")))</f>
        <v/>
      </c>
      <c r="AK340" s="7" t="str">
        <f>IF(AJ340="","",COUNTIFS(Data_Summary!$Y$2:$Y$5002,"Coverage",Data_Summary!$AA$2:$AA$5002,AJ340))</f>
        <v/>
      </c>
    </row>
    <row r="341" spans="36:37" ht="12.75" customHeight="1">
      <c r="AJ341" s="7" t="str">
        <f>IF(Data_Summary!Y342&lt;&gt;"Coverage","",IF(Data_Summary!AA342="","",IF(COUNTIFS(Data_Summary!$Y$2:$Y342,"Coverage",Data_Summary!$AA$2:$AA342,Data_Summary!AA342)=1,Data_Summary!AA342,"")))</f>
        <v/>
      </c>
      <c r="AK341" s="7" t="str">
        <f>IF(AJ341="","",COUNTIFS(Data_Summary!$Y$2:$Y$5002,"Coverage",Data_Summary!$AA$2:$AA$5002,AJ341))</f>
        <v/>
      </c>
    </row>
    <row r="342" spans="36:37" ht="12.75" customHeight="1">
      <c r="AJ342" s="7" t="str">
        <f>IF(Data_Summary!Y343&lt;&gt;"Coverage","",IF(Data_Summary!AA343="","",IF(COUNTIFS(Data_Summary!$Y$2:$Y343,"Coverage",Data_Summary!$AA$2:$AA343,Data_Summary!AA343)=1,Data_Summary!AA343,"")))</f>
        <v/>
      </c>
      <c r="AK342" s="7" t="str">
        <f>IF(AJ342="","",COUNTIFS(Data_Summary!$Y$2:$Y$5002,"Coverage",Data_Summary!$AA$2:$AA$5002,AJ342))</f>
        <v/>
      </c>
    </row>
    <row r="343" spans="36:37" ht="12.75" customHeight="1">
      <c r="AJ343" s="7" t="str">
        <f>IF(Data_Summary!Y344&lt;&gt;"Coverage","",IF(Data_Summary!AA344="","",IF(COUNTIFS(Data_Summary!$Y$2:$Y344,"Coverage",Data_Summary!$AA$2:$AA344,Data_Summary!AA344)=1,Data_Summary!AA344,"")))</f>
        <v/>
      </c>
      <c r="AK343" s="7" t="str">
        <f>IF(AJ343="","",COUNTIFS(Data_Summary!$Y$2:$Y$5002,"Coverage",Data_Summary!$AA$2:$AA$5002,AJ343))</f>
        <v/>
      </c>
    </row>
    <row r="344" spans="36:37" ht="12.75" customHeight="1">
      <c r="AJ344" s="7" t="str">
        <f>IF(Data_Summary!Y345&lt;&gt;"Coverage","",IF(Data_Summary!AA345="","",IF(COUNTIFS(Data_Summary!$Y$2:$Y345,"Coverage",Data_Summary!$AA$2:$AA345,Data_Summary!AA345)=1,Data_Summary!AA345,"")))</f>
        <v/>
      </c>
      <c r="AK344" s="7" t="str">
        <f>IF(AJ344="","",COUNTIFS(Data_Summary!$Y$2:$Y$5002,"Coverage",Data_Summary!$AA$2:$AA$5002,AJ344))</f>
        <v/>
      </c>
    </row>
    <row r="345" spans="36:37" ht="12.75" customHeight="1">
      <c r="AJ345" s="7" t="str">
        <f>IF(Data_Summary!Y346&lt;&gt;"Coverage","",IF(Data_Summary!AA346="","",IF(COUNTIFS(Data_Summary!$Y$2:$Y346,"Coverage",Data_Summary!$AA$2:$AA346,Data_Summary!AA346)=1,Data_Summary!AA346,"")))</f>
        <v/>
      </c>
      <c r="AK345" s="7" t="str">
        <f>IF(AJ345="","",COUNTIFS(Data_Summary!$Y$2:$Y$5002,"Coverage",Data_Summary!$AA$2:$AA$5002,AJ345))</f>
        <v/>
      </c>
    </row>
    <row r="346" spans="36:37" ht="12.75" customHeight="1">
      <c r="AJ346" s="7" t="str">
        <f>IF(Data_Summary!Y347&lt;&gt;"Coverage","",IF(Data_Summary!AA347="","",IF(COUNTIFS(Data_Summary!$Y$2:$Y347,"Coverage",Data_Summary!$AA$2:$AA347,Data_Summary!AA347)=1,Data_Summary!AA347,"")))</f>
        <v/>
      </c>
      <c r="AK346" s="7" t="str">
        <f>IF(AJ346="","",COUNTIFS(Data_Summary!$Y$2:$Y$5002,"Coverage",Data_Summary!$AA$2:$AA$5002,AJ346))</f>
        <v/>
      </c>
    </row>
    <row r="347" spans="36:37" ht="12.75" customHeight="1">
      <c r="AJ347" s="7" t="str">
        <f>IF(Data_Summary!Y348&lt;&gt;"Coverage","",IF(Data_Summary!AA348="","",IF(COUNTIFS(Data_Summary!$Y$2:$Y348,"Coverage",Data_Summary!$AA$2:$AA348,Data_Summary!AA348)=1,Data_Summary!AA348,"")))</f>
        <v/>
      </c>
      <c r="AK347" s="7" t="str">
        <f>IF(AJ347="","",COUNTIFS(Data_Summary!$Y$2:$Y$5002,"Coverage",Data_Summary!$AA$2:$AA$5002,AJ347))</f>
        <v/>
      </c>
    </row>
    <row r="348" spans="36:37" ht="12.75" customHeight="1">
      <c r="AJ348" s="7" t="str">
        <f>IF(Data_Summary!Y349&lt;&gt;"Coverage","",IF(Data_Summary!AA349="","",IF(COUNTIFS(Data_Summary!$Y$2:$Y349,"Coverage",Data_Summary!$AA$2:$AA349,Data_Summary!AA349)=1,Data_Summary!AA349,"")))</f>
        <v>Review Cadence</v>
      </c>
      <c r="AK348" s="7">
        <f>IF(AJ348="","",COUNTIFS(Data_Summary!$Y$2:$Y$5002,"Coverage",Data_Summary!$AA$2:$AA$5002,AJ348))</f>
        <v>2</v>
      </c>
    </row>
    <row r="349" spans="36:37" ht="12.75" customHeight="1">
      <c r="AJ349" s="7" t="str">
        <f>IF(Data_Summary!Y350&lt;&gt;"Coverage","",IF(Data_Summary!AA350="","",IF(COUNTIFS(Data_Summary!$Y$2:$Y350,"Coverage",Data_Summary!$AA$2:$AA350,Data_Summary!AA350)=1,Data_Summary!AA350,"")))</f>
        <v/>
      </c>
      <c r="AK349" s="7" t="str">
        <f>IF(AJ349="","",COUNTIFS(Data_Summary!$Y$2:$Y$5002,"Coverage",Data_Summary!$AA$2:$AA$5002,AJ349))</f>
        <v/>
      </c>
    </row>
    <row r="350" spans="36:37" ht="12.75" customHeight="1">
      <c r="AJ350" s="7" t="str">
        <f>IF(Data_Summary!Y351&lt;&gt;"Coverage","",IF(Data_Summary!AA351="","",IF(COUNTIFS(Data_Summary!$Y$2:$Y351,"Coverage",Data_Summary!$AA$2:$AA351,Data_Summary!AA351)=1,Data_Summary!AA351,"")))</f>
        <v/>
      </c>
      <c r="AK350" s="7" t="str">
        <f>IF(AJ350="","",COUNTIFS(Data_Summary!$Y$2:$Y$5002,"Coverage",Data_Summary!$AA$2:$AA$5002,AJ350))</f>
        <v/>
      </c>
    </row>
    <row r="351" spans="36:37" ht="12.75" customHeight="1">
      <c r="AJ351" s="7" t="str">
        <f>IF(Data_Summary!Y352&lt;&gt;"Coverage","",IF(Data_Summary!AA352="","",IF(COUNTIFS(Data_Summary!$Y$2:$Y352,"Coverage",Data_Summary!$AA$2:$AA352,Data_Summary!AA352)=1,Data_Summary!AA352,"")))</f>
        <v/>
      </c>
      <c r="AK351" s="7" t="str">
        <f>IF(AJ351="","",COUNTIFS(Data_Summary!$Y$2:$Y$5002,"Coverage",Data_Summary!$AA$2:$AA$5002,AJ351))</f>
        <v/>
      </c>
    </row>
    <row r="352" spans="36:37" ht="12.75" customHeight="1">
      <c r="AJ352" s="7" t="str">
        <f>IF(Data_Summary!Y353&lt;&gt;"Coverage","",IF(Data_Summary!AA353="","",IF(COUNTIFS(Data_Summary!$Y$2:$Y353,"Coverage",Data_Summary!$AA$2:$AA353,Data_Summary!AA353)=1,Data_Summary!AA353,"")))</f>
        <v/>
      </c>
      <c r="AK352" s="7" t="str">
        <f>IF(AJ352="","",COUNTIFS(Data_Summary!$Y$2:$Y$5002,"Coverage",Data_Summary!$AA$2:$AA$5002,AJ352))</f>
        <v/>
      </c>
    </row>
    <row r="353" spans="36:37" ht="12.75" customHeight="1">
      <c r="AJ353" s="7" t="str">
        <f>IF(Data_Summary!Y354&lt;&gt;"Coverage","",IF(Data_Summary!AA354="","",IF(COUNTIFS(Data_Summary!$Y$2:$Y354,"Coverage",Data_Summary!$AA$2:$AA354,Data_Summary!AA354)=1,Data_Summary!AA354,"")))</f>
        <v/>
      </c>
      <c r="AK353" s="7" t="str">
        <f>IF(AJ353="","",COUNTIFS(Data_Summary!$Y$2:$Y$5002,"Coverage",Data_Summary!$AA$2:$AA$5002,AJ353))</f>
        <v/>
      </c>
    </row>
    <row r="354" spans="36:37" ht="12.75" customHeight="1">
      <c r="AJ354" s="7" t="str">
        <f>IF(Data_Summary!Y355&lt;&gt;"Coverage","",IF(Data_Summary!AA355="","",IF(COUNTIFS(Data_Summary!$Y$2:$Y355,"Coverage",Data_Summary!$AA$2:$AA355,Data_Summary!AA355)=1,Data_Summary!AA355,"")))</f>
        <v/>
      </c>
      <c r="AK354" s="7" t="str">
        <f>IF(AJ354="","",COUNTIFS(Data_Summary!$Y$2:$Y$5002,"Coverage",Data_Summary!$AA$2:$AA$5002,AJ354))</f>
        <v/>
      </c>
    </row>
    <row r="355" spans="36:37" ht="12.75" customHeight="1">
      <c r="AJ355" s="7" t="str">
        <f>IF(Data_Summary!Y356&lt;&gt;"Coverage","",IF(Data_Summary!AA356="","",IF(COUNTIFS(Data_Summary!$Y$2:$Y356,"Coverage",Data_Summary!$AA$2:$AA356,Data_Summary!AA356)=1,Data_Summary!AA356,"")))</f>
        <v/>
      </c>
      <c r="AK355" s="7" t="str">
        <f>IF(AJ355="","",COUNTIFS(Data_Summary!$Y$2:$Y$5002,"Coverage",Data_Summary!$AA$2:$AA$5002,AJ355))</f>
        <v/>
      </c>
    </row>
    <row r="356" spans="36:37" ht="12.75" customHeight="1">
      <c r="AJ356" s="7" t="str">
        <f>IF(Data_Summary!Y357&lt;&gt;"Coverage","",IF(Data_Summary!AA357="","",IF(COUNTIFS(Data_Summary!$Y$2:$Y357,"Coverage",Data_Summary!$AA$2:$AA357,Data_Summary!AA357)=1,Data_Summary!AA357,"")))</f>
        <v/>
      </c>
      <c r="AK356" s="7" t="str">
        <f>IF(AJ356="","",COUNTIFS(Data_Summary!$Y$2:$Y$5002,"Coverage",Data_Summary!$AA$2:$AA$5002,AJ356))</f>
        <v/>
      </c>
    </row>
    <row r="357" spans="36:37" ht="12.75" customHeight="1">
      <c r="AJ357" s="7" t="str">
        <f>IF(Data_Summary!Y358&lt;&gt;"Coverage","",IF(Data_Summary!AA358="","",IF(COUNTIFS(Data_Summary!$Y$2:$Y358,"Coverage",Data_Summary!$AA$2:$AA358,Data_Summary!AA358)=1,Data_Summary!AA358,"")))</f>
        <v/>
      </c>
      <c r="AK357" s="7" t="str">
        <f>IF(AJ357="","",COUNTIFS(Data_Summary!$Y$2:$Y$5002,"Coverage",Data_Summary!$AA$2:$AA$5002,AJ357))</f>
        <v/>
      </c>
    </row>
    <row r="358" spans="36:37" ht="12.75" customHeight="1">
      <c r="AJ358" s="7" t="str">
        <f>IF(Data_Summary!Y359&lt;&gt;"Coverage","",IF(Data_Summary!AA359="","",IF(COUNTIFS(Data_Summary!$Y$2:$Y359,"Coverage",Data_Summary!$AA$2:$AA359,Data_Summary!AA359)=1,Data_Summary!AA359,"")))</f>
        <v/>
      </c>
      <c r="AK358" s="7" t="str">
        <f>IF(AJ358="","",COUNTIFS(Data_Summary!$Y$2:$Y$5002,"Coverage",Data_Summary!$AA$2:$AA$5002,AJ358))</f>
        <v/>
      </c>
    </row>
    <row r="359" spans="36:37" ht="12.75" customHeight="1">
      <c r="AJ359" s="7" t="str">
        <f>IF(Data_Summary!Y360&lt;&gt;"Coverage","",IF(Data_Summary!AA360="","",IF(COUNTIFS(Data_Summary!$Y$2:$Y360,"Coverage",Data_Summary!$AA$2:$AA360,Data_Summary!AA360)=1,Data_Summary!AA360,"")))</f>
        <v/>
      </c>
      <c r="AK359" s="7" t="str">
        <f>IF(AJ359="","",COUNTIFS(Data_Summary!$Y$2:$Y$5002,"Coverage",Data_Summary!$AA$2:$AA$5002,AJ359))</f>
        <v/>
      </c>
    </row>
    <row r="360" spans="36:37" ht="12.75" customHeight="1">
      <c r="AJ360" s="7" t="str">
        <f>IF(Data_Summary!Y361&lt;&gt;"Coverage","",IF(Data_Summary!AA361="","",IF(COUNTIFS(Data_Summary!$Y$2:$Y361,"Coverage",Data_Summary!$AA$2:$AA361,Data_Summary!AA361)=1,Data_Summary!AA361,"")))</f>
        <v/>
      </c>
      <c r="AK360" s="7" t="str">
        <f>IF(AJ360="","",COUNTIFS(Data_Summary!$Y$2:$Y$5002,"Coverage",Data_Summary!$AA$2:$AA$5002,AJ360))</f>
        <v/>
      </c>
    </row>
    <row r="361" spans="36:37" ht="12.75" customHeight="1">
      <c r="AJ361" s="7" t="str">
        <f>IF(Data_Summary!Y362&lt;&gt;"Coverage","",IF(Data_Summary!AA362="","",IF(COUNTIFS(Data_Summary!$Y$2:$Y362,"Coverage",Data_Summary!$AA$2:$AA362,Data_Summary!AA362)=1,Data_Summary!AA362,"")))</f>
        <v/>
      </c>
      <c r="AK361" s="7" t="str">
        <f>IF(AJ361="","",COUNTIFS(Data_Summary!$Y$2:$Y$5002,"Coverage",Data_Summary!$AA$2:$AA$5002,AJ361))</f>
        <v/>
      </c>
    </row>
    <row r="362" spans="36:37" ht="12.75" customHeight="1">
      <c r="AJ362" s="7" t="str">
        <f>IF(Data_Summary!Y363&lt;&gt;"Coverage","",IF(Data_Summary!AA363="","",IF(COUNTIFS(Data_Summary!$Y$2:$Y363,"Coverage",Data_Summary!$AA$2:$AA363,Data_Summary!AA363)=1,Data_Summary!AA363,"")))</f>
        <v/>
      </c>
      <c r="AK362" s="7" t="str">
        <f>IF(AJ362="","",COUNTIFS(Data_Summary!$Y$2:$Y$5002,"Coverage",Data_Summary!$AA$2:$AA$5002,AJ362))</f>
        <v/>
      </c>
    </row>
    <row r="363" spans="36:37" ht="12.75" customHeight="1">
      <c r="AJ363" s="7" t="str">
        <f>IF(Data_Summary!Y364&lt;&gt;"Coverage","",IF(Data_Summary!AA364="","",IF(COUNTIFS(Data_Summary!$Y$2:$Y364,"Coverage",Data_Summary!$AA$2:$AA364,Data_Summary!AA364)=1,Data_Summary!AA364,"")))</f>
        <v/>
      </c>
      <c r="AK363" s="7" t="str">
        <f>IF(AJ363="","",COUNTIFS(Data_Summary!$Y$2:$Y$5002,"Coverage",Data_Summary!$AA$2:$AA$5002,AJ363))</f>
        <v/>
      </c>
    </row>
    <row r="364" spans="36:37" ht="12.75" customHeight="1">
      <c r="AJ364" s="7" t="str">
        <f>IF(Data_Summary!Y365&lt;&gt;"Coverage","",IF(Data_Summary!AA365="","",IF(COUNTIFS(Data_Summary!$Y$2:$Y365,"Coverage",Data_Summary!$AA$2:$AA365,Data_Summary!AA365)=1,Data_Summary!AA365,"")))</f>
        <v/>
      </c>
      <c r="AK364" s="7" t="str">
        <f>IF(AJ364="","",COUNTIFS(Data_Summary!$Y$2:$Y$5002,"Coverage",Data_Summary!$AA$2:$AA$5002,AJ364))</f>
        <v/>
      </c>
    </row>
    <row r="365" spans="36:37" ht="12.75" customHeight="1">
      <c r="AJ365" s="7" t="str">
        <f>IF(Data_Summary!Y366&lt;&gt;"Coverage","",IF(Data_Summary!AA366="","",IF(COUNTIFS(Data_Summary!$Y$2:$Y366,"Coverage",Data_Summary!$AA$2:$AA366,Data_Summary!AA366)=1,Data_Summary!AA366,"")))</f>
        <v/>
      </c>
      <c r="AK365" s="7" t="str">
        <f>IF(AJ365="","",COUNTIFS(Data_Summary!$Y$2:$Y$5002,"Coverage",Data_Summary!$AA$2:$AA$5002,AJ365))</f>
        <v/>
      </c>
    </row>
    <row r="366" spans="36:37" ht="12.75" customHeight="1">
      <c r="AJ366" s="7" t="str">
        <f>IF(Data_Summary!Y367&lt;&gt;"Coverage","",IF(Data_Summary!AA367="","",IF(COUNTIFS(Data_Summary!$Y$2:$Y367,"Coverage",Data_Summary!$AA$2:$AA367,Data_Summary!AA367)=1,Data_Summary!AA367,"")))</f>
        <v/>
      </c>
      <c r="AK366" s="7" t="str">
        <f>IF(AJ366="","",COUNTIFS(Data_Summary!$Y$2:$Y$5002,"Coverage",Data_Summary!$AA$2:$AA$5002,AJ366))</f>
        <v/>
      </c>
    </row>
    <row r="367" spans="36:37" ht="12.75" customHeight="1">
      <c r="AJ367" s="7" t="str">
        <f>IF(Data_Summary!Y368&lt;&gt;"Coverage","",IF(Data_Summary!AA368="","",IF(COUNTIFS(Data_Summary!$Y$2:$Y368,"Coverage",Data_Summary!$AA$2:$AA368,Data_Summary!AA368)=1,Data_Summary!AA368,"")))</f>
        <v/>
      </c>
      <c r="AK367" s="7" t="str">
        <f>IF(AJ367="","",COUNTIFS(Data_Summary!$Y$2:$Y$5002,"Coverage",Data_Summary!$AA$2:$AA$5002,AJ367))</f>
        <v/>
      </c>
    </row>
    <row r="368" spans="36:37" ht="12.75" customHeight="1">
      <c r="AJ368" s="7" t="str">
        <f>IF(Data_Summary!Y369&lt;&gt;"Coverage","",IF(Data_Summary!AA369="","",IF(COUNTIFS(Data_Summary!$Y$2:$Y369,"Coverage",Data_Summary!$AA$2:$AA369,Data_Summary!AA369)=1,Data_Summary!AA369,"")))</f>
        <v/>
      </c>
      <c r="AK368" s="7" t="str">
        <f>IF(AJ368="","",COUNTIFS(Data_Summary!$Y$2:$Y$5002,"Coverage",Data_Summary!$AA$2:$AA$5002,AJ368))</f>
        <v/>
      </c>
    </row>
    <row r="369" spans="36:37" ht="12.75" customHeight="1">
      <c r="AJ369" s="7" t="str">
        <f>IF(Data_Summary!Y370&lt;&gt;"Coverage","",IF(Data_Summary!AA370="","",IF(COUNTIFS(Data_Summary!$Y$2:$Y370,"Coverage",Data_Summary!$AA$2:$AA370,Data_Summary!AA370)=1,Data_Summary!AA370,"")))</f>
        <v/>
      </c>
      <c r="AK369" s="7" t="str">
        <f>IF(AJ369="","",COUNTIFS(Data_Summary!$Y$2:$Y$5002,"Coverage",Data_Summary!$AA$2:$AA$5002,AJ369))</f>
        <v/>
      </c>
    </row>
    <row r="370" spans="36:37" ht="12.75" customHeight="1">
      <c r="AJ370" s="7" t="str">
        <f>IF(Data_Summary!Y371&lt;&gt;"Coverage","",IF(Data_Summary!AA371="","",IF(COUNTIFS(Data_Summary!$Y$2:$Y371,"Coverage",Data_Summary!$AA$2:$AA371,Data_Summary!AA371)=1,Data_Summary!AA371,"")))</f>
        <v/>
      </c>
      <c r="AK370" s="7" t="str">
        <f>IF(AJ370="","",COUNTIFS(Data_Summary!$Y$2:$Y$5002,"Coverage",Data_Summary!$AA$2:$AA$5002,AJ370))</f>
        <v/>
      </c>
    </row>
    <row r="371" spans="36:37" ht="12.75" customHeight="1">
      <c r="AJ371" s="7" t="str">
        <f>IF(Data_Summary!Y372&lt;&gt;"Coverage","",IF(Data_Summary!AA372="","",IF(COUNTIFS(Data_Summary!$Y$2:$Y372,"Coverage",Data_Summary!$AA$2:$AA372,Data_Summary!AA372)=1,Data_Summary!AA372,"")))</f>
        <v/>
      </c>
      <c r="AK371" s="7" t="str">
        <f>IF(AJ371="","",COUNTIFS(Data_Summary!$Y$2:$Y$5002,"Coverage",Data_Summary!$AA$2:$AA$5002,AJ371))</f>
        <v/>
      </c>
    </row>
    <row r="372" spans="36:37" ht="12.75" customHeight="1">
      <c r="AJ372" s="7" t="str">
        <f>IF(Data_Summary!Y373&lt;&gt;"Coverage","",IF(Data_Summary!AA373="","",IF(COUNTIFS(Data_Summary!$Y$2:$Y373,"Coverage",Data_Summary!$AA$2:$AA373,Data_Summary!AA373)=1,Data_Summary!AA373,"")))</f>
        <v/>
      </c>
      <c r="AK372" s="7" t="str">
        <f>IF(AJ372="","",COUNTIFS(Data_Summary!$Y$2:$Y$5002,"Coverage",Data_Summary!$AA$2:$AA$5002,AJ372))</f>
        <v/>
      </c>
    </row>
    <row r="373" spans="36:37" ht="12.75" customHeight="1">
      <c r="AJ373" s="7" t="str">
        <f>IF(Data_Summary!Y374&lt;&gt;"Coverage","",IF(Data_Summary!AA374="","",IF(COUNTIFS(Data_Summary!$Y$2:$Y374,"Coverage",Data_Summary!$AA$2:$AA374,Data_Summary!AA374)=1,Data_Summary!AA374,"")))</f>
        <v/>
      </c>
      <c r="AK373" s="7" t="str">
        <f>IF(AJ373="","",COUNTIFS(Data_Summary!$Y$2:$Y$5002,"Coverage",Data_Summary!$AA$2:$AA$5002,AJ373))</f>
        <v/>
      </c>
    </row>
    <row r="374" spans="36:37" ht="12.75" customHeight="1">
      <c r="AJ374" s="7" t="str">
        <f>IF(Data_Summary!Y375&lt;&gt;"Coverage","",IF(Data_Summary!AA375="","",IF(COUNTIFS(Data_Summary!$Y$2:$Y375,"Coverage",Data_Summary!$AA$2:$AA375,Data_Summary!AA375)=1,Data_Summary!AA375,"")))</f>
        <v/>
      </c>
      <c r="AK374" s="7" t="str">
        <f>IF(AJ374="","",COUNTIFS(Data_Summary!$Y$2:$Y$5002,"Coverage",Data_Summary!$AA$2:$AA$5002,AJ374))</f>
        <v/>
      </c>
    </row>
    <row r="375" spans="36:37" ht="12.75" customHeight="1">
      <c r="AJ375" s="7" t="str">
        <f>IF(Data_Summary!Y376&lt;&gt;"Coverage","",IF(Data_Summary!AA376="","",IF(COUNTIFS(Data_Summary!$Y$2:$Y376,"Coverage",Data_Summary!$AA$2:$AA376,Data_Summary!AA376)=1,Data_Summary!AA376,"")))</f>
        <v/>
      </c>
      <c r="AK375" s="7" t="str">
        <f>IF(AJ375="","",COUNTIFS(Data_Summary!$Y$2:$Y$5002,"Coverage",Data_Summary!$AA$2:$AA$5002,AJ375))</f>
        <v/>
      </c>
    </row>
    <row r="376" spans="36:37" ht="12.75" customHeight="1">
      <c r="AJ376" s="7" t="str">
        <f>IF(Data_Summary!Y377&lt;&gt;"Coverage","",IF(Data_Summary!AA377="","",IF(COUNTIFS(Data_Summary!$Y$2:$Y377,"Coverage",Data_Summary!$AA$2:$AA377,Data_Summary!AA377)=1,Data_Summary!AA377,"")))</f>
        <v/>
      </c>
      <c r="AK376" s="7" t="str">
        <f>IF(AJ376="","",COUNTIFS(Data_Summary!$Y$2:$Y$5002,"Coverage",Data_Summary!$AA$2:$AA$5002,AJ376))</f>
        <v/>
      </c>
    </row>
    <row r="377" spans="36:37" ht="12.75" customHeight="1">
      <c r="AJ377" s="7" t="str">
        <f>IF(Data_Summary!Y378&lt;&gt;"Coverage","",IF(Data_Summary!AA378="","",IF(COUNTIFS(Data_Summary!$Y$2:$Y378,"Coverage",Data_Summary!$AA$2:$AA378,Data_Summary!AA378)=1,Data_Summary!AA378,"")))</f>
        <v/>
      </c>
      <c r="AK377" s="7" t="str">
        <f>IF(AJ377="","",COUNTIFS(Data_Summary!$Y$2:$Y$5002,"Coverage",Data_Summary!$AA$2:$AA$5002,AJ377))</f>
        <v/>
      </c>
    </row>
    <row r="378" spans="36:37" ht="12.75" customHeight="1">
      <c r="AJ378" s="7" t="str">
        <f>IF(Data_Summary!Y379&lt;&gt;"Coverage","",IF(Data_Summary!AA379="","",IF(COUNTIFS(Data_Summary!$Y$2:$Y379,"Coverage",Data_Summary!$AA$2:$AA379,Data_Summary!AA379)=1,Data_Summary!AA379,"")))</f>
        <v>AI Workshop By Natesh</v>
      </c>
      <c r="AK378" s="7">
        <f>IF(AJ378="","",COUNTIFS(Data_Summary!$Y$2:$Y$5002,"Coverage",Data_Summary!$AA$2:$AA$5002,AJ378))</f>
        <v>1</v>
      </c>
    </row>
    <row r="379" spans="36:37" ht="12.75" customHeight="1">
      <c r="AJ379" s="7" t="str">
        <f>IF(Data_Summary!Y380&lt;&gt;"Coverage","",IF(Data_Summary!AA380="","",IF(COUNTIFS(Data_Summary!$Y$2:$Y380,"Coverage",Data_Summary!$AA$2:$AA380,Data_Summary!AA380)=1,Data_Summary!AA380,"")))</f>
        <v/>
      </c>
      <c r="AK379" s="7" t="str">
        <f>IF(AJ379="","",COUNTIFS(Data_Summary!$Y$2:$Y$5002,"Coverage",Data_Summary!$AA$2:$AA$5002,AJ379))</f>
        <v/>
      </c>
    </row>
    <row r="380" spans="36:37" ht="12.75" customHeight="1">
      <c r="AJ380" s="7" t="str">
        <f>IF(Data_Summary!Y381&lt;&gt;"Coverage","",IF(Data_Summary!AA381="","",IF(COUNTIFS(Data_Summary!$Y$2:$Y381,"Coverage",Data_Summary!$AA$2:$AA381,Data_Summary!AA381)=1,Data_Summary!AA381,"")))</f>
        <v/>
      </c>
      <c r="AK380" s="7" t="str">
        <f>IF(AJ380="","",COUNTIFS(Data_Summary!$Y$2:$Y$5002,"Coverage",Data_Summary!$AA$2:$AA$5002,AJ380))</f>
        <v/>
      </c>
    </row>
    <row r="381" spans="36:37" ht="12.75" customHeight="1">
      <c r="AJ381" s="7" t="str">
        <f>IF(Data_Summary!Y382&lt;&gt;"Coverage","",IF(Data_Summary!AA382="","",IF(COUNTIFS(Data_Summary!$Y$2:$Y382,"Coverage",Data_Summary!$AA$2:$AA382,Data_Summary!AA382)=1,Data_Summary!AA382,"")))</f>
        <v/>
      </c>
      <c r="AK381" s="7" t="str">
        <f>IF(AJ381="","",COUNTIFS(Data_Summary!$Y$2:$Y$5002,"Coverage",Data_Summary!$AA$2:$AA$5002,AJ381))</f>
        <v/>
      </c>
    </row>
    <row r="382" spans="36:37" ht="12.75" customHeight="1">
      <c r="AJ382" s="7" t="str">
        <f>IF(Data_Summary!Y383&lt;&gt;"Coverage","",IF(Data_Summary!AA383="","",IF(COUNTIFS(Data_Summary!$Y$2:$Y383,"Coverage",Data_Summary!$AA$2:$AA383,Data_Summary!AA383)=1,Data_Summary!AA383,"")))</f>
        <v>Monthly Cadence IBU Head coverage on HC, Attrition, eltp and Bench</v>
      </c>
      <c r="AK382" s="7">
        <f>IF(AJ382="","",COUNTIFS(Data_Summary!$Y$2:$Y$5002,"Coverage",Data_Summary!$AA$2:$AA$5002,AJ382))</f>
        <v>1</v>
      </c>
    </row>
    <row r="383" spans="36:37" ht="12.75" customHeight="1">
      <c r="AJ383" s="7" t="str">
        <f>IF(Data_Summary!Y384&lt;&gt;"Coverage","",IF(Data_Summary!AA384="","",IF(COUNTIFS(Data_Summary!$Y$2:$Y384,"Coverage",Data_Summary!$AA$2:$AA384,Data_Summary!AA384)=1,Data_Summary!AA384,"")))</f>
        <v/>
      </c>
      <c r="AK383" s="7" t="str">
        <f>IF(AJ383="","",COUNTIFS(Data_Summary!$Y$2:$Y$5002,"Coverage",Data_Summary!$AA$2:$AA$5002,AJ383))</f>
        <v/>
      </c>
    </row>
    <row r="384" spans="36:37" ht="12.75" customHeight="1">
      <c r="AJ384" s="7" t="str">
        <f>IF(Data_Summary!Y385&lt;&gt;"Coverage","",IF(Data_Summary!AA385="","",IF(COUNTIFS(Data_Summary!$Y$2:$Y385,"Coverage",Data_Summary!$AA$2:$AA385,Data_Summary!AA385)=1,Data_Summary!AA385,"")))</f>
        <v/>
      </c>
      <c r="AK384" s="7" t="str">
        <f>IF(AJ384="","",COUNTIFS(Data_Summary!$Y$2:$Y$5002,"Coverage",Data_Summary!$AA$2:$AA$5002,AJ384))</f>
        <v/>
      </c>
    </row>
    <row r="385" spans="36:37" ht="12.75" customHeight="1">
      <c r="AJ385" s="7" t="str">
        <f>IF(Data_Summary!Y386&lt;&gt;"Coverage","",IF(Data_Summary!AA386="","",IF(COUNTIFS(Data_Summary!$Y$2:$Y386,"Coverage",Data_Summary!$AA$2:$AA386,Data_Summary!AA386)=1,Data_Summary!AA386,"")))</f>
        <v/>
      </c>
      <c r="AK385" s="7" t="str">
        <f>IF(AJ385="","",COUNTIFS(Data_Summary!$Y$2:$Y$5002,"Coverage",Data_Summary!$AA$2:$AA$5002,AJ385))</f>
        <v/>
      </c>
    </row>
    <row r="386" spans="36:37" ht="12.75" customHeight="1">
      <c r="AJ386" s="7" t="str">
        <f>IF(Data_Summary!Y387&lt;&gt;"Coverage","",IF(Data_Summary!AA387="","",IF(COUNTIFS(Data_Summary!$Y$2:$Y387,"Coverage",Data_Summary!$AA$2:$AA387,Data_Summary!AA387)=1,Data_Summary!AA387,"")))</f>
        <v/>
      </c>
      <c r="AK386" s="7" t="str">
        <f>IF(AJ386="","",COUNTIFS(Data_Summary!$Y$2:$Y$5002,"Coverage",Data_Summary!$AA$2:$AA$5002,AJ386))</f>
        <v/>
      </c>
    </row>
    <row r="387" spans="36:37" ht="12.75" customHeight="1">
      <c r="AJ387" s="7" t="str">
        <f>IF(Data_Summary!Y388&lt;&gt;"Coverage","",IF(Data_Summary!AA388="","",IF(COUNTIFS(Data_Summary!$Y$2:$Y388,"Coverage",Data_Summary!$AA$2:$AA388,Data_Summary!AA388)=1,Data_Summary!AA388,"")))</f>
        <v/>
      </c>
      <c r="AK387" s="7" t="str">
        <f>IF(AJ387="","",COUNTIFS(Data_Summary!$Y$2:$Y$5002,"Coverage",Data_Summary!$AA$2:$AA$5002,AJ387))</f>
        <v/>
      </c>
    </row>
    <row r="388" spans="36:37" ht="12.75" customHeight="1">
      <c r="AJ388" s="7" t="str">
        <f>IF(Data_Summary!Y389&lt;&gt;"Coverage","",IF(Data_Summary!AA389="","",IF(COUNTIFS(Data_Summary!$Y$2:$Y389,"Coverage",Data_Summary!$AA$2:$AA389,Data_Summary!AA389)=1,Data_Summary!AA389,"")))</f>
        <v/>
      </c>
      <c r="AK388" s="7" t="str">
        <f>IF(AJ388="","",COUNTIFS(Data_Summary!$Y$2:$Y$5002,"Coverage",Data_Summary!$AA$2:$AA$5002,AJ388))</f>
        <v/>
      </c>
    </row>
    <row r="389" spans="36:37" ht="12.75" customHeight="1">
      <c r="AJ389" s="7" t="str">
        <f>IF(Data_Summary!Y390&lt;&gt;"Coverage","",IF(Data_Summary!AA390="","",IF(COUNTIFS(Data_Summary!$Y$2:$Y390,"Coverage",Data_Summary!$AA$2:$AA390,Data_Summary!AA390)=1,Data_Summary!AA390,"")))</f>
        <v/>
      </c>
      <c r="AK389" s="7" t="str">
        <f>IF(AJ389="","",COUNTIFS(Data_Summary!$Y$2:$Y$5002,"Coverage",Data_Summary!$AA$2:$AA$5002,AJ389))</f>
        <v/>
      </c>
    </row>
    <row r="390" spans="36:37" ht="12.75" customHeight="1">
      <c r="AJ390" s="7" t="str">
        <f>IF(Data_Summary!Y391&lt;&gt;"Coverage","",IF(Data_Summary!AA391="","",IF(COUNTIFS(Data_Summary!$Y$2:$Y391,"Coverage",Data_Summary!$AA$2:$AA391,Data_Summary!AA391)=1,Data_Summary!AA391,"")))</f>
        <v/>
      </c>
      <c r="AK390" s="7" t="str">
        <f>IF(AJ390="","",COUNTIFS(Data_Summary!$Y$2:$Y$5002,"Coverage",Data_Summary!$AA$2:$AA$5002,AJ390))</f>
        <v/>
      </c>
    </row>
    <row r="391" spans="36:37" ht="12.75" customHeight="1">
      <c r="AJ391" s="7" t="str">
        <f>IF(Data_Summary!Y392&lt;&gt;"Coverage","",IF(Data_Summary!AA392="","",IF(COUNTIFS(Data_Summary!$Y$2:$Y392,"Coverage",Data_Summary!$AA$2:$AA392,Data_Summary!AA392)=1,Data_Summary!AA392,"")))</f>
        <v/>
      </c>
      <c r="AK391" s="7" t="str">
        <f>IF(AJ391="","",COUNTIFS(Data_Summary!$Y$2:$Y$5002,"Coverage",Data_Summary!$AA$2:$AA$5002,AJ391))</f>
        <v/>
      </c>
    </row>
    <row r="392" spans="36:37" ht="12.75" customHeight="1">
      <c r="AJ392" s="7" t="str">
        <f>IF(Data_Summary!Y393&lt;&gt;"Coverage","",IF(Data_Summary!AA393="","",IF(COUNTIFS(Data_Summary!$Y$2:$Y393,"Coverage",Data_Summary!$AA$2:$AA393,Data_Summary!AA393)=1,Data_Summary!AA393,"")))</f>
        <v/>
      </c>
      <c r="AK392" s="7" t="str">
        <f>IF(AJ392="","",COUNTIFS(Data_Summary!$Y$2:$Y$5002,"Coverage",Data_Summary!$AA$2:$AA$5002,AJ392))</f>
        <v/>
      </c>
    </row>
    <row r="393" spans="36:37" ht="12.75" customHeight="1">
      <c r="AJ393" s="7" t="str">
        <f>IF(Data_Summary!Y394&lt;&gt;"Coverage","",IF(Data_Summary!AA394="","",IF(COUNTIFS(Data_Summary!$Y$2:$Y394,"Coverage",Data_Summary!$AA$2:$AA394,Data_Summary!AA394)=1,Data_Summary!AA394,"")))</f>
        <v/>
      </c>
      <c r="AK393" s="7" t="str">
        <f>IF(AJ393="","",COUNTIFS(Data_Summary!$Y$2:$Y$5002,"Coverage",Data_Summary!$AA$2:$AA$5002,AJ393))</f>
        <v/>
      </c>
    </row>
    <row r="394" spans="36:37" ht="12.75" customHeight="1">
      <c r="AJ394" s="7" t="str">
        <f>IF(Data_Summary!Y395&lt;&gt;"Coverage","",IF(Data_Summary!AA395="","",IF(COUNTIFS(Data_Summary!$Y$2:$Y395,"Coverage",Data_Summary!$AA$2:$AA395,Data_Summary!AA395)=1,Data_Summary!AA395,"")))</f>
        <v/>
      </c>
      <c r="AK394" s="7" t="str">
        <f>IF(AJ394="","",COUNTIFS(Data_Summary!$Y$2:$Y$5002,"Coverage",Data_Summary!$AA$2:$AA$5002,AJ394))</f>
        <v/>
      </c>
    </row>
    <row r="395" spans="36:37" ht="12.75" customHeight="1">
      <c r="AJ395" s="7" t="str">
        <f>IF(Data_Summary!Y396&lt;&gt;"Coverage","",IF(Data_Summary!AA396="","",IF(COUNTIFS(Data_Summary!$Y$2:$Y396,"Coverage",Data_Summary!$AA$2:$AA396,Data_Summary!AA396)=1,Data_Summary!AA396,"")))</f>
        <v/>
      </c>
      <c r="AK395" s="7" t="str">
        <f>IF(AJ395="","",COUNTIFS(Data_Summary!$Y$2:$Y$5002,"Coverage",Data_Summary!$AA$2:$AA$5002,AJ395))</f>
        <v/>
      </c>
    </row>
    <row r="396" spans="36:37" ht="12.75" customHeight="1">
      <c r="AJ396" s="7" t="str">
        <f>IF(Data_Summary!Y397&lt;&gt;"Coverage","",IF(Data_Summary!AA397="","",IF(COUNTIFS(Data_Summary!$Y$2:$Y397,"Coverage",Data_Summary!$AA$2:$AA397,Data_Summary!AA397)=1,Data_Summary!AA397,"")))</f>
        <v/>
      </c>
      <c r="AK396" s="7" t="str">
        <f>IF(AJ396="","",COUNTIFS(Data_Summary!$Y$2:$Y$5002,"Coverage",Data_Summary!$AA$2:$AA$5002,AJ396))</f>
        <v/>
      </c>
    </row>
    <row r="397" spans="36:37" ht="12.75" customHeight="1">
      <c r="AJ397" s="7" t="str">
        <f>IF(Data_Summary!Y398&lt;&gt;"Coverage","",IF(Data_Summary!AA398="","",IF(COUNTIFS(Data_Summary!$Y$2:$Y398,"Coverage",Data_Summary!$AA$2:$AA398,Data_Summary!AA398)=1,Data_Summary!AA398,"")))</f>
        <v/>
      </c>
      <c r="AK397" s="7" t="str">
        <f>IF(AJ397="","",COUNTIFS(Data_Summary!$Y$2:$Y$5002,"Coverage",Data_Summary!$AA$2:$AA$5002,AJ397))</f>
        <v/>
      </c>
    </row>
    <row r="398" spans="36:37" ht="12.75" customHeight="1">
      <c r="AJ398" s="7" t="str">
        <f>IF(Data_Summary!Y399&lt;&gt;"Coverage","",IF(Data_Summary!AA399="","",IF(COUNTIFS(Data_Summary!$Y$2:$Y399,"Coverage",Data_Summary!$AA$2:$AA399,Data_Summary!AA399)=1,Data_Summary!AA399,"")))</f>
        <v>Learning &amp; Skill Building</v>
      </c>
      <c r="AK398" s="7">
        <f>IF(AJ398="","",COUNTIFS(Data_Summary!$Y$2:$Y$5002,"Coverage",Data_Summary!$AA$2:$AA$5002,AJ398))</f>
        <v>1</v>
      </c>
    </row>
    <row r="399" spans="36:37" ht="12.75" customHeight="1">
      <c r="AJ399" s="7" t="str">
        <f>IF(Data_Summary!Y400&lt;&gt;"Coverage","",IF(Data_Summary!AA400="","",IF(COUNTIFS(Data_Summary!$Y$2:$Y400,"Coverage",Data_Summary!$AA$2:$AA400,Data_Summary!AA400)=1,Data_Summary!AA400,"")))</f>
        <v>Career Support &amp; Sponsorship</v>
      </c>
      <c r="AK399" s="7">
        <f>IF(AJ399="","",COUNTIFS(Data_Summary!$Y$2:$Y$5002,"Coverage",Data_Summary!$AA$2:$AA$5002,AJ399))</f>
        <v>2</v>
      </c>
    </row>
    <row r="400" spans="36:37" ht="12.75" customHeight="1">
      <c r="AJ400" s="7" t="str">
        <f>IF(Data_Summary!Y401&lt;&gt;"Coverage","",IF(Data_Summary!AA401="","",IF(COUNTIFS(Data_Summary!$Y$2:$Y401,"Coverage",Data_Summary!$AA$2:$AA401,Data_Summary!AA401)=1,Data_Summary!AA401,"")))</f>
        <v>Recognition &amp; Visibility</v>
      </c>
      <c r="AK400" s="7">
        <f>IF(AJ400="","",COUNTIFS(Data_Summary!$Y$2:$Y$5002,"Coverage",Data_Summary!$AA$2:$AA$5002,AJ400))</f>
        <v>2</v>
      </c>
    </row>
    <row r="401" spans="36:37" ht="12.75" customHeight="1">
      <c r="AJ401" s="7" t="str">
        <f>IF(Data_Summary!Y402&lt;&gt;"Coverage","",IF(Data_Summary!AA402="","",IF(COUNTIFS(Data_Summary!$Y$2:$Y402,"Coverage",Data_Summary!$AA$2:$AA402,Data_Summary!AA402)=1,Data_Summary!AA402,"")))</f>
        <v/>
      </c>
      <c r="AK401" s="7" t="str">
        <f>IF(AJ401="","",COUNTIFS(Data_Summary!$Y$2:$Y$5002,"Coverage",Data_Summary!$AA$2:$AA$5002,AJ401))</f>
        <v/>
      </c>
    </row>
    <row r="402" spans="36:37" ht="12.75" customHeight="1">
      <c r="AJ402" s="7" t="str">
        <f>IF(Data_Summary!Y403&lt;&gt;"Coverage","",IF(Data_Summary!AA403="","",IF(COUNTIFS(Data_Summary!$Y$2:$Y403,"Coverage",Data_Summary!$AA$2:$AA403,Data_Summary!AA403)=1,Data_Summary!AA403,"")))</f>
        <v/>
      </c>
      <c r="AK402" s="7" t="str">
        <f>IF(AJ402="","",COUNTIFS(Data_Summary!$Y$2:$Y$5002,"Coverage",Data_Summary!$AA$2:$AA$5002,AJ402))</f>
        <v/>
      </c>
    </row>
    <row r="403" spans="36:37" ht="12.75" customHeight="1">
      <c r="AJ403" s="7" t="str">
        <f>IF(Data_Summary!Y404&lt;&gt;"Coverage","",IF(Data_Summary!AA404="","",IF(COUNTIFS(Data_Summary!$Y$2:$Y404,"Coverage",Data_Summary!$AA$2:$AA404,Data_Summary!AA404)=1,Data_Summary!AA404,"")))</f>
        <v/>
      </c>
      <c r="AK403" s="7" t="str">
        <f>IF(AJ403="","",COUNTIFS(Data_Summary!$Y$2:$Y$5002,"Coverage",Data_Summary!$AA$2:$AA$5002,AJ403))</f>
        <v/>
      </c>
    </row>
    <row r="404" spans="36:37" ht="12.75" customHeight="1">
      <c r="AJ404" s="7" t="str">
        <f>IF(Data_Summary!Y405&lt;&gt;"Coverage","",IF(Data_Summary!AA405="","",IF(COUNTIFS(Data_Summary!$Y$2:$Y405,"Coverage",Data_Summary!$AA$2:$AA405,Data_Summary!AA405)=1,Data_Summary!AA405,"")))</f>
        <v/>
      </c>
      <c r="AK404" s="7" t="str">
        <f>IF(AJ404="","",COUNTIFS(Data_Summary!$Y$2:$Y$5002,"Coverage",Data_Summary!$AA$2:$AA$5002,AJ404))</f>
        <v/>
      </c>
    </row>
    <row r="405" spans="36:37" ht="12.75" customHeight="1">
      <c r="AJ405" s="7" t="str">
        <f>IF(Data_Summary!Y406&lt;&gt;"Coverage","",IF(Data_Summary!AA406="","",IF(COUNTIFS(Data_Summary!$Y$2:$Y406,"Coverage",Data_Summary!$AA$2:$AA406,Data_Summary!AA406)=1,Data_Summary!AA406,"")))</f>
        <v>Engagement &amp; Motivation Across Stages</v>
      </c>
      <c r="AK405" s="7">
        <f>IF(AJ405="","",COUNTIFS(Data_Summary!$Y$2:$Y$5002,"Coverage",Data_Summary!$AA$2:$AA$5002,AJ405))</f>
        <v>1</v>
      </c>
    </row>
    <row r="406" spans="36:37" ht="12.75" customHeight="1">
      <c r="AJ406" s="7" t="str">
        <f>IF(Data_Summary!Y407&lt;&gt;"Coverage","",IF(Data_Summary!AA407="","",IF(COUNTIFS(Data_Summary!$Y$2:$Y407,"Coverage",Data_Summary!$AA$2:$AA407,Data_Summary!AA407)=1,Data_Summary!AA407,"")))</f>
        <v/>
      </c>
      <c r="AK406" s="7" t="str">
        <f>IF(AJ406="","",COUNTIFS(Data_Summary!$Y$2:$Y$5002,"Coverage",Data_Summary!$AA$2:$AA$5002,AJ406))</f>
        <v/>
      </c>
    </row>
    <row r="407" spans="36:37" ht="12.75" customHeight="1">
      <c r="AJ407" s="7" t="str">
        <f>IF(Data_Summary!Y408&lt;&gt;"Coverage","",IF(Data_Summary!AA408="","",IF(COUNTIFS(Data_Summary!$Y$2:$Y408,"Coverage",Data_Summary!$AA$2:$AA408,Data_Summary!AA408)=1,Data_Summary!AA408,"")))</f>
        <v/>
      </c>
      <c r="AK407" s="7" t="str">
        <f>IF(AJ407="","",COUNTIFS(Data_Summary!$Y$2:$Y$5002,"Coverage",Data_Summary!$AA$2:$AA$5002,AJ407))</f>
        <v/>
      </c>
    </row>
    <row r="408" spans="36:37" ht="12.75" customHeight="1">
      <c r="AJ408" s="7" t="str">
        <f>IF(Data_Summary!Y409&lt;&gt;"Coverage","",IF(Data_Summary!AA409="","",IF(COUNTIFS(Data_Summary!$Y$2:$Y409,"Coverage",Data_Summary!$AA$2:$AA409,Data_Summary!AA409)=1,Data_Summary!AA409,"")))</f>
        <v/>
      </c>
      <c r="AK408" s="7" t="str">
        <f>IF(AJ408="","",COUNTIFS(Data_Summary!$Y$2:$Y$5002,"Coverage",Data_Summary!$AA$2:$AA$5002,AJ408))</f>
        <v/>
      </c>
    </row>
    <row r="409" spans="36:37" ht="12.75" customHeight="1">
      <c r="AJ409" s="7" t="str">
        <f>IF(Data_Summary!Y410&lt;&gt;"Coverage","",IF(Data_Summary!AA410="","",IF(COUNTIFS(Data_Summary!$Y$2:$Y410,"Coverage",Data_Summary!$AA$2:$AA410,Data_Summary!AA410)=1,Data_Summary!AA410,"")))</f>
        <v/>
      </c>
      <c r="AK409" s="7" t="str">
        <f>IF(AJ409="","",COUNTIFS(Data_Summary!$Y$2:$Y$5002,"Coverage",Data_Summary!$AA$2:$AA$5002,AJ409))</f>
        <v/>
      </c>
    </row>
    <row r="410" spans="36:37" ht="12.75" customHeight="1">
      <c r="AJ410" s="7" t="str">
        <f>IF(Data_Summary!Y411&lt;&gt;"Coverage","",IF(Data_Summary!AA411="","",IF(COUNTIFS(Data_Summary!$Y$2:$Y411,"Coverage",Data_Summary!$AA$2:$AA411,Data_Summary!AA411)=1,Data_Summary!AA411,"")))</f>
        <v>Potluck</v>
      </c>
      <c r="AK410" s="7">
        <f>IF(AJ410="","",COUNTIFS(Data_Summary!$Y$2:$Y$5002,"Coverage",Data_Summary!$AA$2:$AA$5002,AJ410))</f>
        <v>1</v>
      </c>
    </row>
    <row r="411" spans="36:37" ht="12.75" customHeight="1">
      <c r="AJ411" s="7" t="str">
        <f>IF(Data_Summary!Y412&lt;&gt;"Coverage","",IF(Data_Summary!AA412="","",IF(COUNTIFS(Data_Summary!$Y$2:$Y412,"Coverage",Data_Summary!$AA$2:$AA412,Data_Summary!AA412)=1,Data_Summary!AA412,"")))</f>
        <v/>
      </c>
      <c r="AK411" s="7" t="str">
        <f>IF(AJ411="","",COUNTIFS(Data_Summary!$Y$2:$Y$5002,"Coverage",Data_Summary!$AA$2:$AA$5002,AJ411))</f>
        <v/>
      </c>
    </row>
    <row r="412" spans="36:37" ht="12.75" customHeight="1">
      <c r="AJ412" s="7" t="str">
        <f>IF(Data_Summary!Y413&lt;&gt;"Coverage","",IF(Data_Summary!AA413="","",IF(COUNTIFS(Data_Summary!$Y$2:$Y413,"Coverage",Data_Summary!$AA$2:$AA413,Data_Summary!AA413)=1,Data_Summary!AA413,"")))</f>
        <v/>
      </c>
      <c r="AK412" s="7" t="str">
        <f>IF(AJ412="","",COUNTIFS(Data_Summary!$Y$2:$Y$5002,"Coverage",Data_Summary!$AA$2:$AA$5002,AJ412))</f>
        <v/>
      </c>
    </row>
    <row r="413" spans="36:37" ht="12.75" customHeight="1">
      <c r="AJ413" s="7" t="str">
        <f>IF(Data_Summary!Y414&lt;&gt;"Coverage","",IF(Data_Summary!AA414="","",IF(COUNTIFS(Data_Summary!$Y$2:$Y414,"Coverage",Data_Summary!$AA$2:$AA414,Data_Summary!AA414)=1,Data_Summary!AA414,"")))</f>
        <v/>
      </c>
      <c r="AK413" s="7" t="str">
        <f>IF(AJ413="","",COUNTIFS(Data_Summary!$Y$2:$Y$5002,"Coverage",Data_Summary!$AA$2:$AA$5002,AJ413))</f>
        <v/>
      </c>
    </row>
    <row r="414" spans="36:37" ht="12.75" customHeight="1">
      <c r="AJ414" s="7" t="str">
        <f>IF(Data_Summary!Y415&lt;&gt;"Coverage","",IF(Data_Summary!AA415="","",IF(COUNTIFS(Data_Summary!$Y$2:$Y415,"Coverage",Data_Summary!$AA$2:$AA415,Data_Summary!AA415)=1,Data_Summary!AA415,"")))</f>
        <v/>
      </c>
      <c r="AK414" s="7" t="str">
        <f>IF(AJ414="","",COUNTIFS(Data_Summary!$Y$2:$Y$5002,"Coverage",Data_Summary!$AA$2:$AA$5002,AJ414))</f>
        <v/>
      </c>
    </row>
    <row r="415" spans="36:37" ht="12.75" customHeight="1">
      <c r="AJ415" s="7" t="str">
        <f>IF(Data_Summary!Y416&lt;&gt;"Coverage","",IF(Data_Summary!AA416="","",IF(COUNTIFS(Data_Summary!$Y$2:$Y416,"Coverage",Data_Summary!$AA$2:$AA416,Data_Summary!AA416)=1,Data_Summary!AA416,"")))</f>
        <v/>
      </c>
      <c r="AK415" s="7" t="str">
        <f>IF(AJ415="","",COUNTIFS(Data_Summary!$Y$2:$Y$5002,"Coverage",Data_Summary!$AA$2:$AA$5002,AJ415))</f>
        <v/>
      </c>
    </row>
    <row r="416" spans="36:37" ht="12.75" customHeight="1">
      <c r="AJ416" s="7" t="str">
        <f>IF(Data_Summary!Y417&lt;&gt;"Coverage","",IF(Data_Summary!AA417="","",IF(COUNTIFS(Data_Summary!$Y$2:$Y417,"Coverage",Data_Summary!$AA$2:$AA417,Data_Summary!AA417)=1,Data_Summary!AA417,"")))</f>
        <v/>
      </c>
      <c r="AK416" s="7" t="str">
        <f>IF(AJ416="","",COUNTIFS(Data_Summary!$Y$2:$Y$5002,"Coverage",Data_Summary!$AA$2:$AA$5002,AJ416))</f>
        <v/>
      </c>
    </row>
    <row r="417" spans="36:37" ht="12.75" customHeight="1">
      <c r="AJ417" s="7" t="str">
        <f>IF(Data_Summary!Y418&lt;&gt;"Coverage","",IF(Data_Summary!AA418="","",IF(COUNTIFS(Data_Summary!$Y$2:$Y418,"Coverage",Data_Summary!$AA$2:$AA418,Data_Summary!AA418)=1,Data_Summary!AA418,"")))</f>
        <v/>
      </c>
      <c r="AK417" s="7" t="str">
        <f>IF(AJ417="","",COUNTIFS(Data_Summary!$Y$2:$Y$5002,"Coverage",Data_Summary!$AA$2:$AA$5002,AJ417))</f>
        <v/>
      </c>
    </row>
    <row r="418" spans="36:37" ht="12.75" customHeight="1">
      <c r="AJ418" s="7" t="str">
        <f>IF(Data_Summary!Y419&lt;&gt;"Coverage","",IF(Data_Summary!AA419="","",IF(COUNTIFS(Data_Summary!$Y$2:$Y419,"Coverage",Data_Summary!$AA$2:$AA419,Data_Summary!AA419)=1,Data_Summary!AA419,"")))</f>
        <v/>
      </c>
      <c r="AK418" s="7" t="str">
        <f>IF(AJ418="","",COUNTIFS(Data_Summary!$Y$2:$Y$5002,"Coverage",Data_Summary!$AA$2:$AA$5002,AJ418))</f>
        <v/>
      </c>
    </row>
    <row r="419" spans="36:37" ht="12.75" customHeight="1">
      <c r="AJ419" s="7" t="str">
        <f>IF(Data_Summary!Y420&lt;&gt;"Coverage","",IF(Data_Summary!AA420="","",IF(COUNTIFS(Data_Summary!$Y$2:$Y420,"Coverage",Data_Summary!$AA$2:$AA420,Data_Summary!AA420)=1,Data_Summary!AA420,"")))</f>
        <v/>
      </c>
      <c r="AK419" s="7" t="str">
        <f>IF(AJ419="","",COUNTIFS(Data_Summary!$Y$2:$Y$5002,"Coverage",Data_Summary!$AA$2:$AA$5002,AJ419))</f>
        <v/>
      </c>
    </row>
    <row r="420" spans="36:37" ht="12.75" customHeight="1">
      <c r="AJ420" s="7" t="str">
        <f>IF(Data_Summary!Y421&lt;&gt;"Coverage","",IF(Data_Summary!AA421="","",IF(COUNTIFS(Data_Summary!$Y$2:$Y421,"Coverage",Data_Summary!$AA$2:$AA421,Data_Summary!AA421)=1,Data_Summary!AA421,"")))</f>
        <v/>
      </c>
      <c r="AK420" s="7" t="str">
        <f>IF(AJ420="","",COUNTIFS(Data_Summary!$Y$2:$Y$5002,"Coverage",Data_Summary!$AA$2:$AA$5002,AJ420))</f>
        <v/>
      </c>
    </row>
    <row r="421" spans="36:37" ht="12.75" customHeight="1">
      <c r="AJ421" s="7" t="str">
        <f>IF(Data_Summary!Y422&lt;&gt;"Coverage","",IF(Data_Summary!AA422="","",IF(COUNTIFS(Data_Summary!$Y$2:$Y422,"Coverage",Data_Summary!$AA$2:$AA422,Data_Summary!AA422)=1,Data_Summary!AA422,"")))</f>
        <v/>
      </c>
      <c r="AK421" s="7" t="str">
        <f>IF(AJ421="","",COUNTIFS(Data_Summary!$Y$2:$Y$5002,"Coverage",Data_Summary!$AA$2:$AA$5002,AJ421))</f>
        <v/>
      </c>
    </row>
    <row r="422" spans="36:37" ht="12.75" customHeight="1">
      <c r="AJ422" s="7" t="str">
        <f>IF(Data_Summary!Y423&lt;&gt;"Coverage","",IF(Data_Summary!AA423="","",IF(COUNTIFS(Data_Summary!$Y$2:$Y423,"Coverage",Data_Summary!$AA$2:$AA423,Data_Summary!AA423)=1,Data_Summary!AA423,"")))</f>
        <v>Know your Service Line 'AI Strategy &amp; Business Vision' from Mr. Natesh P</v>
      </c>
      <c r="AK422" s="7">
        <f>IF(AJ422="","",COUNTIFS(Data_Summary!$Y$2:$Y$5002,"Coverage",Data_Summary!$AA$2:$AA$5002,AJ422))</f>
        <v>1</v>
      </c>
    </row>
    <row r="423" spans="36:37" ht="12.75" customHeight="1">
      <c r="AJ423" s="7" t="str">
        <f>IF(Data_Summary!Y424&lt;&gt;"Coverage","",IF(Data_Summary!AA424="","",IF(COUNTIFS(Data_Summary!$Y$2:$Y424,"Coverage",Data_Summary!$AA$2:$AA424,Data_Summary!AA424)=1,Data_Summary!AA424,"")))</f>
        <v/>
      </c>
      <c r="AK423" s="7" t="str">
        <f>IF(AJ423="","",COUNTIFS(Data_Summary!$Y$2:$Y$5002,"Coverage",Data_Summary!$AA$2:$AA$5002,AJ423))</f>
        <v/>
      </c>
    </row>
    <row r="424" spans="36:37" ht="12.75" customHeight="1">
      <c r="AJ424" s="7" t="str">
        <f>IF(Data_Summary!Y425&lt;&gt;"Coverage","",IF(Data_Summary!AA425="","",IF(COUNTIFS(Data_Summary!$Y$2:$Y425,"Coverage",Data_Summary!$AA$2:$AA425,Data_Summary!AA425)=1,Data_Summary!AA425,"")))</f>
        <v/>
      </c>
      <c r="AK424" s="7" t="str">
        <f>IF(AJ424="","",COUNTIFS(Data_Summary!$Y$2:$Y$5002,"Coverage",Data_Summary!$AA$2:$AA$5002,AJ424))</f>
        <v/>
      </c>
    </row>
    <row r="425" spans="36:37" ht="12.75" customHeight="1">
      <c r="AJ425" s="7" t="str">
        <f>IF(Data_Summary!Y426&lt;&gt;"Coverage","",IF(Data_Summary!AA426="","",IF(COUNTIFS(Data_Summary!$Y$2:$Y426,"Coverage",Data_Summary!$AA$2:$AA426,Data_Summary!AA426)=1,Data_Summary!AA426,"")))</f>
        <v/>
      </c>
      <c r="AK425" s="7" t="str">
        <f>IF(AJ425="","",COUNTIFS(Data_Summary!$Y$2:$Y$5002,"Coverage",Data_Summary!$AA$2:$AA$5002,AJ425))</f>
        <v/>
      </c>
    </row>
    <row r="426" spans="36:37" ht="12.75" customHeight="1">
      <c r="AJ426" s="7" t="str">
        <f>IF(Data_Summary!Y427&lt;&gt;"Coverage","",IF(Data_Summary!AA427="","",IF(COUNTIFS(Data_Summary!$Y$2:$Y427,"Coverage",Data_Summary!$AA$2:$AA427,Data_Summary!AA427)=1,Data_Summary!AA427,"")))</f>
        <v/>
      </c>
      <c r="AK426" s="7" t="str">
        <f>IF(AJ426="","",COUNTIFS(Data_Summary!$Y$2:$Y$5002,"Coverage",Data_Summary!$AA$2:$AA$5002,AJ426))</f>
        <v/>
      </c>
    </row>
    <row r="427" spans="36:37" ht="12.75" customHeight="1">
      <c r="AJ427" s="7" t="str">
        <f>IF(Data_Summary!Y428&lt;&gt;"Coverage","",IF(Data_Summary!AA428="","",IF(COUNTIFS(Data_Summary!$Y$2:$Y428,"Coverage",Data_Summary!$AA$2:$AA428,Data_Summary!AA428)=1,Data_Summary!AA428,"")))</f>
        <v>Clarity On Role-based Learning Expectations</v>
      </c>
      <c r="AK427" s="7">
        <f>IF(AJ427="","",COUNTIFS(Data_Summary!$Y$2:$Y$5002,"Coverage",Data_Summary!$AA$2:$AA$5002,AJ427))</f>
        <v>1</v>
      </c>
    </row>
    <row r="428" spans="36:37" ht="12.75" customHeight="1">
      <c r="AJ428" s="7" t="str">
        <f>IF(Data_Summary!Y429&lt;&gt;"Coverage","",IF(Data_Summary!AA429="","",IF(COUNTIFS(Data_Summary!$Y$2:$Y429,"Coverage",Data_Summary!$AA$2:$AA429,Data_Summary!AA429)=1,Data_Summary!AA429,"")))</f>
        <v/>
      </c>
      <c r="AK428" s="7" t="str">
        <f>IF(AJ428="","",COUNTIFS(Data_Summary!$Y$2:$Y$5002,"Coverage",Data_Summary!$AA$2:$AA$5002,AJ428))</f>
        <v/>
      </c>
    </row>
    <row r="429" spans="36:37" ht="12.75" customHeight="1">
      <c r="AJ429" s="7" t="str">
        <f>IF(Data_Summary!Y430&lt;&gt;"Coverage","",IF(Data_Summary!AA430="","",IF(COUNTIFS(Data_Summary!$Y$2:$Y430,"Coverage",Data_Summary!$AA$2:$AA430,Data_Summary!AA430)=1,Data_Summary!AA430,"")))</f>
        <v/>
      </c>
      <c r="AK429" s="7" t="str">
        <f>IF(AJ429="","",COUNTIFS(Data_Summary!$Y$2:$Y$5002,"Coverage",Data_Summary!$AA$2:$AA$5002,AJ429))</f>
        <v/>
      </c>
    </row>
    <row r="430" spans="36:37" ht="12.75" customHeight="1">
      <c r="AJ430" s="7" t="str">
        <f>IF(Data_Summary!Y431&lt;&gt;"Coverage","",IF(Data_Summary!AA431="","",IF(COUNTIFS(Data_Summary!$Y$2:$Y431,"Coverage",Data_Summary!$AA$2:$AA431,Data_Summary!AA431)=1,Data_Summary!AA431,"")))</f>
        <v>Career Path Visibility</v>
      </c>
      <c r="AK430" s="7">
        <f>IF(AJ430="","",COUNTIFS(Data_Summary!$Y$2:$Y$5002,"Coverage",Data_Summary!$AA$2:$AA$5002,AJ430))</f>
        <v>2</v>
      </c>
    </row>
    <row r="431" spans="36:37" ht="12.75" customHeight="1">
      <c r="AJ431" s="7" t="str">
        <f>IF(Data_Summary!Y432&lt;&gt;"Coverage","",IF(Data_Summary!AA432="","",IF(COUNTIFS(Data_Summary!$Y$2:$Y432,"Coverage",Data_Summary!$AA$2:$AA432,Data_Summary!AA432)=1,Data_Summary!AA432,"")))</f>
        <v>Internal Growth Opportunities</v>
      </c>
      <c r="AK431" s="7">
        <f>IF(AJ431="","",COUNTIFS(Data_Summary!$Y$2:$Y$5002,"Coverage",Data_Summary!$AA$2:$AA$5002,AJ431))</f>
        <v>3</v>
      </c>
    </row>
    <row r="432" spans="36:37" ht="12.75" customHeight="1">
      <c r="AJ432" s="7" t="str">
        <f>IF(Data_Summary!Y433&lt;&gt;"Coverage","",IF(Data_Summary!AA433="","",IF(COUNTIFS(Data_Summary!$Y$2:$Y433,"Coverage",Data_Summary!$AA$2:$AA433,Data_Summary!AA433)=1,Data_Summary!AA433,"")))</f>
        <v/>
      </c>
      <c r="AK432" s="7" t="str">
        <f>IF(AJ432="","",COUNTIFS(Data_Summary!$Y$2:$Y$5002,"Coverage",Data_Summary!$AA$2:$AA$5002,AJ432))</f>
        <v/>
      </c>
    </row>
    <row r="433" spans="36:37" ht="12.75" customHeight="1">
      <c r="AJ433" s="7" t="str">
        <f>IF(Data_Summary!Y434&lt;&gt;"Coverage","",IF(Data_Summary!AA434="","",IF(COUNTIFS(Data_Summary!$Y$2:$Y434,"Coverage",Data_Summary!$AA$2:$AA434,Data_Summary!AA434)=1,Data_Summary!AA434,"")))</f>
        <v/>
      </c>
      <c r="AK433" s="7" t="str">
        <f>IF(AJ433="","",COUNTIFS(Data_Summary!$Y$2:$Y$5002,"Coverage",Data_Summary!$AA$2:$AA$5002,AJ433))</f>
        <v/>
      </c>
    </row>
    <row r="434" spans="36:37" ht="12.75" customHeight="1">
      <c r="AJ434" s="7" t="str">
        <f>IF(Data_Summary!Y435&lt;&gt;"Coverage","",IF(Data_Summary!AA435="","",IF(COUNTIFS(Data_Summary!$Y$2:$Y435,"Coverage",Data_Summary!$AA$2:$AA435,Data_Summary!AA435)=1,Data_Summary!AA435,"")))</f>
        <v>Engagement Plan Alignment</v>
      </c>
      <c r="AK434" s="7">
        <f>IF(AJ434="","",COUNTIFS(Data_Summary!$Y$2:$Y$5002,"Coverage",Data_Summary!$AA$2:$AA$5002,AJ434))</f>
        <v>1</v>
      </c>
    </row>
    <row r="435" spans="36:37" ht="12.75" customHeight="1">
      <c r="AJ435" s="7" t="str">
        <f>IF(Data_Summary!Y436&lt;&gt;"Coverage","",IF(Data_Summary!AA436="","",IF(COUNTIFS(Data_Summary!$Y$2:$Y436,"Coverage",Data_Summary!$AA$2:$AA436,Data_Summary!AA436)=1,Data_Summary!AA436,"")))</f>
        <v>Action Closure Discipline</v>
      </c>
      <c r="AK435" s="7">
        <f>IF(AJ435="","",COUNTIFS(Data_Summary!$Y$2:$Y$5002,"Coverage",Data_Summary!$AA$2:$AA$5002,AJ435))</f>
        <v>1</v>
      </c>
    </row>
    <row r="436" spans="36:37" ht="12.75" customHeight="1">
      <c r="AJ436" s="7" t="str">
        <f>IF(Data_Summary!Y437&lt;&gt;"Coverage","",IF(Data_Summary!AA437="","",IF(COUNTIFS(Data_Summary!$Y$2:$Y437,"Coverage",Data_Summary!$AA$2:$AA437,Data_Summary!AA437)=1,Data_Summary!AA437,"")))</f>
        <v/>
      </c>
      <c r="AK436" s="7" t="str">
        <f>IF(AJ436="","",COUNTIFS(Data_Summary!$Y$2:$Y$5002,"Coverage",Data_Summary!$AA$2:$AA$5002,AJ436))</f>
        <v/>
      </c>
    </row>
    <row r="437" spans="36:37" ht="12.75" customHeight="1">
      <c r="AJ437" s="7" t="str">
        <f>IF(Data_Summary!Y438&lt;&gt;"Coverage","",IF(Data_Summary!AA438="","",IF(COUNTIFS(Data_Summary!$Y$2:$Y438,"Coverage",Data_Summary!$AA$2:$AA438,Data_Summary!AA438)=1,Data_Summary!AA438,"")))</f>
        <v/>
      </c>
      <c r="AK437" s="7" t="str">
        <f>IF(AJ437="","",COUNTIFS(Data_Summary!$Y$2:$Y$5002,"Coverage",Data_Summary!$AA$2:$AA$5002,AJ437))</f>
        <v/>
      </c>
    </row>
    <row r="438" spans="36:37" ht="12.75" customHeight="1">
      <c r="AJ438" s="7" t="str">
        <f>IF(Data_Summary!Y439&lt;&gt;"Coverage","",IF(Data_Summary!AA439="","",IF(COUNTIFS(Data_Summary!$Y$2:$Y439,"Coverage",Data_Summary!$AA$2:$AA439,Data_Summary!AA439)=1,Data_Summary!AA439,"")))</f>
        <v/>
      </c>
      <c r="AK438" s="7" t="str">
        <f>IF(AJ438="","",COUNTIFS(Data_Summary!$Y$2:$Y$5002,"Coverage",Data_Summary!$AA$2:$AA$5002,AJ438))</f>
        <v/>
      </c>
    </row>
    <row r="439" spans="36:37" ht="12.75" customHeight="1">
      <c r="AJ439" s="7" t="str">
        <f>IF(Data_Summary!Y440&lt;&gt;"Coverage","",IF(Data_Summary!AA440="","",IF(COUNTIFS(Data_Summary!$Y$2:$Y440,"Coverage",Data_Summary!$AA$2:$AA440,Data_Summary!AA440)=1,Data_Summary!AA440,"")))</f>
        <v/>
      </c>
      <c r="AK439" s="7" t="str">
        <f>IF(AJ439="","",COUNTIFS(Data_Summary!$Y$2:$Y$5002,"Coverage",Data_Summary!$AA$2:$AA$5002,AJ439))</f>
        <v/>
      </c>
    </row>
    <row r="440" spans="36:37" ht="12.75" customHeight="1">
      <c r="AJ440" s="7" t="str">
        <f>IF(Data_Summary!Y441&lt;&gt;"Coverage","",IF(Data_Summary!AA441="","",IF(COUNTIFS(Data_Summary!$Y$2:$Y441,"Coverage",Data_Summary!$AA$2:$AA441,Data_Summary!AA441)=1,Data_Summary!AA441,"")))</f>
        <v/>
      </c>
      <c r="AK440" s="7" t="str">
        <f>IF(AJ440="","",COUNTIFS(Data_Summary!$Y$2:$Y$5002,"Coverage",Data_Summary!$AA$2:$AA$5002,AJ440))</f>
        <v/>
      </c>
    </row>
    <row r="441" spans="36:37" ht="12.75" customHeight="1">
      <c r="AJ441" s="7" t="str">
        <f>IF(Data_Summary!Y442&lt;&gt;"Coverage","",IF(Data_Summary!AA442="","",IF(COUNTIFS(Data_Summary!$Y$2:$Y442,"Coverage",Data_Summary!$AA$2:$AA442,Data_Summary!AA442)=1,Data_Summary!AA442,"")))</f>
        <v/>
      </c>
      <c r="AK441" s="7" t="str">
        <f>IF(AJ441="","",COUNTIFS(Data_Summary!$Y$2:$Y$5002,"Coverage",Data_Summary!$AA$2:$AA$5002,AJ441))</f>
        <v/>
      </c>
    </row>
    <row r="442" spans="36:37" ht="12.75" customHeight="1">
      <c r="AJ442" s="7" t="str">
        <f>IF(Data_Summary!Y443&lt;&gt;"Coverage","",IF(Data_Summary!AA443="","",IF(COUNTIFS(Data_Summary!$Y$2:$Y443,"Coverage",Data_Summary!$AA$2:$AA443,Data_Summary!AA443)=1,Data_Summary!AA443,"")))</f>
        <v/>
      </c>
      <c r="AK442" s="7" t="str">
        <f>IF(AJ442="","",COUNTIFS(Data_Summary!$Y$2:$Y$5002,"Coverage",Data_Summary!$AA$2:$AA$5002,AJ442))</f>
        <v/>
      </c>
    </row>
    <row r="443" spans="36:37" ht="12.75" customHeight="1">
      <c r="AJ443" s="7" t="str">
        <f>IF(Data_Summary!Y444&lt;&gt;"Coverage","",IF(Data_Summary!AA444="","",IF(COUNTIFS(Data_Summary!$Y$2:$Y444,"Coverage",Data_Summary!$AA$2:$AA444,Data_Summary!AA444)=1,Data_Summary!AA444,"")))</f>
        <v>CSR Alignment</v>
      </c>
      <c r="AK443" s="7">
        <f>IF(AJ443="","",COUNTIFS(Data_Summary!$Y$2:$Y$5002,"Coverage",Data_Summary!$AA$2:$AA$5002,AJ443))</f>
        <v>1</v>
      </c>
    </row>
    <row r="444" spans="36:37" ht="12.75" customHeight="1">
      <c r="AJ444" s="7" t="str">
        <f>IF(Data_Summary!Y445&lt;&gt;"Coverage","",IF(Data_Summary!AA445="","",IF(COUNTIFS(Data_Summary!$Y$2:$Y445,"Coverage",Data_Summary!$AA$2:$AA445,Data_Summary!AA445)=1,Data_Summary!AA445,"")))</f>
        <v>Volunteer Enablement</v>
      </c>
      <c r="AK444" s="7">
        <f>IF(AJ444="","",COUNTIFS(Data_Summary!$Y$2:$Y$5002,"Coverage",Data_Summary!$AA$2:$AA$5002,AJ444))</f>
        <v>1</v>
      </c>
    </row>
    <row r="445" spans="36:37" ht="12.75" customHeight="1">
      <c r="AJ445" s="7" t="str">
        <f>IF(Data_Summary!Y446&lt;&gt;"Coverage","",IF(Data_Summary!AA446="","",IF(COUNTIFS(Data_Summary!$Y$2:$Y446,"Coverage",Data_Summary!$AA$2:$AA446,Data_Summary!AA446)=1,Data_Summary!AA446,"")))</f>
        <v>Pride &amp; Purpose</v>
      </c>
      <c r="AK445" s="7">
        <f>IF(AJ445="","",COUNTIFS(Data_Summary!$Y$2:$Y$5002,"Coverage",Data_Summary!$AA$2:$AA$5002,AJ445))</f>
        <v>1</v>
      </c>
    </row>
    <row r="446" spans="36:37" ht="12.75" customHeight="1">
      <c r="AJ446" s="7" t="str">
        <f>IF(Data_Summary!Y447&lt;&gt;"Coverage","",IF(Data_Summary!AA447="","",IF(COUNTIFS(Data_Summary!$Y$2:$Y447,"Coverage",Data_Summary!$AA$2:$AA447,Data_Summary!AA447)=1,Data_Summary!AA447,"")))</f>
        <v/>
      </c>
      <c r="AK446" s="7" t="str">
        <f>IF(AJ446="","",COUNTIFS(Data_Summary!$Y$2:$Y$5002,"Coverage",Data_Summary!$AA$2:$AA$5002,AJ446))</f>
        <v/>
      </c>
    </row>
    <row r="447" spans="36:37" ht="12.75" customHeight="1">
      <c r="AJ447" s="7" t="str">
        <f>IF(Data_Summary!Y448&lt;&gt;"Coverage","",IF(Data_Summary!AA448="","",IF(COUNTIFS(Data_Summary!$Y$2:$Y448,"Coverage",Data_Summary!$AA$2:$AA448,Data_Summary!AA448)=1,Data_Summary!AA448,"")))</f>
        <v/>
      </c>
      <c r="AK447" s="7" t="str">
        <f>IF(AJ447="","",COUNTIFS(Data_Summary!$Y$2:$Y$5002,"Coverage",Data_Summary!$AA$2:$AA$5002,AJ447))</f>
        <v/>
      </c>
    </row>
    <row r="448" spans="36:37" ht="12.75" customHeight="1">
      <c r="AJ448" s="7" t="str">
        <f>IF(Data_Summary!Y449&lt;&gt;"Coverage","",IF(Data_Summary!AA449="","",IF(COUNTIFS(Data_Summary!$Y$2:$Y449,"Coverage",Data_Summary!$AA$2:$AA449,Data_Summary!AA449)=1,Data_Summary!AA449,"")))</f>
        <v/>
      </c>
      <c r="AK448" s="7" t="str">
        <f>IF(AJ448="","",COUNTIFS(Data_Summary!$Y$2:$Y$5002,"Coverage",Data_Summary!$AA$2:$AA$5002,AJ448))</f>
        <v/>
      </c>
    </row>
    <row r="449" spans="36:37" ht="12.75" customHeight="1">
      <c r="AJ449" s="7" t="str">
        <f>IF(Data_Summary!Y450&lt;&gt;"Coverage","",IF(Data_Summary!AA450="","",IF(COUNTIFS(Data_Summary!$Y$2:$Y450,"Coverage",Data_Summary!$AA$2:$AA450,Data_Summary!AA450)=1,Data_Summary!AA450,"")))</f>
        <v/>
      </c>
      <c r="AK449" s="7" t="str">
        <f>IF(AJ449="","",COUNTIFS(Data_Summary!$Y$2:$Y$5002,"Coverage",Data_Summary!$AA$2:$AA$5002,AJ449))</f>
        <v/>
      </c>
    </row>
    <row r="450" spans="36:37" ht="12.75" customHeight="1">
      <c r="AJ450" s="7" t="str">
        <f>IF(Data_Summary!Y451&lt;&gt;"Coverage","",IF(Data_Summary!AA451="","",IF(COUNTIFS(Data_Summary!$Y$2:$Y451,"Coverage",Data_Summary!$AA$2:$AA451,Data_Summary!AA451)=1,Data_Summary!AA451,"")))</f>
        <v/>
      </c>
      <c r="AK450" s="7" t="str">
        <f>IF(AJ450="","",COUNTIFS(Data_Summary!$Y$2:$Y$5002,"Coverage",Data_Summary!$AA$2:$AA$5002,AJ450))</f>
        <v/>
      </c>
    </row>
    <row r="451" spans="36:37" ht="12.75" customHeight="1">
      <c r="AJ451" s="7" t="str">
        <f>IF(Data_Summary!Y452&lt;&gt;"Coverage","",IF(Data_Summary!AA452="","",IF(COUNTIFS(Data_Summary!$Y$2:$Y452,"Coverage",Data_Summary!$AA$2:$AA452,Data_Summary!AA452)=1,Data_Summary!AA452,"")))</f>
        <v/>
      </c>
      <c r="AK451" s="7" t="str">
        <f>IF(AJ451="","",COUNTIFS(Data_Summary!$Y$2:$Y$5002,"Coverage",Data_Summary!$AA$2:$AA$5002,AJ451))</f>
        <v/>
      </c>
    </row>
    <row r="452" spans="36:37" ht="12.75" customHeight="1">
      <c r="AJ452" s="7" t="str">
        <f>IF(Data_Summary!Y453&lt;&gt;"Coverage","",IF(Data_Summary!AA453="","",IF(COUNTIFS(Data_Summary!$Y$2:$Y453,"Coverage",Data_Summary!$AA$2:$AA453,Data_Summary!AA453)=1,Data_Summary!AA453,"")))</f>
        <v/>
      </c>
      <c r="AK452" s="7" t="str">
        <f>IF(AJ452="","",COUNTIFS(Data_Summary!$Y$2:$Y$5002,"Coverage",Data_Summary!$AA$2:$AA$5002,AJ452))</f>
        <v/>
      </c>
    </row>
    <row r="453" spans="36:37" ht="12.75" customHeight="1">
      <c r="AJ453" s="7" t="str">
        <f>IF(Data_Summary!Y454&lt;&gt;"Coverage","",IF(Data_Summary!AA454="","",IF(COUNTIFS(Data_Summary!$Y$2:$Y454,"Coverage",Data_Summary!$AA$2:$AA454,Data_Summary!AA454)=1,Data_Summary!AA454,"")))</f>
        <v/>
      </c>
      <c r="AK453" s="7" t="str">
        <f>IF(AJ453="","",COUNTIFS(Data_Summary!$Y$2:$Y$5002,"Coverage",Data_Summary!$AA$2:$AA$5002,AJ453))</f>
        <v/>
      </c>
    </row>
    <row r="454" spans="36:37" ht="12.75" customHeight="1">
      <c r="AJ454" s="7" t="str">
        <f>IF(Data_Summary!Y455&lt;&gt;"Coverage","",IF(Data_Summary!AA455="","",IF(COUNTIFS(Data_Summary!$Y$2:$Y455,"Coverage",Data_Summary!$AA$2:$AA455,Data_Summary!AA455)=1,Data_Summary!AA455,"")))</f>
        <v/>
      </c>
      <c r="AK454" s="7" t="str">
        <f>IF(AJ454="","",COUNTIFS(Data_Summary!$Y$2:$Y$5002,"Coverage",Data_Summary!$AA$2:$AA$5002,AJ454))</f>
        <v/>
      </c>
    </row>
    <row r="455" spans="36:37" ht="12.75" customHeight="1">
      <c r="AJ455" s="7" t="str">
        <f>IF(Data_Summary!Y456&lt;&gt;"Coverage","",IF(Data_Summary!AA456="","",IF(COUNTIFS(Data_Summary!$Y$2:$Y456,"Coverage",Data_Summary!$AA$2:$AA456,Data_Summary!AA456)=1,Data_Summary!AA456,"")))</f>
        <v/>
      </c>
      <c r="AK455" s="7" t="str">
        <f>IF(AJ455="","",COUNTIFS(Data_Summary!$Y$2:$Y$5002,"Coverage",Data_Summary!$AA$2:$AA$5002,AJ455))</f>
        <v/>
      </c>
    </row>
    <row r="456" spans="36:37" ht="12.75" customHeight="1">
      <c r="AJ456" s="7" t="str">
        <f>IF(Data_Summary!Y457&lt;&gt;"Coverage","",IF(Data_Summary!AA457="","",IF(COUNTIFS(Data_Summary!$Y$2:$Y457,"Coverage",Data_Summary!$AA$2:$AA457,Data_Summary!AA457)=1,Data_Summary!AA457,"")))</f>
        <v/>
      </c>
      <c r="AK456" s="7" t="str">
        <f>IF(AJ456="","",COUNTIFS(Data_Summary!$Y$2:$Y$5002,"Coverage",Data_Summary!$AA$2:$AA$5002,AJ456))</f>
        <v/>
      </c>
    </row>
    <row r="457" spans="36:37" ht="12.75" customHeight="1">
      <c r="AJ457" s="7" t="str">
        <f>IF(Data_Summary!Y458&lt;&gt;"Coverage","",IF(Data_Summary!AA458="","",IF(COUNTIFS(Data_Summary!$Y$2:$Y458,"Coverage",Data_Summary!$AA$2:$AA458,Data_Summary!AA458)=1,Data_Summary!AA458,"")))</f>
        <v/>
      </c>
      <c r="AK457" s="7" t="str">
        <f>IF(AJ457="","",COUNTIFS(Data_Summary!$Y$2:$Y$5002,"Coverage",Data_Summary!$AA$2:$AA$5002,AJ457))</f>
        <v/>
      </c>
    </row>
    <row r="458" spans="36:37" ht="12.75" customHeight="1">
      <c r="AJ458" s="7" t="str">
        <f>IF(Data_Summary!Y459&lt;&gt;"Coverage","",IF(Data_Summary!AA459="","",IF(COUNTIFS(Data_Summary!$Y$2:$Y459,"Coverage",Data_Summary!$AA$2:$AA459,Data_Summary!AA459)=1,Data_Summary!AA459,"")))</f>
        <v/>
      </c>
      <c r="AK458" s="7" t="str">
        <f>IF(AJ458="","",COUNTIFS(Data_Summary!$Y$2:$Y$5002,"Coverage",Data_Summary!$AA$2:$AA$5002,AJ458))</f>
        <v/>
      </c>
    </row>
    <row r="459" spans="36:37" ht="12.75" customHeight="1">
      <c r="AJ459" s="7" t="str">
        <f>IF(Data_Summary!Y460&lt;&gt;"Coverage","",IF(Data_Summary!AA460="","",IF(COUNTIFS(Data_Summary!$Y$2:$Y460,"Coverage",Data_Summary!$AA$2:$AA460,Data_Summary!AA460)=1,Data_Summary!AA460,"")))</f>
        <v/>
      </c>
      <c r="AK459" s="7" t="str">
        <f>IF(AJ459="","",COUNTIFS(Data_Summary!$Y$2:$Y$5002,"Coverage",Data_Summary!$AA$2:$AA$5002,AJ459))</f>
        <v/>
      </c>
    </row>
    <row r="460" spans="36:37" ht="12.75" customHeight="1">
      <c r="AJ460" s="7" t="str">
        <f>IF(Data_Summary!Y461&lt;&gt;"Coverage","",IF(Data_Summary!AA461="","",IF(COUNTIFS(Data_Summary!$Y$2:$Y461,"Coverage",Data_Summary!$AA$2:$AA461,Data_Summary!AA461)=1,Data_Summary!AA461,"")))</f>
        <v/>
      </c>
      <c r="AK460" s="7" t="str">
        <f>IF(AJ460="","",COUNTIFS(Data_Summary!$Y$2:$Y$5002,"Coverage",Data_Summary!$AA$2:$AA$5002,AJ460))</f>
        <v/>
      </c>
    </row>
    <row r="461" spans="36:37" ht="12.75" customHeight="1">
      <c r="AJ461" s="7" t="str">
        <f>IF(Data_Summary!Y462&lt;&gt;"Coverage","",IF(Data_Summary!AA462="","",IF(COUNTIFS(Data_Summary!$Y$2:$Y462,"Coverage",Data_Summary!$AA$2:$AA462,Data_Summary!AA462)=1,Data_Summary!AA462,"")))</f>
        <v/>
      </c>
      <c r="AK461" s="7" t="str">
        <f>IF(AJ461="","",COUNTIFS(Data_Summary!$Y$2:$Y$5002,"Coverage",Data_Summary!$AA$2:$AA$5002,AJ461))</f>
        <v/>
      </c>
    </row>
    <row r="462" spans="36:37" ht="12.75" customHeight="1">
      <c r="AJ462" s="7" t="str">
        <f>IF(Data_Summary!Y463&lt;&gt;"Coverage","",IF(Data_Summary!AA463="","",IF(COUNTIFS(Data_Summary!$Y$2:$Y463,"Coverage",Data_Summary!$AA$2:$AA463,Data_Summary!AA463)=1,Data_Summary!AA463,"")))</f>
        <v/>
      </c>
      <c r="AK462" s="7" t="str">
        <f>IF(AJ462="","",COUNTIFS(Data_Summary!$Y$2:$Y$5002,"Coverage",Data_Summary!$AA$2:$AA$5002,AJ462))</f>
        <v/>
      </c>
    </row>
    <row r="463" spans="36:37" ht="12.75" customHeight="1">
      <c r="AJ463" s="7" t="str">
        <f>IF(Data_Summary!Y464&lt;&gt;"Coverage","",IF(Data_Summary!AA464="","",IF(COUNTIFS(Data_Summary!$Y$2:$Y464,"Coverage",Data_Summary!$AA$2:$AA464,Data_Summary!AA464)=1,Data_Summary!AA464,"")))</f>
        <v/>
      </c>
      <c r="AK463" s="7" t="str">
        <f>IF(AJ463="","",COUNTIFS(Data_Summary!$Y$2:$Y$5002,"Coverage",Data_Summary!$AA$2:$AA$5002,AJ463))</f>
        <v/>
      </c>
    </row>
    <row r="464" spans="36:37" ht="12.75" customHeight="1">
      <c r="AJ464" s="7" t="str">
        <f>IF(Data_Summary!Y465&lt;&gt;"Coverage","",IF(Data_Summary!AA465="","",IF(COUNTIFS(Data_Summary!$Y$2:$Y465,"Coverage",Data_Summary!$AA$2:$AA465,Data_Summary!AA465)=1,Data_Summary!AA465,"")))</f>
        <v/>
      </c>
      <c r="AK464" s="7" t="str">
        <f>IF(AJ464="","",COUNTIFS(Data_Summary!$Y$2:$Y$5002,"Coverage",Data_Summary!$AA$2:$AA$5002,AJ464))</f>
        <v/>
      </c>
    </row>
    <row r="465" spans="36:37" ht="12.75" customHeight="1">
      <c r="AJ465" s="7" t="str">
        <f>IF(Data_Summary!Y466&lt;&gt;"Coverage","",IF(Data_Summary!AA466="","",IF(COUNTIFS(Data_Summary!$Y$2:$Y466,"Coverage",Data_Summary!$AA$2:$AA466,Data_Summary!AA466)=1,Data_Summary!AA466,"")))</f>
        <v/>
      </c>
      <c r="AK465" s="7" t="str">
        <f>IF(AJ465="","",COUNTIFS(Data_Summary!$Y$2:$Y$5002,"Coverage",Data_Summary!$AA$2:$AA$5002,AJ465))</f>
        <v/>
      </c>
    </row>
    <row r="466" spans="36:37" ht="12.75" customHeight="1">
      <c r="AJ466" s="7" t="str">
        <f>IF(Data_Summary!Y467&lt;&gt;"Coverage","",IF(Data_Summary!AA467="","",IF(COUNTIFS(Data_Summary!$Y$2:$Y467,"Coverage",Data_Summary!$AA$2:$AA467,Data_Summary!AA467)=1,Data_Summary!AA467,"")))</f>
        <v/>
      </c>
      <c r="AK466" s="7" t="str">
        <f>IF(AJ466="","",COUNTIFS(Data_Summary!$Y$2:$Y$5002,"Coverage",Data_Summary!$AA$2:$AA$5002,AJ466))</f>
        <v/>
      </c>
    </row>
    <row r="467" spans="36:37" ht="12.75" customHeight="1">
      <c r="AJ467" s="7" t="str">
        <f>IF(Data_Summary!Y468&lt;&gt;"Coverage","",IF(Data_Summary!AA468="","",IF(COUNTIFS(Data_Summary!$Y$2:$Y468,"Coverage",Data_Summary!$AA$2:$AA468,Data_Summary!AA468)=1,Data_Summary!AA468,"")))</f>
        <v/>
      </c>
      <c r="AK467" s="7" t="str">
        <f>IF(AJ467="","",COUNTIFS(Data_Summary!$Y$2:$Y$5002,"Coverage",Data_Summary!$AA$2:$AA$5002,AJ467))</f>
        <v/>
      </c>
    </row>
    <row r="468" spans="36:37" ht="12.75" customHeight="1">
      <c r="AJ468" s="7" t="str">
        <f>IF(Data_Summary!Y469&lt;&gt;"Coverage","",IF(Data_Summary!AA469="","",IF(COUNTIFS(Data_Summary!$Y$2:$Y469,"Coverage",Data_Summary!$AA$2:$AA469,Data_Summary!AA469)=1,Data_Summary!AA469,"")))</f>
        <v/>
      </c>
      <c r="AK468" s="7" t="str">
        <f>IF(AJ468="","",COUNTIFS(Data_Summary!$Y$2:$Y$5002,"Coverage",Data_Summary!$AA$2:$AA$5002,AJ468))</f>
        <v/>
      </c>
    </row>
    <row r="469" spans="36:37" ht="12.75" customHeight="1">
      <c r="AJ469" s="7" t="str">
        <f>IF(Data_Summary!Y470&lt;&gt;"Coverage","",IF(Data_Summary!AA470="","",IF(COUNTIFS(Data_Summary!$Y$2:$Y470,"Coverage",Data_Summary!$AA$2:$AA470,Data_Summary!AA470)=1,Data_Summary!AA470,"")))</f>
        <v/>
      </c>
      <c r="AK469" s="7" t="str">
        <f>IF(AJ469="","",COUNTIFS(Data_Summary!$Y$2:$Y$5002,"Coverage",Data_Summary!$AA$2:$AA$5002,AJ469))</f>
        <v/>
      </c>
    </row>
    <row r="470" spans="36:37" ht="12.75" customHeight="1">
      <c r="AJ470" s="7" t="str">
        <f>IF(Data_Summary!Y471&lt;&gt;"Coverage","",IF(Data_Summary!AA471="","",IF(COUNTIFS(Data_Summary!$Y$2:$Y471,"Coverage",Data_Summary!$AA$2:$AA471,Data_Summary!AA471)=1,Data_Summary!AA471,"")))</f>
        <v/>
      </c>
      <c r="AK470" s="7" t="str">
        <f>IF(AJ470="","",COUNTIFS(Data_Summary!$Y$2:$Y$5002,"Coverage",Data_Summary!$AA$2:$AA$5002,AJ470))</f>
        <v/>
      </c>
    </row>
    <row r="471" spans="36:37" ht="12.75" customHeight="1">
      <c r="AJ471" s="7" t="str">
        <f>IF(Data_Summary!Y472&lt;&gt;"Coverage","",IF(Data_Summary!AA472="","",IF(COUNTIFS(Data_Summary!$Y$2:$Y472,"Coverage",Data_Summary!$AA$2:$AA472,Data_Summary!AA472)=1,Data_Summary!AA472,"")))</f>
        <v/>
      </c>
      <c r="AK471" s="7" t="str">
        <f>IF(AJ471="","",COUNTIFS(Data_Summary!$Y$2:$Y$5002,"Coverage",Data_Summary!$AA$2:$AA$5002,AJ471))</f>
        <v/>
      </c>
    </row>
    <row r="472" spans="36:37" ht="12.75" customHeight="1">
      <c r="AJ472" s="7" t="str">
        <f>IF(Data_Summary!Y473&lt;&gt;"Coverage","",IF(Data_Summary!AA473="","",IF(COUNTIFS(Data_Summary!$Y$2:$Y473,"Coverage",Data_Summary!$AA$2:$AA473,Data_Summary!AA473)=1,Data_Summary!AA473,"")))</f>
        <v/>
      </c>
      <c r="AK472" s="7" t="str">
        <f>IF(AJ472="","",COUNTIFS(Data_Summary!$Y$2:$Y$5002,"Coverage",Data_Summary!$AA$2:$AA$5002,AJ472))</f>
        <v/>
      </c>
    </row>
    <row r="473" spans="36:37" ht="12.75" customHeight="1">
      <c r="AJ473" s="7" t="str">
        <f>IF(Data_Summary!Y474&lt;&gt;"Coverage","",IF(Data_Summary!AA474="","",IF(COUNTIFS(Data_Summary!$Y$2:$Y474,"Coverage",Data_Summary!$AA$2:$AA474,Data_Summary!AA474)=1,Data_Summary!AA474,"")))</f>
        <v/>
      </c>
      <c r="AK473" s="7" t="str">
        <f>IF(AJ473="","",COUNTIFS(Data_Summary!$Y$2:$Y$5002,"Coverage",Data_Summary!$AA$2:$AA$5002,AJ473))</f>
        <v/>
      </c>
    </row>
    <row r="474" spans="36:37" ht="12.75" customHeight="1">
      <c r="AJ474" s="7" t="str">
        <f>IF(Data_Summary!Y475&lt;&gt;"Coverage","",IF(Data_Summary!AA475="","",IF(COUNTIFS(Data_Summary!$Y$2:$Y475,"Coverage",Data_Summary!$AA$2:$AA475,Data_Summary!AA475)=1,Data_Summary!AA475,"")))</f>
        <v/>
      </c>
      <c r="AK474" s="7" t="str">
        <f>IF(AJ474="","",COUNTIFS(Data_Summary!$Y$2:$Y$5002,"Coverage",Data_Summary!$AA$2:$AA$5002,AJ474))</f>
        <v/>
      </c>
    </row>
    <row r="475" spans="36:37" ht="12.75" customHeight="1">
      <c r="AJ475" s="7" t="str">
        <f>IF(Data_Summary!Y476&lt;&gt;"Coverage","",IF(Data_Summary!AA476="","",IF(COUNTIFS(Data_Summary!$Y$2:$Y476,"Coverage",Data_Summary!$AA$2:$AA476,Data_Summary!AA476)=1,Data_Summary!AA476,"")))</f>
        <v/>
      </c>
      <c r="AK475" s="7" t="str">
        <f>IF(AJ475="","",COUNTIFS(Data_Summary!$Y$2:$Y$5002,"Coverage",Data_Summary!$AA$2:$AA$5002,AJ475))</f>
        <v/>
      </c>
    </row>
    <row r="476" spans="36:37" ht="12.75" customHeight="1">
      <c r="AJ476" s="7" t="str">
        <f>IF(Data_Summary!Y477&lt;&gt;"Coverage","",IF(Data_Summary!AA477="","",IF(COUNTIFS(Data_Summary!$Y$2:$Y477,"Coverage",Data_Summary!$AA$2:$AA477,Data_Summary!AA477)=1,Data_Summary!AA477,"")))</f>
        <v>Engagement &amp; Belonging</v>
      </c>
      <c r="AK476" s="7">
        <f>IF(AJ476="","",COUNTIFS(Data_Summary!$Y$2:$Y$5002,"Coverage",Data_Summary!$AA$2:$AA$5002,AJ476))</f>
        <v>3</v>
      </c>
    </row>
    <row r="477" spans="36:37" ht="12.75" customHeight="1">
      <c r="AJ477" s="7" t="str">
        <f>IF(Data_Summary!Y478&lt;&gt;"Coverage","",IF(Data_Summary!AA478="","",IF(COUNTIFS(Data_Summary!$Y$2:$Y478,"Coverage",Data_Summary!$AA$2:$AA478,Data_Summary!AA478)=1,Data_Summary!AA478,"")))</f>
        <v/>
      </c>
      <c r="AK477" s="7" t="str">
        <f>IF(AJ477="","",COUNTIFS(Data_Summary!$Y$2:$Y$5002,"Coverage",Data_Summary!$AA$2:$AA$5002,AJ477))</f>
        <v/>
      </c>
    </row>
    <row r="478" spans="36:37" ht="12.75" customHeight="1">
      <c r="AJ478" s="7" t="str">
        <f>IF(Data_Summary!Y479&lt;&gt;"Coverage","",IF(Data_Summary!AA479="","",IF(COUNTIFS(Data_Summary!$Y$2:$Y479,"Coverage",Data_Summary!$AA$2:$AA479,Data_Summary!AA479)=1,Data_Summary!AA479,"")))</f>
        <v/>
      </c>
      <c r="AK478" s="7" t="str">
        <f>IF(AJ478="","",COUNTIFS(Data_Summary!$Y$2:$Y$5002,"Coverage",Data_Summary!$AA$2:$AA$5002,AJ478))</f>
        <v/>
      </c>
    </row>
    <row r="479" spans="36:37" ht="12.75" customHeight="1">
      <c r="AJ479" s="7" t="str">
        <f>IF(Data_Summary!Y480&lt;&gt;"Coverage","",IF(Data_Summary!AA480="","",IF(COUNTIFS(Data_Summary!$Y$2:$Y480,"Coverage",Data_Summary!$AA$2:$AA480,Data_Summary!AA480)=1,Data_Summary!AA480,"")))</f>
        <v/>
      </c>
      <c r="AK479" s="7" t="str">
        <f>IF(AJ479="","",COUNTIFS(Data_Summary!$Y$2:$Y$5002,"Coverage",Data_Summary!$AA$2:$AA$5002,AJ479))</f>
        <v/>
      </c>
    </row>
    <row r="480" spans="36:37" ht="12.75" customHeight="1">
      <c r="AJ480" s="7" t="str">
        <f>IF(Data_Summary!Y481&lt;&gt;"Coverage","",IF(Data_Summary!AA481="","",IF(COUNTIFS(Data_Summary!$Y$2:$Y481,"Coverage",Data_Summary!$AA$2:$AA481,Data_Summary!AA481)=1,Data_Summary!AA481,"")))</f>
        <v/>
      </c>
      <c r="AK480" s="7" t="str">
        <f>IF(AJ480="","",COUNTIFS(Data_Summary!$Y$2:$Y$5002,"Coverage",Data_Summary!$AA$2:$AA$5002,AJ480))</f>
        <v/>
      </c>
    </row>
    <row r="481" spans="36:37" ht="12.75" customHeight="1">
      <c r="AJ481" s="7" t="str">
        <f>IF(Data_Summary!Y482&lt;&gt;"Coverage","",IF(Data_Summary!AA482="","",IF(COUNTIFS(Data_Summary!$Y$2:$Y482,"Coverage",Data_Summary!$AA$2:$AA482,Data_Summary!AA482)=1,Data_Summary!AA482,"")))</f>
        <v/>
      </c>
      <c r="AK481" s="7" t="str">
        <f>IF(AJ481="","",COUNTIFS(Data_Summary!$Y$2:$Y$5002,"Coverage",Data_Summary!$AA$2:$AA$5002,AJ481))</f>
        <v/>
      </c>
    </row>
    <row r="482" spans="36:37" ht="12.75" customHeight="1">
      <c r="AJ482" s="7" t="str">
        <f>IF(Data_Summary!Y483&lt;&gt;"Coverage","",IF(Data_Summary!AA483="","",IF(COUNTIFS(Data_Summary!$Y$2:$Y483,"Coverage",Data_Summary!$AA$2:$AA483,Data_Summary!AA483)=1,Data_Summary!AA483,"")))</f>
        <v>Self-Service &amp; Issue Resolution</v>
      </c>
      <c r="AK482" s="7">
        <f>IF(AJ482="","",COUNTIFS(Data_Summary!$Y$2:$Y$5002,"Coverage",Data_Summary!$AA$2:$AA$5002,AJ482))</f>
        <v>1</v>
      </c>
    </row>
    <row r="483" spans="36:37" ht="12.75" customHeight="1">
      <c r="AJ483" s="7" t="str">
        <f>IF(Data_Summary!Y484&lt;&gt;"Coverage","",IF(Data_Summary!AA484="","",IF(COUNTIFS(Data_Summary!$Y$2:$Y484,"Coverage",Data_Summary!$AA$2:$AA484,Data_Summary!AA484)=1,Data_Summary!AA484,"")))</f>
        <v/>
      </c>
      <c r="AK483" s="7" t="str">
        <f>IF(AJ483="","",COUNTIFS(Data_Summary!$Y$2:$Y$5002,"Coverage",Data_Summary!$AA$2:$AA$5002,AJ483))</f>
        <v/>
      </c>
    </row>
    <row r="484" spans="36:37" ht="12.75" customHeight="1">
      <c r="AJ484" s="7" t="str">
        <f>IF(Data_Summary!Y485&lt;&gt;"Coverage","",IF(Data_Summary!AA485="","",IF(COUNTIFS(Data_Summary!$Y$2:$Y485,"Coverage",Data_Summary!$AA$2:$AA485,Data_Summary!AA485)=1,Data_Summary!AA485,"")))</f>
        <v/>
      </c>
      <c r="AK484" s="7" t="str">
        <f>IF(AJ484="","",COUNTIFS(Data_Summary!$Y$2:$Y$5002,"Coverage",Data_Summary!$AA$2:$AA$5002,AJ484))</f>
        <v/>
      </c>
    </row>
    <row r="485" spans="36:37" ht="12.75" customHeight="1">
      <c r="AJ485" s="7" t="str">
        <f>IF(Data_Summary!Y486&lt;&gt;"Coverage","",IF(Data_Summary!AA486="","",IF(COUNTIFS(Data_Summary!$Y$2:$Y486,"Coverage",Data_Summary!$AA$2:$AA486,Data_Summary!AA486)=1,Data_Summary!AA486,"")))</f>
        <v/>
      </c>
      <c r="AK485" s="7" t="str">
        <f>IF(AJ485="","",COUNTIFS(Data_Summary!$Y$2:$Y$5002,"Coverage",Data_Summary!$AA$2:$AA$5002,AJ485))</f>
        <v/>
      </c>
    </row>
    <row r="486" spans="36:37" ht="12.75" customHeight="1">
      <c r="AJ486" s="7" t="str">
        <f>IF(Data_Summary!Y487&lt;&gt;"Coverage","",IF(Data_Summary!AA487="","",IF(COUNTIFS(Data_Summary!$Y$2:$Y487,"Coverage",Data_Summary!$AA$2:$AA487,Data_Summary!AA487)=1,Data_Summary!AA487,"")))</f>
        <v/>
      </c>
      <c r="AK486" s="7" t="str">
        <f>IF(AJ486="","",COUNTIFS(Data_Summary!$Y$2:$Y$5002,"Coverage",Data_Summary!$AA$2:$AA$5002,AJ486))</f>
        <v/>
      </c>
    </row>
    <row r="487" spans="36:37" ht="12.75" customHeight="1">
      <c r="AJ487" s="7" t="str">
        <f>IF(Data_Summary!Y488&lt;&gt;"Coverage","",IF(Data_Summary!AA488="","",IF(COUNTIFS(Data_Summary!$Y$2:$Y488,"Coverage",Data_Summary!$AA$2:$AA488,Data_Summary!AA488)=1,Data_Summary!AA488,"")))</f>
        <v>Generic Queries</v>
      </c>
      <c r="AK487" s="7">
        <f>IF(AJ487="","",COUNTIFS(Data_Summary!$Y$2:$Y$5002,"Coverage",Data_Summary!$AA$2:$AA$5002,AJ487))</f>
        <v>1</v>
      </c>
    </row>
    <row r="488" spans="36:37" ht="12.75" customHeight="1">
      <c r="AJ488" s="7" t="str">
        <f>IF(Data_Summary!Y489&lt;&gt;"Coverage","",IF(Data_Summary!AA489="","",IF(COUNTIFS(Data_Summary!$Y$2:$Y489,"Coverage",Data_Summary!$AA$2:$AA489,Data_Summary!AA489)=1,Data_Summary!AA489,"")))</f>
        <v/>
      </c>
      <c r="AK488" s="7" t="str">
        <f>IF(AJ488="","",COUNTIFS(Data_Summary!$Y$2:$Y$5002,"Coverage",Data_Summary!$AA$2:$AA$5002,AJ488))</f>
        <v/>
      </c>
    </row>
    <row r="489" spans="36:37" ht="12.75" customHeight="1">
      <c r="AJ489" s="7" t="str">
        <f>IF(Data_Summary!Y490&lt;&gt;"Coverage","",IF(Data_Summary!AA490="","",IF(COUNTIFS(Data_Summary!$Y$2:$Y490,"Coverage",Data_Summary!$AA$2:$AA490,Data_Summary!AA490)=1,Data_Summary!AA490,"")))</f>
        <v/>
      </c>
      <c r="AK489" s="7" t="str">
        <f>IF(AJ489="","",COUNTIFS(Data_Summary!$Y$2:$Y$5002,"Coverage",Data_Summary!$AA$2:$AA$5002,AJ489))</f>
        <v/>
      </c>
    </row>
    <row r="490" spans="36:37" ht="12.75" customHeight="1">
      <c r="AJ490" s="7" t="str">
        <f>IF(Data_Summary!Y491&lt;&gt;"Coverage","",IF(Data_Summary!AA491="","",IF(COUNTIFS(Data_Summary!$Y$2:$Y491,"Coverage",Data_Summary!$AA$2:$AA491,Data_Summary!AA491)=1,Data_Summary!AA491,"")))</f>
        <v/>
      </c>
      <c r="AK490" s="7" t="str">
        <f>IF(AJ490="","",COUNTIFS(Data_Summary!$Y$2:$Y$5002,"Coverage",Data_Summary!$AA$2:$AA$5002,AJ490))</f>
        <v/>
      </c>
    </row>
    <row r="491" spans="36:37" ht="12.75" customHeight="1">
      <c r="AJ491" s="7" t="str">
        <f>IF(Data_Summary!Y492&lt;&gt;"Coverage","",IF(Data_Summary!AA492="","",IF(COUNTIFS(Data_Summary!$Y$2:$Y492,"Coverage",Data_Summary!$AA$2:$AA492,Data_Summary!AA492)=1,Data_Summary!AA492,"")))</f>
        <v/>
      </c>
      <c r="AK491" s="7" t="str">
        <f>IF(AJ491="","",COUNTIFS(Data_Summary!$Y$2:$Y$5002,"Coverage",Data_Summary!$AA$2:$AA$5002,AJ491))</f>
        <v/>
      </c>
    </row>
    <row r="492" spans="36:37" ht="12.75" customHeight="1">
      <c r="AJ492" s="7" t="str">
        <f>IF(Data_Summary!Y493&lt;&gt;"Coverage","",IF(Data_Summary!AA493="","",IF(COUNTIFS(Data_Summary!$Y$2:$Y493,"Coverage",Data_Summary!$AA$2:$AA493,Data_Summary!AA493)=1,Data_Summary!AA493,"")))</f>
        <v/>
      </c>
      <c r="AK492" s="7" t="str">
        <f>IF(AJ492="","",COUNTIFS(Data_Summary!$Y$2:$Y$5002,"Coverage",Data_Summary!$AA$2:$AA$5002,AJ492))</f>
        <v/>
      </c>
    </row>
    <row r="493" spans="36:37" ht="12.75" customHeight="1">
      <c r="AJ493" s="7" t="str">
        <f>IF(Data_Summary!Y494&lt;&gt;"Coverage","",IF(Data_Summary!AA494="","",IF(COUNTIFS(Data_Summary!$Y$2:$Y494,"Coverage",Data_Summary!$AA$2:$AA494,Data_Summary!AA494)=1,Data_Summary!AA494,"")))</f>
        <v/>
      </c>
      <c r="AK493" s="7" t="str">
        <f>IF(AJ493="","",COUNTIFS(Data_Summary!$Y$2:$Y$5002,"Coverage",Data_Summary!$AA$2:$AA$5002,AJ493))</f>
        <v/>
      </c>
    </row>
    <row r="494" spans="36:37" ht="12.75" customHeight="1">
      <c r="AJ494" s="7" t="str">
        <f>IF(Data_Summary!Y495&lt;&gt;"Coverage","",IF(Data_Summary!AA495="","",IF(COUNTIFS(Data_Summary!$Y$2:$Y495,"Coverage",Data_Summary!$AA$2:$AA495,Data_Summary!AA495)=1,Data_Summary!AA495,"")))</f>
        <v>Rating Calibration Call</v>
      </c>
      <c r="AK494" s="7">
        <f>IF(AJ494="","",COUNTIFS(Data_Summary!$Y$2:$Y$5002,"Coverage",Data_Summary!$AA$2:$AA$5002,AJ494))</f>
        <v>2</v>
      </c>
    </row>
    <row r="495" spans="36:37" ht="12.75" customHeight="1">
      <c r="AJ495" s="7" t="str">
        <f>IF(Data_Summary!Y496&lt;&gt;"Coverage","",IF(Data_Summary!AA496="","",IF(COUNTIFS(Data_Summary!$Y$2:$Y496,"Coverage",Data_Summary!$AA$2:$AA496,Data_Summary!AA496)=1,Data_Summary!AA496,"")))</f>
        <v/>
      </c>
      <c r="AK495" s="7" t="str">
        <f>IF(AJ495="","",COUNTIFS(Data_Summary!$Y$2:$Y$5002,"Coverage",Data_Summary!$AA$2:$AA$5002,AJ495))</f>
        <v/>
      </c>
    </row>
    <row r="496" spans="36:37" ht="12.75" customHeight="1">
      <c r="AJ496" s="7" t="str">
        <f>IF(Data_Summary!Y497&lt;&gt;"Coverage","",IF(Data_Summary!AA497="","",IF(COUNTIFS(Data_Summary!$Y$2:$Y497,"Coverage",Data_Summary!$AA$2:$AA497,Data_Summary!AA497)=1,Data_Summary!AA497,"")))</f>
        <v/>
      </c>
      <c r="AK496" s="7" t="str">
        <f>IF(AJ496="","",COUNTIFS(Data_Summary!$Y$2:$Y$5002,"Coverage",Data_Summary!$AA$2:$AA$5002,AJ496))</f>
        <v/>
      </c>
    </row>
    <row r="497" spans="36:37" ht="12.75" customHeight="1">
      <c r="AJ497" s="7" t="str">
        <f>IF(Data_Summary!Y498&lt;&gt;"Coverage","",IF(Data_Summary!AA498="","",IF(COUNTIFS(Data_Summary!$Y$2:$Y498,"Coverage",Data_Summary!$AA$2:$AA498,Data_Summary!AA498)=1,Data_Summary!AA498,"")))</f>
        <v/>
      </c>
      <c r="AK497" s="7" t="str">
        <f>IF(AJ497="","",COUNTIFS(Data_Summary!$Y$2:$Y$5002,"Coverage",Data_Summary!$AA$2:$AA$5002,AJ497))</f>
        <v/>
      </c>
    </row>
    <row r="498" spans="36:37" ht="12.75" customHeight="1">
      <c r="AJ498" s="7" t="str">
        <f>IF(Data_Summary!Y499&lt;&gt;"Coverage","",IF(Data_Summary!AA499="","",IF(COUNTIFS(Data_Summary!$Y$2:$Y499,"Coverage",Data_Summary!$AA$2:$AA499,Data_Summary!AA499)=1,Data_Summary!AA499,"")))</f>
        <v/>
      </c>
      <c r="AK498" s="7" t="str">
        <f>IF(AJ498="","",COUNTIFS(Data_Summary!$Y$2:$Y$5002,"Coverage",Data_Summary!$AA$2:$AA$5002,AJ498))</f>
        <v/>
      </c>
    </row>
    <row r="499" spans="36:37" ht="12.75" customHeight="1">
      <c r="AJ499" s="7" t="str">
        <f>IF(Data_Summary!Y500&lt;&gt;"Coverage","",IF(Data_Summary!AA500="","",IF(COUNTIFS(Data_Summary!$Y$2:$Y500,"Coverage",Data_Summary!$AA$2:$AA500,Data_Summary!AA500)=1,Data_Summary!AA500,"")))</f>
        <v/>
      </c>
      <c r="AK499" s="7" t="str">
        <f>IF(AJ499="","",COUNTIFS(Data_Summary!$Y$2:$Y$5002,"Coverage",Data_Summary!$AA$2:$AA$5002,AJ499))</f>
        <v/>
      </c>
    </row>
    <row r="500" spans="36:37" ht="12.75" customHeight="1">
      <c r="AJ500" s="7" t="str">
        <f>IF(Data_Summary!Y501&lt;&gt;"Coverage","",IF(Data_Summary!AA501="","",IF(COUNTIFS(Data_Summary!$Y$2:$Y501,"Coverage",Data_Summary!$AA$2:$AA501,Data_Summary!AA501)=1,Data_Summary!AA501,"")))</f>
        <v/>
      </c>
      <c r="AK500" s="7" t="str">
        <f>IF(AJ500="","",COUNTIFS(Data_Summary!$Y$2:$Y$5002,"Coverage",Data_Summary!$AA$2:$AA$5002,AJ500))</f>
        <v/>
      </c>
    </row>
    <row r="501" spans="36:37" ht="12.75" customHeight="1">
      <c r="AJ501" s="7" t="str">
        <f>IF(Data_Summary!Y502&lt;&gt;"Coverage","",IF(Data_Summary!AA502="","",IF(COUNTIFS(Data_Summary!$Y$2:$Y502,"Coverage",Data_Summary!$AA$2:$AA502,Data_Summary!AA502)=1,Data_Summary!AA502,"")))</f>
        <v/>
      </c>
      <c r="AK501" s="7" t="str">
        <f>IF(AJ501="","",COUNTIFS(Data_Summary!$Y$2:$Y$5002,"Coverage",Data_Summary!$AA$2:$AA$5002,AJ501))</f>
        <v/>
      </c>
    </row>
    <row r="502" spans="36:37" ht="12.75" customHeight="1">
      <c r="AJ502" s="7" t="str">
        <f>IF(Data_Summary!Y503&lt;&gt;"Coverage","",IF(Data_Summary!AA503="","",IF(COUNTIFS(Data_Summary!$Y$2:$Y503,"Coverage",Data_Summary!$AA$2:$AA503,Data_Summary!AA503)=1,Data_Summary!AA503,"")))</f>
        <v/>
      </c>
      <c r="AK502" s="7" t="str">
        <f>IF(AJ502="","",COUNTIFS(Data_Summary!$Y$2:$Y$5002,"Coverage",Data_Summary!$AA$2:$AA$5002,AJ502))</f>
        <v/>
      </c>
    </row>
    <row r="503" spans="36:37" ht="12.75" customHeight="1">
      <c r="AJ503" s="7" t="str">
        <f>IF(Data_Summary!Y504&lt;&gt;"Coverage","",IF(Data_Summary!AA504="","",IF(COUNTIFS(Data_Summary!$Y$2:$Y504,"Coverage",Data_Summary!$AA$2:$AA504,Data_Summary!AA504)=1,Data_Summary!AA504,"")))</f>
        <v/>
      </c>
      <c r="AK503" s="7" t="str">
        <f>IF(AJ503="","",COUNTIFS(Data_Summary!$Y$2:$Y$5002,"Coverage",Data_Summary!$AA$2:$AA$5002,AJ503))</f>
        <v/>
      </c>
    </row>
    <row r="504" spans="36:37" ht="12.75" customHeight="1">
      <c r="AJ504" s="7" t="str">
        <f>IF(Data_Summary!Y505&lt;&gt;"Coverage","",IF(Data_Summary!AA505="","",IF(COUNTIFS(Data_Summary!$Y$2:$Y505,"Coverage",Data_Summary!$AA$2:$AA505,Data_Summary!AA505)=1,Data_Summary!AA505,"")))</f>
        <v/>
      </c>
      <c r="AK504" s="7" t="str">
        <f>IF(AJ504="","",COUNTIFS(Data_Summary!$Y$2:$Y$5002,"Coverage",Data_Summary!$AA$2:$AA$5002,AJ504))</f>
        <v/>
      </c>
    </row>
    <row r="505" spans="36:37" ht="12.75" customHeight="1">
      <c r="AJ505" s="7" t="str">
        <f>IF(Data_Summary!Y506&lt;&gt;"Coverage","",IF(Data_Summary!AA506="","",IF(COUNTIFS(Data_Summary!$Y$2:$Y506,"Coverage",Data_Summary!$AA$2:$AA506,Data_Summary!AA506)=1,Data_Summary!AA506,"")))</f>
        <v/>
      </c>
      <c r="AK505" s="7" t="str">
        <f>IF(AJ505="","",COUNTIFS(Data_Summary!$Y$2:$Y$5002,"Coverage",Data_Summary!$AA$2:$AA$5002,AJ505))</f>
        <v/>
      </c>
    </row>
    <row r="506" spans="36:37" ht="12.75" customHeight="1">
      <c r="AJ506" s="7" t="str">
        <f>IF(Data_Summary!Y507&lt;&gt;"Coverage","",IF(Data_Summary!AA507="","",IF(COUNTIFS(Data_Summary!$Y$2:$Y507,"Coverage",Data_Summary!$AA$2:$AA507,Data_Summary!AA507)=1,Data_Summary!AA507,"")))</f>
        <v>Workload &amp; Work-Life Balance</v>
      </c>
      <c r="AK506" s="7">
        <f>IF(AJ506="","",COUNTIFS(Data_Summary!$Y$2:$Y$5002,"Coverage",Data_Summary!$AA$2:$AA$5002,AJ506))</f>
        <v>3</v>
      </c>
    </row>
    <row r="507" spans="36:37" ht="12.75" customHeight="1">
      <c r="AJ507" s="7" t="str">
        <f>IF(Data_Summary!Y508&lt;&gt;"Coverage","",IF(Data_Summary!AA508="","",IF(COUNTIFS(Data_Summary!$Y$2:$Y508,"Coverage",Data_Summary!$AA$2:$AA508,Data_Summary!AA508)=1,Data_Summary!AA508,"")))</f>
        <v/>
      </c>
      <c r="AK507" s="7" t="str">
        <f>IF(AJ507="","",COUNTIFS(Data_Summary!$Y$2:$Y$5002,"Coverage",Data_Summary!$AA$2:$AA$5002,AJ507))</f>
        <v/>
      </c>
    </row>
    <row r="508" spans="36:37" ht="12.75" customHeight="1">
      <c r="AJ508" s="7" t="str">
        <f>IF(Data_Summary!Y509&lt;&gt;"Coverage","",IF(Data_Summary!AA509="","",IF(COUNTIFS(Data_Summary!$Y$2:$Y509,"Coverage",Data_Summary!$AA$2:$AA509,Data_Summary!AA509)=1,Data_Summary!AA509,"")))</f>
        <v/>
      </c>
      <c r="AK508" s="7" t="str">
        <f>IF(AJ508="","",COUNTIFS(Data_Summary!$Y$2:$Y$5002,"Coverage",Data_Summary!$AA$2:$AA$5002,AJ508))</f>
        <v/>
      </c>
    </row>
    <row r="509" spans="36:37" ht="12.75" customHeight="1">
      <c r="AJ509" s="7" t="str">
        <f>IF(Data_Summary!Y510&lt;&gt;"Coverage","",IF(Data_Summary!AA510="","",IF(COUNTIFS(Data_Summary!$Y$2:$Y510,"Coverage",Data_Summary!$AA$2:$AA510,Data_Summary!AA510)=1,Data_Summary!AA510,"")))</f>
        <v/>
      </c>
      <c r="AK509" s="7" t="str">
        <f>IF(AJ509="","",COUNTIFS(Data_Summary!$Y$2:$Y$5002,"Coverage",Data_Summary!$AA$2:$AA$5002,AJ509))</f>
        <v/>
      </c>
    </row>
    <row r="510" spans="36:37" ht="12.75" customHeight="1">
      <c r="AJ510" s="7" t="str">
        <f>IF(Data_Summary!Y511&lt;&gt;"Coverage","",IF(Data_Summary!AA511="","",IF(COUNTIFS(Data_Summary!$Y$2:$Y511,"Coverage",Data_Summary!$AA$2:$AA511,Data_Summary!AA511)=1,Data_Summary!AA511,"")))</f>
        <v/>
      </c>
      <c r="AK510" s="7" t="str">
        <f>IF(AJ510="","",COUNTIFS(Data_Summary!$Y$2:$Y$5002,"Coverage",Data_Summary!$AA$2:$AA$5002,AJ510))</f>
        <v/>
      </c>
    </row>
    <row r="511" spans="36:37" ht="12.75" customHeight="1">
      <c r="AJ511" s="7" t="str">
        <f>IF(Data_Summary!Y512&lt;&gt;"Coverage","",IF(Data_Summary!AA512="","",IF(COUNTIFS(Data_Summary!$Y$2:$Y512,"Coverage",Data_Summary!$AA$2:$AA512,Data_Summary!AA512)=1,Data_Summary!AA512,"")))</f>
        <v/>
      </c>
      <c r="AK511" s="7" t="str">
        <f>IF(AJ511="","",COUNTIFS(Data_Summary!$Y$2:$Y$5002,"Coverage",Data_Summary!$AA$2:$AA$5002,AJ511))</f>
        <v/>
      </c>
    </row>
    <row r="512" spans="36:37" ht="12.75" customHeight="1">
      <c r="AJ512" s="7" t="str">
        <f>IF(Data_Summary!Y513&lt;&gt;"Coverage","",IF(Data_Summary!AA513="","",IF(COUNTIFS(Data_Summary!$Y$2:$Y513,"Coverage",Data_Summary!$AA$2:$AA513,Data_Summary!AA513)=1,Data_Summary!AA513,"")))</f>
        <v/>
      </c>
      <c r="AK512" s="7" t="str">
        <f>IF(AJ512="","",COUNTIFS(Data_Summary!$Y$2:$Y$5002,"Coverage",Data_Summary!$AA$2:$AA$5002,AJ512))</f>
        <v/>
      </c>
    </row>
    <row r="513" spans="36:37" ht="12.75" customHeight="1">
      <c r="AJ513" s="7" t="str">
        <f>IF(Data_Summary!Y514&lt;&gt;"Coverage","",IF(Data_Summary!AA514="","",IF(COUNTIFS(Data_Summary!$Y$2:$Y514,"Coverage",Data_Summary!$AA$2:$AA514,Data_Summary!AA514)=1,Data_Summary!AA514,"")))</f>
        <v/>
      </c>
      <c r="AK513" s="7" t="str">
        <f>IF(AJ513="","",COUNTIFS(Data_Summary!$Y$2:$Y$5002,"Coverage",Data_Summary!$AA$2:$AA$5002,AJ513))</f>
        <v/>
      </c>
    </row>
    <row r="514" spans="36:37" ht="12.75" customHeight="1">
      <c r="AJ514" s="7" t="str">
        <f>IF(Data_Summary!Y515&lt;&gt;"Coverage","",IF(Data_Summary!AA515="","",IF(COUNTIFS(Data_Summary!$Y$2:$Y515,"Coverage",Data_Summary!$AA$2:$AA515,Data_Summary!AA515)=1,Data_Summary!AA515,"")))</f>
        <v/>
      </c>
      <c r="AK514" s="7" t="str">
        <f>IF(AJ514="","",COUNTIFS(Data_Summary!$Y$2:$Y$5002,"Coverage",Data_Summary!$AA$2:$AA$5002,AJ514))</f>
        <v/>
      </c>
    </row>
    <row r="515" spans="36:37" ht="12.75" customHeight="1">
      <c r="AJ515" s="7" t="str">
        <f>IF(Data_Summary!Y516&lt;&gt;"Coverage","",IF(Data_Summary!AA516="","",IF(COUNTIFS(Data_Summary!$Y$2:$Y516,"Coverage",Data_Summary!$AA$2:$AA516,Data_Summary!AA516)=1,Data_Summary!AA516,"")))</f>
        <v/>
      </c>
      <c r="AK515" s="7" t="str">
        <f>IF(AJ515="","",COUNTIFS(Data_Summary!$Y$2:$Y$5002,"Coverage",Data_Summary!$AA$2:$AA$5002,AJ515))</f>
        <v/>
      </c>
    </row>
    <row r="516" spans="36:37" ht="12.75" customHeight="1">
      <c r="AJ516" s="7" t="str">
        <f>IF(Data_Summary!Y517&lt;&gt;"Coverage","",IF(Data_Summary!AA517="","",IF(COUNTIFS(Data_Summary!$Y$2:$Y517,"Coverage",Data_Summary!$AA$2:$AA517,Data_Summary!AA517)=1,Data_Summary!AA517,"")))</f>
        <v/>
      </c>
      <c r="AK516" s="7" t="str">
        <f>IF(AJ516="","",COUNTIFS(Data_Summary!$Y$2:$Y$5002,"Coverage",Data_Summary!$AA$2:$AA$5002,AJ516))</f>
        <v/>
      </c>
    </row>
    <row r="517" spans="36:37" ht="12.75" customHeight="1">
      <c r="AJ517" s="7" t="str">
        <f>IF(Data_Summary!Y518&lt;&gt;"Coverage","",IF(Data_Summary!AA518="","",IF(COUNTIFS(Data_Summary!$Y$2:$Y518,"Coverage",Data_Summary!$AA$2:$AA518,Data_Summary!AA518)=1,Data_Summary!AA518,"")))</f>
        <v/>
      </c>
      <c r="AK517" s="7" t="str">
        <f>IF(AJ517="","",COUNTIFS(Data_Summary!$Y$2:$Y$5002,"Coverage",Data_Summary!$AA$2:$AA$5002,AJ517))</f>
        <v/>
      </c>
    </row>
    <row r="518" spans="36:37" ht="12.75" customHeight="1">
      <c r="AJ518" s="7" t="str">
        <f>IF(Data_Summary!Y519&lt;&gt;"Coverage","",IF(Data_Summary!AA519="","",IF(COUNTIFS(Data_Summary!$Y$2:$Y519,"Coverage",Data_Summary!$AA$2:$AA519,Data_Summary!AA519)=1,Data_Summary!AA519,"")))</f>
        <v/>
      </c>
      <c r="AK518" s="7" t="str">
        <f>IF(AJ518="","",COUNTIFS(Data_Summary!$Y$2:$Y$5002,"Coverage",Data_Summary!$AA$2:$AA$5002,AJ518))</f>
        <v/>
      </c>
    </row>
    <row r="519" spans="36:37" ht="12.75" customHeight="1">
      <c r="AJ519" s="7" t="str">
        <f>IF(Data_Summary!Y520&lt;&gt;"Coverage","",IF(Data_Summary!AA520="","",IF(COUNTIFS(Data_Summary!$Y$2:$Y520,"Coverage",Data_Summary!$AA$2:$AA520,Data_Summary!AA520)=1,Data_Summary!AA520,"")))</f>
        <v/>
      </c>
      <c r="AK519" s="7" t="str">
        <f>IF(AJ519="","",COUNTIFS(Data_Summary!$Y$2:$Y$5002,"Coverage",Data_Summary!$AA$2:$AA$5002,AJ519))</f>
        <v/>
      </c>
    </row>
    <row r="520" spans="36:37" ht="12.75" customHeight="1">
      <c r="AJ520" s="7" t="str">
        <f>IF(Data_Summary!Y521&lt;&gt;"Coverage","",IF(Data_Summary!AA521="","",IF(COUNTIFS(Data_Summary!$Y$2:$Y521,"Coverage",Data_Summary!$AA$2:$AA521,Data_Summary!AA521)=1,Data_Summary!AA521,"")))</f>
        <v>Long-Term Role Alignment</v>
      </c>
      <c r="AK520" s="7">
        <f>IF(AJ520="","",COUNTIFS(Data_Summary!$Y$2:$Y$5002,"Coverage",Data_Summary!$AA$2:$AA$5002,AJ520))</f>
        <v>1</v>
      </c>
    </row>
    <row r="521" spans="36:37" ht="12.75" customHeight="1">
      <c r="AJ521" s="7" t="str">
        <f>IF(Data_Summary!Y522&lt;&gt;"Coverage","",IF(Data_Summary!AA522="","",IF(COUNTIFS(Data_Summary!$Y$2:$Y522,"Coverage",Data_Summary!$AA$2:$AA522,Data_Summary!AA522)=1,Data_Summary!AA522,"")))</f>
        <v/>
      </c>
      <c r="AK521" s="7" t="str">
        <f>IF(AJ521="","",COUNTIFS(Data_Summary!$Y$2:$Y$5002,"Coverage",Data_Summary!$AA$2:$AA$5002,AJ521))</f>
        <v/>
      </c>
    </row>
    <row r="522" spans="36:37" ht="12.75" customHeight="1">
      <c r="AJ522" s="7" t="str">
        <f>IF(Data_Summary!Y523&lt;&gt;"Coverage","",IF(Data_Summary!AA523="","",IF(COUNTIFS(Data_Summary!$Y$2:$Y523,"Coverage",Data_Summary!$AA$2:$AA523,Data_Summary!AA523)=1,Data_Summary!AA523,"")))</f>
        <v/>
      </c>
      <c r="AK522" s="7" t="str">
        <f>IF(AJ522="","",COUNTIFS(Data_Summary!$Y$2:$Y$5002,"Coverage",Data_Summary!$AA$2:$AA$5002,AJ522))</f>
        <v/>
      </c>
    </row>
    <row r="523" spans="36:37" ht="12.75" customHeight="1">
      <c r="AJ523" s="7" t="str">
        <f>IF(Data_Summary!Y524&lt;&gt;"Coverage","",IF(Data_Summary!AA524="","",IF(COUNTIFS(Data_Summary!$Y$2:$Y524,"Coverage",Data_Summary!$AA$2:$AA524,Data_Summary!AA524)=1,Data_Summary!AA524,"")))</f>
        <v/>
      </c>
      <c r="AK523" s="7" t="str">
        <f>IF(AJ523="","",COUNTIFS(Data_Summary!$Y$2:$Y$5002,"Coverage",Data_Summary!$AA$2:$AA$5002,AJ523))</f>
        <v/>
      </c>
    </row>
    <row r="524" spans="36:37" ht="12.75" customHeight="1">
      <c r="AJ524" s="7" t="str">
        <f>IF(Data_Summary!Y525&lt;&gt;"Coverage","",IF(Data_Summary!AA525="","",IF(COUNTIFS(Data_Summary!$Y$2:$Y525,"Coverage",Data_Summary!$AA$2:$AA525,Data_Summary!AA525)=1,Data_Summary!AA525,"")))</f>
        <v/>
      </c>
      <c r="AK524" s="7" t="str">
        <f>IF(AJ524="","",COUNTIFS(Data_Summary!$Y$2:$Y$5002,"Coverage",Data_Summary!$AA$2:$AA$5002,AJ524))</f>
        <v/>
      </c>
    </row>
    <row r="525" spans="36:37" ht="12.75" customHeight="1">
      <c r="AJ525" s="7" t="str">
        <f>IF(Data_Summary!Y526&lt;&gt;"Coverage","",IF(Data_Summary!AA526="","",IF(COUNTIFS(Data_Summary!$Y$2:$Y526,"Coverage",Data_Summary!$AA$2:$AA526,Data_Summary!AA526)=1,Data_Summary!AA526,"")))</f>
        <v/>
      </c>
      <c r="AK525" s="7" t="str">
        <f>IF(AJ525="","",COUNTIFS(Data_Summary!$Y$2:$Y$5002,"Coverage",Data_Summary!$AA$2:$AA$5002,AJ525))</f>
        <v/>
      </c>
    </row>
    <row r="526" spans="36:37" ht="12.75" customHeight="1">
      <c r="AJ526" s="7" t="str">
        <f>IF(Data_Summary!Y527&lt;&gt;"Coverage","",IF(Data_Summary!AA527="","",IF(COUNTIFS(Data_Summary!$Y$2:$Y527,"Coverage",Data_Summary!$AA$2:$AA527,Data_Summary!AA527)=1,Data_Summary!AA527,"")))</f>
        <v/>
      </c>
      <c r="AK526" s="7" t="str">
        <f>IF(AJ526="","",COUNTIFS(Data_Summary!$Y$2:$Y$5002,"Coverage",Data_Summary!$AA$2:$AA$5002,AJ526))</f>
        <v/>
      </c>
    </row>
    <row r="527" spans="36:37" ht="12.75" customHeight="1">
      <c r="AJ527" s="7" t="str">
        <f>IF(Data_Summary!Y528&lt;&gt;"Coverage","",IF(Data_Summary!AA528="","",IF(COUNTIFS(Data_Summary!$Y$2:$Y528,"Coverage",Data_Summary!$AA$2:$AA528,Data_Summary!AA528)=1,Data_Summary!AA528,"")))</f>
        <v/>
      </c>
      <c r="AK527" s="7" t="str">
        <f>IF(AJ527="","",COUNTIFS(Data_Summary!$Y$2:$Y$5002,"Coverage",Data_Summary!$AA$2:$AA$5002,AJ527))</f>
        <v/>
      </c>
    </row>
    <row r="528" spans="36:37" ht="12.75" customHeight="1">
      <c r="AJ528" s="7" t="str">
        <f>IF(Data_Summary!Y529&lt;&gt;"Coverage","",IF(Data_Summary!AA529="","",IF(COUNTIFS(Data_Summary!$Y$2:$Y529,"Coverage",Data_Summary!$AA$2:$AA529,Data_Summary!AA529)=1,Data_Summary!AA529,"")))</f>
        <v/>
      </c>
      <c r="AK528" s="7" t="str">
        <f>IF(AJ528="","",COUNTIFS(Data_Summary!$Y$2:$Y$5002,"Coverage",Data_Summary!$AA$2:$AA$5002,AJ528))</f>
        <v/>
      </c>
    </row>
    <row r="529" spans="36:37" ht="12.75" customHeight="1">
      <c r="AJ529" s="7" t="str">
        <f>IF(Data_Summary!Y530&lt;&gt;"Coverage","",IF(Data_Summary!AA530="","",IF(COUNTIFS(Data_Summary!$Y$2:$Y530,"Coverage",Data_Summary!$AA$2:$AA530,Data_Summary!AA530)=1,Data_Summary!AA530,"")))</f>
        <v/>
      </c>
      <c r="AK529" s="7" t="str">
        <f>IF(AJ529="","",COUNTIFS(Data_Summary!$Y$2:$Y$5002,"Coverage",Data_Summary!$AA$2:$AA$5002,AJ529))</f>
        <v/>
      </c>
    </row>
    <row r="530" spans="36:37" ht="12.75" customHeight="1">
      <c r="AJ530" s="7" t="str">
        <f>IF(Data_Summary!Y531&lt;&gt;"Coverage","",IF(Data_Summary!AA531="","",IF(COUNTIFS(Data_Summary!$Y$2:$Y531,"Coverage",Data_Summary!$AA$2:$AA531,Data_Summary!AA531)=1,Data_Summary!AA531,"")))</f>
        <v/>
      </c>
      <c r="AK530" s="7" t="str">
        <f>IF(AJ530="","",COUNTIFS(Data_Summary!$Y$2:$Y$5002,"Coverage",Data_Summary!$AA$2:$AA$5002,AJ530))</f>
        <v/>
      </c>
    </row>
    <row r="531" spans="36:37" ht="12.75" customHeight="1">
      <c r="AJ531" s="7" t="str">
        <f>IF(Data_Summary!Y532&lt;&gt;"Coverage","",IF(Data_Summary!AA532="","",IF(COUNTIFS(Data_Summary!$Y$2:$Y532,"Coverage",Data_Summary!$AA$2:$AA532,Data_Summary!AA532)=1,Data_Summary!AA532,"")))</f>
        <v/>
      </c>
      <c r="AK531" s="7" t="str">
        <f>IF(AJ531="","",COUNTIFS(Data_Summary!$Y$2:$Y$5002,"Coverage",Data_Summary!$AA$2:$AA$5002,AJ531))</f>
        <v/>
      </c>
    </row>
    <row r="532" spans="36:37" ht="12.75" customHeight="1">
      <c r="AJ532" s="7" t="str">
        <f>IF(Data_Summary!Y533&lt;&gt;"Coverage","",IF(Data_Summary!AA533="","",IF(COUNTIFS(Data_Summary!$Y$2:$Y533,"Coverage",Data_Summary!$AA$2:$AA533,Data_Summary!AA533)=1,Data_Summary!AA533,"")))</f>
        <v/>
      </c>
      <c r="AK532" s="7" t="str">
        <f>IF(AJ532="","",COUNTIFS(Data_Summary!$Y$2:$Y$5002,"Coverage",Data_Summary!$AA$2:$AA$5002,AJ532))</f>
        <v/>
      </c>
    </row>
    <row r="533" spans="36:37" ht="12.75" customHeight="1">
      <c r="AJ533" s="7" t="str">
        <f>IF(Data_Summary!Y534&lt;&gt;"Coverage","",IF(Data_Summary!AA534="","",IF(COUNTIFS(Data_Summary!$Y$2:$Y534,"Coverage",Data_Summary!$AA$2:$AA534,Data_Summary!AA534)=1,Data_Summary!AA534,"")))</f>
        <v/>
      </c>
      <c r="AK533" s="7" t="str">
        <f>IF(AJ533="","",COUNTIFS(Data_Summary!$Y$2:$Y$5002,"Coverage",Data_Summary!$AA$2:$AA$5002,AJ533))</f>
        <v/>
      </c>
    </row>
    <row r="534" spans="36:37" ht="12.75" customHeight="1">
      <c r="AJ534" s="7" t="str">
        <f>IF(Data_Summary!Y535&lt;&gt;"Coverage","",IF(Data_Summary!AA535="","",IF(COUNTIFS(Data_Summary!$Y$2:$Y535,"Coverage",Data_Summary!$AA$2:$AA535,Data_Summary!AA535)=1,Data_Summary!AA535,"")))</f>
        <v/>
      </c>
      <c r="AK534" s="7" t="str">
        <f>IF(AJ534="","",COUNTIFS(Data_Summary!$Y$2:$Y$5002,"Coverage",Data_Summary!$AA$2:$AA$5002,AJ534))</f>
        <v/>
      </c>
    </row>
    <row r="535" spans="36:37" ht="12.75" customHeight="1">
      <c r="AJ535" s="7" t="str">
        <f>IF(Data_Summary!Y536&lt;&gt;"Coverage","",IF(Data_Summary!AA536="","",IF(COUNTIFS(Data_Summary!$Y$2:$Y536,"Coverage",Data_Summary!$AA$2:$AA536,Data_Summary!AA536)=1,Data_Summary!AA536,"")))</f>
        <v/>
      </c>
      <c r="AK535" s="7" t="str">
        <f>IF(AJ535="","",COUNTIFS(Data_Summary!$Y$2:$Y$5002,"Coverage",Data_Summary!$AA$2:$AA$5002,AJ535))</f>
        <v/>
      </c>
    </row>
    <row r="536" spans="36:37" ht="12.75" customHeight="1">
      <c r="AJ536" s="7" t="str">
        <f>IF(Data_Summary!Y537&lt;&gt;"Coverage","",IF(Data_Summary!AA537="","",IF(COUNTIFS(Data_Summary!$Y$2:$Y537,"Coverage",Data_Summary!$AA$2:$AA537,Data_Summary!AA537)=1,Data_Summary!AA537,"")))</f>
        <v/>
      </c>
      <c r="AK536" s="7" t="str">
        <f>IF(AJ536="","",COUNTIFS(Data_Summary!$Y$2:$Y$5002,"Coverage",Data_Summary!$AA$2:$AA$5002,AJ536))</f>
        <v/>
      </c>
    </row>
    <row r="537" spans="36:37" ht="12.75" customHeight="1">
      <c r="AJ537" s="7" t="str">
        <f>IF(Data_Summary!Y538&lt;&gt;"Coverage","",IF(Data_Summary!AA538="","",IF(COUNTIFS(Data_Summary!$Y$2:$Y538,"Coverage",Data_Summary!$AA$2:$AA538,Data_Summary!AA538)=1,Data_Summary!AA538,"")))</f>
        <v/>
      </c>
      <c r="AK537" s="7" t="str">
        <f>IF(AJ537="","",COUNTIFS(Data_Summary!$Y$2:$Y$5002,"Coverage",Data_Summary!$AA$2:$AA$5002,AJ537))</f>
        <v/>
      </c>
    </row>
    <row r="538" spans="36:37" ht="12.75" customHeight="1">
      <c r="AJ538" s="7" t="str">
        <f>IF(Data_Summary!Y539&lt;&gt;"Coverage","",IF(Data_Summary!AA539="","",IF(COUNTIFS(Data_Summary!$Y$2:$Y539,"Coverage",Data_Summary!$AA$2:$AA539,Data_Summary!AA539)=1,Data_Summary!AA539,"")))</f>
        <v/>
      </c>
      <c r="AK538" s="7" t="str">
        <f>IF(AJ538="","",COUNTIFS(Data_Summary!$Y$2:$Y$5002,"Coverage",Data_Summary!$AA$2:$AA$5002,AJ538))</f>
        <v/>
      </c>
    </row>
    <row r="539" spans="36:37" ht="12.75" customHeight="1">
      <c r="AJ539" s="7" t="str">
        <f>IF(Data_Summary!Y540&lt;&gt;"Coverage","",IF(Data_Summary!AA540="","",IF(COUNTIFS(Data_Summary!$Y$2:$Y540,"Coverage",Data_Summary!$AA$2:$AA540,Data_Summary!AA540)=1,Data_Summary!AA540,"")))</f>
        <v/>
      </c>
      <c r="AK539" s="7" t="str">
        <f>IF(AJ539="","",COUNTIFS(Data_Summary!$Y$2:$Y$5002,"Coverage",Data_Summary!$AA$2:$AA$5002,AJ539))</f>
        <v/>
      </c>
    </row>
    <row r="540" spans="36:37" ht="12.75" customHeight="1">
      <c r="AJ540" s="7" t="str">
        <f>IF(Data_Summary!Y541&lt;&gt;"Coverage","",IF(Data_Summary!AA541="","",IF(COUNTIFS(Data_Summary!$Y$2:$Y541,"Coverage",Data_Summary!$AA$2:$AA541,Data_Summary!AA541)=1,Data_Summary!AA541,"")))</f>
        <v/>
      </c>
      <c r="AK540" s="7" t="str">
        <f>IF(AJ540="","",COUNTIFS(Data_Summary!$Y$2:$Y$5002,"Coverage",Data_Summary!$AA$2:$AA$5002,AJ540))</f>
        <v/>
      </c>
    </row>
    <row r="541" spans="36:37" ht="12.75" customHeight="1">
      <c r="AJ541" s="7" t="str">
        <f>IF(Data_Summary!Y542&lt;&gt;"Coverage","",IF(Data_Summary!AA542="","",IF(COUNTIFS(Data_Summary!$Y$2:$Y542,"Coverage",Data_Summary!$AA$2:$AA542,Data_Summary!AA542)=1,Data_Summary!AA542,"")))</f>
        <v/>
      </c>
      <c r="AK541" s="7" t="str">
        <f>IF(AJ541="","",COUNTIFS(Data_Summary!$Y$2:$Y$5002,"Coverage",Data_Summary!$AA$2:$AA$5002,AJ541))</f>
        <v/>
      </c>
    </row>
    <row r="542" spans="36:37" ht="12.75" customHeight="1">
      <c r="AJ542" s="7" t="str">
        <f>IF(Data_Summary!Y543&lt;&gt;"Coverage","",IF(Data_Summary!AA543="","",IF(COUNTIFS(Data_Summary!$Y$2:$Y543,"Coverage",Data_Summary!$AA$2:$AA543,Data_Summary!AA543)=1,Data_Summary!AA543,"")))</f>
        <v/>
      </c>
      <c r="AK542" s="7" t="str">
        <f>IF(AJ542="","",COUNTIFS(Data_Summary!$Y$2:$Y$5002,"Coverage",Data_Summary!$AA$2:$AA$5002,AJ542))</f>
        <v/>
      </c>
    </row>
    <row r="543" spans="36:37" ht="12.75" customHeight="1">
      <c r="AJ543" s="7" t="str">
        <f>IF(Data_Summary!Y544&lt;&gt;"Coverage","",IF(Data_Summary!AA544="","",IF(COUNTIFS(Data_Summary!$Y$2:$Y544,"Coverage",Data_Summary!$AA$2:$AA544,Data_Summary!AA544)=1,Data_Summary!AA544,"")))</f>
        <v/>
      </c>
      <c r="AK543" s="7" t="str">
        <f>IF(AJ543="","",COUNTIFS(Data_Summary!$Y$2:$Y$5002,"Coverage",Data_Summary!$AA$2:$AA$5002,AJ543))</f>
        <v/>
      </c>
    </row>
    <row r="544" spans="36:37" ht="12.75" customHeight="1">
      <c r="AJ544" s="7" t="str">
        <f>IF(Data_Summary!Y545&lt;&gt;"Coverage","",IF(Data_Summary!AA545="","",IF(COUNTIFS(Data_Summary!$Y$2:$Y545,"Coverage",Data_Summary!$AA$2:$AA545,Data_Summary!AA545)=1,Data_Summary!AA545,"")))</f>
        <v/>
      </c>
      <c r="AK544" s="7" t="str">
        <f>IF(AJ544="","",COUNTIFS(Data_Summary!$Y$2:$Y$5002,"Coverage",Data_Summary!$AA$2:$AA$5002,AJ544))</f>
        <v/>
      </c>
    </row>
    <row r="545" spans="36:37" ht="12.75" customHeight="1">
      <c r="AJ545" s="7" t="str">
        <f>IF(Data_Summary!Y546&lt;&gt;"Coverage","",IF(Data_Summary!AA546="","",IF(COUNTIFS(Data_Summary!$Y$2:$Y546,"Coverage",Data_Summary!$AA$2:$AA546,Data_Summary!AA546)=1,Data_Summary!AA546,"")))</f>
        <v/>
      </c>
      <c r="AK545" s="7" t="str">
        <f>IF(AJ545="","",COUNTIFS(Data_Summary!$Y$2:$Y$5002,"Coverage",Data_Summary!$AA$2:$AA$5002,AJ545))</f>
        <v/>
      </c>
    </row>
    <row r="546" spans="36:37" ht="12.75" customHeight="1">
      <c r="AJ546" s="7" t="str">
        <f>IF(Data_Summary!Y547&lt;&gt;"Coverage","",IF(Data_Summary!AA547="","",IF(COUNTIFS(Data_Summary!$Y$2:$Y547,"Coverage",Data_Summary!$AA$2:$AA547,Data_Summary!AA547)=1,Data_Summary!AA547,"")))</f>
        <v/>
      </c>
      <c r="AK546" s="7" t="str">
        <f>IF(AJ546="","",COUNTIFS(Data_Summary!$Y$2:$Y$5002,"Coverage",Data_Summary!$AA$2:$AA$5002,AJ546))</f>
        <v/>
      </c>
    </row>
    <row r="547" spans="36:37" ht="12.75" customHeight="1">
      <c r="AJ547" s="7" t="str">
        <f>IF(Data_Summary!Y548&lt;&gt;"Coverage","",IF(Data_Summary!AA548="","",IF(COUNTIFS(Data_Summary!$Y$2:$Y548,"Coverage",Data_Summary!$AA$2:$AA548,Data_Summary!AA548)=1,Data_Summary!AA548,"")))</f>
        <v/>
      </c>
      <c r="AK547" s="7" t="str">
        <f>IF(AJ547="","",COUNTIFS(Data_Summary!$Y$2:$Y$5002,"Coverage",Data_Summary!$AA$2:$AA$5002,AJ547))</f>
        <v/>
      </c>
    </row>
    <row r="548" spans="36:37" ht="12.75" customHeight="1">
      <c r="AJ548" s="7" t="str">
        <f>IF(Data_Summary!Y549&lt;&gt;"Coverage","",IF(Data_Summary!AA549="","",IF(COUNTIFS(Data_Summary!$Y$2:$Y549,"Coverage",Data_Summary!$AA$2:$AA549,Data_Summary!AA549)=1,Data_Summary!AA549,"")))</f>
        <v/>
      </c>
      <c r="AK548" s="7" t="str">
        <f>IF(AJ548="","",COUNTIFS(Data_Summary!$Y$2:$Y$5002,"Coverage",Data_Summary!$AA$2:$AA$5002,AJ548))</f>
        <v/>
      </c>
    </row>
    <row r="549" spans="36:37" ht="12.75" customHeight="1">
      <c r="AJ549" s="7" t="str">
        <f>IF(Data_Summary!Y550&lt;&gt;"Coverage","",IF(Data_Summary!AA550="","",IF(COUNTIFS(Data_Summary!$Y$2:$Y550,"Coverage",Data_Summary!$AA$2:$AA550,Data_Summary!AA550)=1,Data_Summary!AA550,"")))</f>
        <v/>
      </c>
      <c r="AK549" s="7" t="str">
        <f>IF(AJ549="","",COUNTIFS(Data_Summary!$Y$2:$Y$5002,"Coverage",Data_Summary!$AA$2:$AA$5002,AJ549))</f>
        <v/>
      </c>
    </row>
    <row r="550" spans="36:37" ht="12.75" customHeight="1">
      <c r="AJ550" s="7" t="str">
        <f>IF(Data_Summary!Y551&lt;&gt;"Coverage","",IF(Data_Summary!AA551="","",IF(COUNTIFS(Data_Summary!$Y$2:$Y551,"Coverage",Data_Summary!$AA$2:$AA551,Data_Summary!AA551)=1,Data_Summary!AA551,"")))</f>
        <v/>
      </c>
      <c r="AK550" s="7" t="str">
        <f>IF(AJ550="","",COUNTIFS(Data_Summary!$Y$2:$Y$5002,"Coverage",Data_Summary!$AA$2:$AA$5002,AJ550))</f>
        <v/>
      </c>
    </row>
    <row r="551" spans="36:37" ht="12.75" customHeight="1">
      <c r="AJ551" s="7" t="str">
        <f>IF(Data_Summary!Y552&lt;&gt;"Coverage","",IF(Data_Summary!AA552="","",IF(COUNTIFS(Data_Summary!$Y$2:$Y552,"Coverage",Data_Summary!$AA$2:$AA552,Data_Summary!AA552)=1,Data_Summary!AA552,"")))</f>
        <v/>
      </c>
      <c r="AK551" s="7" t="str">
        <f>IF(AJ551="","",COUNTIFS(Data_Summary!$Y$2:$Y$5002,"Coverage",Data_Summary!$AA$2:$AA$5002,AJ551))</f>
        <v/>
      </c>
    </row>
    <row r="552" spans="36:37" ht="12.75" customHeight="1">
      <c r="AJ552" s="7" t="str">
        <f>IF(Data_Summary!Y553&lt;&gt;"Coverage","",IF(Data_Summary!AA553="","",IF(COUNTIFS(Data_Summary!$Y$2:$Y553,"Coverage",Data_Summary!$AA$2:$AA553,Data_Summary!AA553)=1,Data_Summary!AA553,"")))</f>
        <v/>
      </c>
      <c r="AK552" s="7" t="str">
        <f>IF(AJ552="","",COUNTIFS(Data_Summary!$Y$2:$Y$5002,"Coverage",Data_Summary!$AA$2:$AA$5002,AJ552))</f>
        <v/>
      </c>
    </row>
    <row r="553" spans="36:37" ht="12.75" customHeight="1">
      <c r="AJ553" s="7" t="str">
        <f>IF(Data_Summary!Y554&lt;&gt;"Coverage","",IF(Data_Summary!AA554="","",IF(COUNTIFS(Data_Summary!$Y$2:$Y554,"Coverage",Data_Summary!$AA$2:$AA554,Data_Summary!AA554)=1,Data_Summary!AA554,"")))</f>
        <v/>
      </c>
      <c r="AK553" s="7" t="str">
        <f>IF(AJ553="","",COUNTIFS(Data_Summary!$Y$2:$Y$5002,"Coverage",Data_Summary!$AA$2:$AA$5002,AJ553))</f>
        <v/>
      </c>
    </row>
    <row r="554" spans="36:37" ht="12.75" customHeight="1">
      <c r="AJ554" s="7" t="str">
        <f>IF(Data_Summary!Y555&lt;&gt;"Coverage","",IF(Data_Summary!AA555="","",IF(COUNTIFS(Data_Summary!$Y$2:$Y555,"Coverage",Data_Summary!$AA$2:$AA555,Data_Summary!AA555)=1,Data_Summary!AA555,"")))</f>
        <v/>
      </c>
      <c r="AK554" s="7" t="str">
        <f>IF(AJ554="","",COUNTIFS(Data_Summary!$Y$2:$Y$5002,"Coverage",Data_Summary!$AA$2:$AA$5002,AJ554))</f>
        <v/>
      </c>
    </row>
    <row r="555" spans="36:37" ht="12.75" customHeight="1">
      <c r="AJ555" s="7" t="str">
        <f>IF(Data_Summary!Y556&lt;&gt;"Coverage","",IF(Data_Summary!AA556="","",IF(COUNTIFS(Data_Summary!$Y$2:$Y556,"Coverage",Data_Summary!$AA$2:$AA556,Data_Summary!AA556)=1,Data_Summary!AA556,"")))</f>
        <v/>
      </c>
      <c r="AK555" s="7" t="str">
        <f>IF(AJ555="","",COUNTIFS(Data_Summary!$Y$2:$Y$5002,"Coverage",Data_Summary!$AA$2:$AA$5002,AJ555))</f>
        <v/>
      </c>
    </row>
    <row r="556" spans="36:37" ht="12.75" customHeight="1">
      <c r="AJ556" s="7" t="str">
        <f>IF(Data_Summary!Y557&lt;&gt;"Coverage","",IF(Data_Summary!AA557="","",IF(COUNTIFS(Data_Summary!$Y$2:$Y557,"Coverage",Data_Summary!$AA$2:$AA557,Data_Summary!AA557)=1,Data_Summary!AA557,"")))</f>
        <v/>
      </c>
      <c r="AK556" s="7" t="str">
        <f>IF(AJ556="","",COUNTIFS(Data_Summary!$Y$2:$Y$5002,"Coverage",Data_Summary!$AA$2:$AA$5002,AJ556))</f>
        <v/>
      </c>
    </row>
    <row r="557" spans="36:37" ht="12.75" customHeight="1">
      <c r="AJ557" s="7" t="str">
        <f>IF(Data_Summary!Y558&lt;&gt;"Coverage","",IF(Data_Summary!AA558="","",IF(COUNTIFS(Data_Summary!$Y$2:$Y558,"Coverage",Data_Summary!$AA$2:$AA558,Data_Summary!AA558)=1,Data_Summary!AA558,"")))</f>
        <v/>
      </c>
      <c r="AK557" s="7" t="str">
        <f>IF(AJ557="","",COUNTIFS(Data_Summary!$Y$2:$Y$5002,"Coverage",Data_Summary!$AA$2:$AA$5002,AJ557))</f>
        <v/>
      </c>
    </row>
    <row r="558" spans="36:37" ht="12.75" customHeight="1">
      <c r="AJ558" s="7" t="str">
        <f>IF(Data_Summary!Y559&lt;&gt;"Coverage","",IF(Data_Summary!AA559="","",IF(COUNTIFS(Data_Summary!$Y$2:$Y559,"Coverage",Data_Summary!$AA$2:$AA559,Data_Summary!AA559)=1,Data_Summary!AA559,"")))</f>
        <v/>
      </c>
      <c r="AK558" s="7" t="str">
        <f>IF(AJ558="","",COUNTIFS(Data_Summary!$Y$2:$Y$5002,"Coverage",Data_Summary!$AA$2:$AA$5002,AJ558))</f>
        <v/>
      </c>
    </row>
    <row r="559" spans="36:37" ht="12.75" customHeight="1">
      <c r="AJ559" s="7" t="str">
        <f>IF(Data_Summary!Y560&lt;&gt;"Coverage","",IF(Data_Summary!AA560="","",IF(COUNTIFS(Data_Summary!$Y$2:$Y560,"Coverage",Data_Summary!$AA$2:$AA560,Data_Summary!AA560)=1,Data_Summary!AA560,"")))</f>
        <v/>
      </c>
      <c r="AK559" s="7" t="str">
        <f>IF(AJ559="","",COUNTIFS(Data_Summary!$Y$2:$Y$5002,"Coverage",Data_Summary!$AA$2:$AA$5002,AJ559))</f>
        <v/>
      </c>
    </row>
    <row r="560" spans="36:37" ht="12.75" customHeight="1">
      <c r="AJ560" s="7" t="str">
        <f>IF(Data_Summary!Y561&lt;&gt;"Coverage","",IF(Data_Summary!AA561="","",IF(COUNTIFS(Data_Summary!$Y$2:$Y561,"Coverage",Data_Summary!$AA$2:$AA561,Data_Summary!AA561)=1,Data_Summary!AA561,"")))</f>
        <v>AI/future Readiness Messaging Is High-level</v>
      </c>
      <c r="AK560" s="7">
        <f>IF(AJ560="","",COUNTIFS(Data_Summary!$Y$2:$Y$5002,"Coverage",Data_Summary!$AA$2:$AA$5002,AJ560))</f>
        <v>2</v>
      </c>
    </row>
    <row r="561" spans="36:37" ht="12.75" customHeight="1">
      <c r="AJ561" s="7" t="str">
        <f>IF(Data_Summary!Y562&lt;&gt;"Coverage","",IF(Data_Summary!AA562="","",IF(COUNTIFS(Data_Summary!$Y$2:$Y562,"Coverage",Data_Summary!$AA$2:$AA562,Data_Summary!AA562)=1,Data_Summary!AA562,"")))</f>
        <v/>
      </c>
      <c r="AK561" s="7" t="str">
        <f>IF(AJ561="","",COUNTIFS(Data_Summary!$Y$2:$Y$5002,"Coverage",Data_Summary!$AA$2:$AA$5002,AJ561))</f>
        <v/>
      </c>
    </row>
    <row r="562" spans="36:37" ht="12.75" customHeight="1">
      <c r="AJ562" s="7" t="str">
        <f>IF(Data_Summary!Y563&lt;&gt;"Coverage","",IF(Data_Summary!AA563="","",IF(COUNTIFS(Data_Summary!$Y$2:$Y563,"Coverage",Data_Summary!$AA$2:$AA563,Data_Summary!AA563)=1,Data_Summary!AA563,"")))</f>
        <v/>
      </c>
      <c r="AK562" s="7" t="str">
        <f>IF(AJ562="","",COUNTIFS(Data_Summary!$Y$2:$Y$5002,"Coverage",Data_Summary!$AA$2:$AA$5002,AJ562))</f>
        <v/>
      </c>
    </row>
    <row r="563" spans="36:37" ht="12.75" customHeight="1">
      <c r="AJ563" s="7" t="str">
        <f>IF(Data_Summary!Y564&lt;&gt;"Coverage","",IF(Data_Summary!AA564="","",IF(COUNTIFS(Data_Summary!$Y$2:$Y564,"Coverage",Data_Summary!$AA$2:$AA564,Data_Summary!AA564)=1,Data_Summary!AA564,"")))</f>
        <v/>
      </c>
      <c r="AK563" s="7" t="str">
        <f>IF(AJ563="","",COUNTIFS(Data_Summary!$Y$2:$Y$5002,"Coverage",Data_Summary!$AA$2:$AA$5002,AJ563))</f>
        <v/>
      </c>
    </row>
    <row r="564" spans="36:37" ht="12.75" customHeight="1">
      <c r="AJ564" s="7" t="str">
        <f>IF(Data_Summary!Y565&lt;&gt;"Coverage","",IF(Data_Summary!AA565="","",IF(COUNTIFS(Data_Summary!$Y$2:$Y565,"Coverage",Data_Summary!$AA$2:$AA565,Data_Summary!AA565)=1,Data_Summary!AA565,"")))</f>
        <v/>
      </c>
      <c r="AK564" s="7" t="str">
        <f>IF(AJ564="","",COUNTIFS(Data_Summary!$Y$2:$Y$5002,"Coverage",Data_Summary!$AA$2:$AA$5002,AJ564))</f>
        <v/>
      </c>
    </row>
    <row r="565" spans="36:37" ht="12.75" customHeight="1">
      <c r="AJ565" s="7" t="str">
        <f>IF(Data_Summary!Y566&lt;&gt;"Coverage","",IF(Data_Summary!AA566="","",IF(COUNTIFS(Data_Summary!$Y$2:$Y566,"Coverage",Data_Summary!$AA$2:$AA566,Data_Summary!AA566)=1,Data_Summary!AA566,"")))</f>
        <v/>
      </c>
      <c r="AK565" s="7" t="str">
        <f>IF(AJ565="","",COUNTIFS(Data_Summary!$Y$2:$Y$5002,"Coverage",Data_Summary!$AA$2:$AA$5002,AJ565))</f>
        <v/>
      </c>
    </row>
    <row r="566" spans="36:37" ht="12.75" customHeight="1">
      <c r="AJ566" s="7" t="str">
        <f>IF(Data_Summary!Y567&lt;&gt;"Coverage","",IF(Data_Summary!AA567="","",IF(COUNTIFS(Data_Summary!$Y$2:$Y567,"Coverage",Data_Summary!$AA$2:$AA567,Data_Summary!AA567)=1,Data_Summary!AA567,"")))</f>
        <v/>
      </c>
      <c r="AK566" s="7" t="str">
        <f>IF(AJ566="","",COUNTIFS(Data_Summary!$Y$2:$Y$5002,"Coverage",Data_Summary!$AA$2:$AA$5002,AJ566))</f>
        <v/>
      </c>
    </row>
    <row r="567" spans="36:37" ht="12.75" customHeight="1">
      <c r="AJ567" s="7" t="str">
        <f>IF(Data_Summary!Y568&lt;&gt;"Coverage","",IF(Data_Summary!AA568="","",IF(COUNTIFS(Data_Summary!$Y$2:$Y568,"Coverage",Data_Summary!$AA$2:$AA568,Data_Summary!AA568)=1,Data_Summary!AA568,"")))</f>
        <v/>
      </c>
      <c r="AK567" s="7" t="str">
        <f>IF(AJ567="","",COUNTIFS(Data_Summary!$Y$2:$Y$5002,"Coverage",Data_Summary!$AA$2:$AA$5002,AJ567))</f>
        <v/>
      </c>
    </row>
    <row r="568" spans="36:37" ht="12.75" customHeight="1">
      <c r="AJ568" s="7" t="str">
        <f>IF(Data_Summary!Y569&lt;&gt;"Coverage","",IF(Data_Summary!AA569="","",IF(COUNTIFS(Data_Summary!$Y$2:$Y569,"Coverage",Data_Summary!$AA$2:$AA569,Data_Summary!AA569)=1,Data_Summary!AA569,"")))</f>
        <v/>
      </c>
      <c r="AK568" s="7" t="str">
        <f>IF(AJ568="","",COUNTIFS(Data_Summary!$Y$2:$Y$5002,"Coverage",Data_Summary!$AA$2:$AA$5002,AJ568))</f>
        <v/>
      </c>
    </row>
    <row r="569" spans="36:37" ht="12.75" customHeight="1">
      <c r="AJ569" s="7" t="str">
        <f>IF(Data_Summary!Y570&lt;&gt;"Coverage","",IF(Data_Summary!AA570="","",IF(COUNTIFS(Data_Summary!$Y$2:$Y570,"Coverage",Data_Summary!$AA$2:$AA570,Data_Summary!AA570)=1,Data_Summary!AA570,"")))</f>
        <v/>
      </c>
      <c r="AK569" s="7" t="str">
        <f>IF(AJ569="","",COUNTIFS(Data_Summary!$Y$2:$Y$5002,"Coverage",Data_Summary!$AA$2:$AA$5002,AJ569))</f>
        <v/>
      </c>
    </row>
    <row r="570" spans="36:37" ht="12.75" customHeight="1">
      <c r="AJ570" s="7" t="str">
        <f>IF(Data_Summary!Y571&lt;&gt;"Coverage","",IF(Data_Summary!AA571="","",IF(COUNTIFS(Data_Summary!$Y$2:$Y571,"Coverage",Data_Summary!$AA$2:$AA571,Data_Summary!AA571)=1,Data_Summary!AA571,"")))</f>
        <v/>
      </c>
      <c r="AK570" s="7" t="str">
        <f>IF(AJ570="","",COUNTIFS(Data_Summary!$Y$2:$Y$5002,"Coverage",Data_Summary!$AA$2:$AA$5002,AJ570))</f>
        <v/>
      </c>
    </row>
    <row r="571" spans="36:37" ht="12.75" customHeight="1">
      <c r="AJ571" s="7" t="str">
        <f>IF(Data_Summary!Y572&lt;&gt;"Coverage","",IF(Data_Summary!AA572="","",IF(COUNTIFS(Data_Summary!$Y$2:$Y572,"Coverage",Data_Summary!$AA$2:$AA572,Data_Summary!AA572)=1,Data_Summary!AA572,"")))</f>
        <v/>
      </c>
      <c r="AK571" s="7" t="str">
        <f>IF(AJ571="","",COUNTIFS(Data_Summary!$Y$2:$Y$5002,"Coverage",Data_Summary!$AA$2:$AA$5002,AJ571))</f>
        <v/>
      </c>
    </row>
    <row r="572" spans="36:37" ht="12.75" customHeight="1">
      <c r="AJ572" s="7" t="str">
        <f>IF(Data_Summary!Y573&lt;&gt;"Coverage","",IF(Data_Summary!AA573="","",IF(COUNTIFS(Data_Summary!$Y$2:$Y573,"Coverage",Data_Summary!$AA$2:$AA573,Data_Summary!AA573)=1,Data_Summary!AA573,"")))</f>
        <v/>
      </c>
      <c r="AK572" s="7" t="str">
        <f>IF(AJ572="","",COUNTIFS(Data_Summary!$Y$2:$Y$5002,"Coverage",Data_Summary!$AA$2:$AA$5002,AJ572))</f>
        <v/>
      </c>
    </row>
    <row r="573" spans="36:37" ht="12.75" customHeight="1">
      <c r="AJ573" s="7" t="str">
        <f>IF(Data_Summary!Y574&lt;&gt;"Coverage","",IF(Data_Summary!AA574="","",IF(COUNTIFS(Data_Summary!$Y$2:$Y574,"Coverage",Data_Summary!$AA$2:$AA574,Data_Summary!AA574)=1,Data_Summary!AA574,"")))</f>
        <v/>
      </c>
      <c r="AK573" s="7" t="str">
        <f>IF(AJ573="","",COUNTIFS(Data_Summary!$Y$2:$Y$5002,"Coverage",Data_Summary!$AA$2:$AA$5002,AJ573))</f>
        <v/>
      </c>
    </row>
    <row r="574" spans="36:37" ht="12.75" customHeight="1">
      <c r="AJ574" s="7" t="str">
        <f>IF(Data_Summary!Y575&lt;&gt;"Coverage","",IF(Data_Summary!AA575="","",IF(COUNTIFS(Data_Summary!$Y$2:$Y575,"Coverage",Data_Summary!$AA$2:$AA575,Data_Summary!AA575)=1,Data_Summary!AA575,"")))</f>
        <v/>
      </c>
      <c r="AK574" s="7" t="str">
        <f>IF(AJ574="","",COUNTIFS(Data_Summary!$Y$2:$Y$5002,"Coverage",Data_Summary!$AA$2:$AA$5002,AJ574))</f>
        <v/>
      </c>
    </row>
    <row r="575" spans="36:37" ht="12.75" customHeight="1">
      <c r="AJ575" s="7" t="str">
        <f>IF(Data_Summary!Y576&lt;&gt;"Coverage","",IF(Data_Summary!AA576="","",IF(COUNTIFS(Data_Summary!$Y$2:$Y576,"Coverage",Data_Summary!$AA$2:$AA576,Data_Summary!AA576)=1,Data_Summary!AA576,"")))</f>
        <v/>
      </c>
      <c r="AK575" s="7" t="str">
        <f>IF(AJ575="","",COUNTIFS(Data_Summary!$Y$2:$Y$5002,"Coverage",Data_Summary!$AA$2:$AA$5002,AJ575))</f>
        <v/>
      </c>
    </row>
    <row r="576" spans="36:37" ht="12.75" customHeight="1">
      <c r="AJ576" s="7" t="str">
        <f>IF(Data_Summary!Y577&lt;&gt;"Coverage","",IF(Data_Summary!AA577="","",IF(COUNTIFS(Data_Summary!$Y$2:$Y577,"Coverage",Data_Summary!$AA$2:$AA577,Data_Summary!AA577)=1,Data_Summary!AA577,"")))</f>
        <v/>
      </c>
      <c r="AK576" s="7" t="str">
        <f>IF(AJ576="","",COUNTIFS(Data_Summary!$Y$2:$Y$5002,"Coverage",Data_Summary!$AA$2:$AA$5002,AJ576))</f>
        <v/>
      </c>
    </row>
    <row r="577" spans="36:37" ht="12.75" customHeight="1">
      <c r="AJ577" s="7" t="str">
        <f>IF(Data_Summary!Y578&lt;&gt;"Coverage","",IF(Data_Summary!AA578="","",IF(COUNTIFS(Data_Summary!$Y$2:$Y578,"Coverage",Data_Summary!$AA$2:$AA578,Data_Summary!AA578)=1,Data_Summary!AA578,"")))</f>
        <v/>
      </c>
      <c r="AK577" s="7" t="str">
        <f>IF(AJ577="","",COUNTIFS(Data_Summary!$Y$2:$Y$5002,"Coverage",Data_Summary!$AA$2:$AA$5002,AJ577))</f>
        <v/>
      </c>
    </row>
    <row r="578" spans="36:37" ht="12.75" customHeight="1">
      <c r="AJ578" s="7" t="str">
        <f>IF(Data_Summary!Y579&lt;&gt;"Coverage","",IF(Data_Summary!AA579="","",IF(COUNTIFS(Data_Summary!$Y$2:$Y579,"Coverage",Data_Summary!$AA$2:$AA579,Data_Summary!AA579)=1,Data_Summary!AA579,"")))</f>
        <v/>
      </c>
      <c r="AK578" s="7" t="str">
        <f>IF(AJ578="","",COUNTIFS(Data_Summary!$Y$2:$Y$5002,"Coverage",Data_Summary!$AA$2:$AA$5002,AJ578))</f>
        <v/>
      </c>
    </row>
    <row r="579" spans="36:37" ht="12.75" customHeight="1">
      <c r="AJ579" s="7" t="str">
        <f>IF(Data_Summary!Y580&lt;&gt;"Coverage","",IF(Data_Summary!AA580="","",IF(COUNTIFS(Data_Summary!$Y$2:$Y580,"Coverage",Data_Summary!$AA$2:$AA580,Data_Summary!AA580)=1,Data_Summary!AA580,"")))</f>
        <v/>
      </c>
      <c r="AK579" s="7" t="str">
        <f>IF(AJ579="","",COUNTIFS(Data_Summary!$Y$2:$Y$5002,"Coverage",Data_Summary!$AA$2:$AA$5002,AJ579))</f>
        <v/>
      </c>
    </row>
    <row r="580" spans="36:37" ht="12.75" customHeight="1">
      <c r="AJ580" s="7" t="str">
        <f>IF(Data_Summary!Y581&lt;&gt;"Coverage","",IF(Data_Summary!AA581="","",IF(COUNTIFS(Data_Summary!$Y$2:$Y581,"Coverage",Data_Summary!$AA$2:$AA581,Data_Summary!AA581)=1,Data_Summary!AA581,"")))</f>
        <v/>
      </c>
      <c r="AK580" s="7" t="str">
        <f>IF(AJ580="","",COUNTIFS(Data_Summary!$Y$2:$Y$5002,"Coverage",Data_Summary!$AA$2:$AA$5002,AJ580))</f>
        <v/>
      </c>
    </row>
    <row r="581" spans="36:37" ht="12.75" customHeight="1">
      <c r="AJ581" s="7" t="str">
        <f>IF(Data_Summary!Y582&lt;&gt;"Coverage","",IF(Data_Summary!AA582="","",IF(COUNTIFS(Data_Summary!$Y$2:$Y582,"Coverage",Data_Summary!$AA$2:$AA582,Data_Summary!AA582)=1,Data_Summary!AA582,"")))</f>
        <v/>
      </c>
      <c r="AK581" s="7" t="str">
        <f>IF(AJ581="","",COUNTIFS(Data_Summary!$Y$2:$Y$5002,"Coverage",Data_Summary!$AA$2:$AA$5002,AJ581))</f>
        <v/>
      </c>
    </row>
    <row r="582" spans="36:37" ht="12.75" customHeight="1">
      <c r="AJ582" s="7" t="str">
        <f>IF(Data_Summary!Y583&lt;&gt;"Coverage","",IF(Data_Summary!AA583="","",IF(COUNTIFS(Data_Summary!$Y$2:$Y583,"Coverage",Data_Summary!$AA$2:$AA583,Data_Summary!AA583)=1,Data_Summary!AA583,"")))</f>
        <v/>
      </c>
      <c r="AK582" s="7" t="str">
        <f>IF(AJ582="","",COUNTIFS(Data_Summary!$Y$2:$Y$5002,"Coverage",Data_Summary!$AA$2:$AA$5002,AJ582))</f>
        <v/>
      </c>
    </row>
    <row r="583" spans="36:37" ht="12.75" customHeight="1">
      <c r="AJ583" s="7" t="str">
        <f>IF(Data_Summary!Y584&lt;&gt;"Coverage","",IF(Data_Summary!AA584="","",IF(COUNTIFS(Data_Summary!$Y$2:$Y584,"Coverage",Data_Summary!$AA$2:$AA584,Data_Summary!AA584)=1,Data_Summary!AA584,"")))</f>
        <v/>
      </c>
      <c r="AK583" s="7" t="str">
        <f>IF(AJ583="","",COUNTIFS(Data_Summary!$Y$2:$Y$5002,"Coverage",Data_Summary!$AA$2:$AA$5002,AJ583))</f>
        <v/>
      </c>
    </row>
    <row r="584" spans="36:37" ht="12.75" customHeight="1">
      <c r="AJ584" s="7" t="str">
        <f>IF(Data_Summary!Y585&lt;&gt;"Coverage","",IF(Data_Summary!AA585="","",IF(COUNTIFS(Data_Summary!$Y$2:$Y585,"Coverage",Data_Summary!$AA$2:$AA585,Data_Summary!AA585)=1,Data_Summary!AA585,"")))</f>
        <v/>
      </c>
      <c r="AK584" s="7" t="str">
        <f>IF(AJ584="","",COUNTIFS(Data_Summary!$Y$2:$Y$5002,"Coverage",Data_Summary!$AA$2:$AA$5002,AJ584))</f>
        <v/>
      </c>
    </row>
    <row r="585" spans="36:37" ht="12.75" customHeight="1">
      <c r="AJ585" s="7" t="str">
        <f>IF(Data_Summary!Y586&lt;&gt;"Coverage","",IF(Data_Summary!AA586="","",IF(COUNTIFS(Data_Summary!$Y$2:$Y586,"Coverage",Data_Summary!$AA$2:$AA586,Data_Summary!AA586)=1,Data_Summary!AA586,"")))</f>
        <v/>
      </c>
      <c r="AK585" s="7" t="str">
        <f>IF(AJ585="","",COUNTIFS(Data_Summary!$Y$2:$Y$5002,"Coverage",Data_Summary!$AA$2:$AA$5002,AJ585))</f>
        <v/>
      </c>
    </row>
    <row r="586" spans="36:37" ht="12.75" customHeight="1">
      <c r="AJ586" s="7" t="str">
        <f>IF(Data_Summary!Y587&lt;&gt;"Coverage","",IF(Data_Summary!AA587="","",IF(COUNTIFS(Data_Summary!$Y$2:$Y587,"Coverage",Data_Summary!$AA$2:$AA587,Data_Summary!AA587)=1,Data_Summary!AA587,"")))</f>
        <v/>
      </c>
      <c r="AK586" s="7" t="str">
        <f>IF(AJ586="","",COUNTIFS(Data_Summary!$Y$2:$Y$5002,"Coverage",Data_Summary!$AA$2:$AA$5002,AJ586))</f>
        <v/>
      </c>
    </row>
    <row r="587" spans="36:37" ht="12.75" customHeight="1">
      <c r="AJ587" s="7" t="str">
        <f>IF(Data_Summary!Y588&lt;&gt;"Coverage","",IF(Data_Summary!AA588="","",IF(COUNTIFS(Data_Summary!$Y$2:$Y588,"Coverage",Data_Summary!$AA$2:$AA588,Data_Summary!AA588)=1,Data_Summary!AA588,"")))</f>
        <v/>
      </c>
      <c r="AK587" s="7" t="str">
        <f>IF(AJ587="","",COUNTIFS(Data_Summary!$Y$2:$Y$5002,"Coverage",Data_Summary!$AA$2:$AA$5002,AJ587))</f>
        <v/>
      </c>
    </row>
    <row r="588" spans="36:37" ht="12.75" customHeight="1">
      <c r="AJ588" s="7" t="str">
        <f>IF(Data_Summary!Y589&lt;&gt;"Coverage","",IF(Data_Summary!AA589="","",IF(COUNTIFS(Data_Summary!$Y$2:$Y589,"Coverage",Data_Summary!$AA$2:$AA589,Data_Summary!AA589)=1,Data_Summary!AA589,"")))</f>
        <v/>
      </c>
      <c r="AK588" s="7" t="str">
        <f>IF(AJ588="","",COUNTIFS(Data_Summary!$Y$2:$Y$5002,"Coverage",Data_Summary!$AA$2:$AA$5002,AJ588))</f>
        <v/>
      </c>
    </row>
    <row r="589" spans="36:37" ht="12.75" customHeight="1">
      <c r="AJ589" s="7" t="str">
        <f>IF(Data_Summary!Y590&lt;&gt;"Coverage","",IF(Data_Summary!AA590="","",IF(COUNTIFS(Data_Summary!$Y$2:$Y590,"Coverage",Data_Summary!$AA$2:$AA590,Data_Summary!AA590)=1,Data_Summary!AA590,"")))</f>
        <v/>
      </c>
      <c r="AK589" s="7" t="str">
        <f>IF(AJ589="","",COUNTIFS(Data_Summary!$Y$2:$Y$5002,"Coverage",Data_Summary!$AA$2:$AA$5002,AJ589))</f>
        <v/>
      </c>
    </row>
    <row r="590" spans="36:37" ht="12.75" customHeight="1">
      <c r="AJ590" s="7" t="str">
        <f>IF(Data_Summary!Y591&lt;&gt;"Coverage","",IF(Data_Summary!AA591="","",IF(COUNTIFS(Data_Summary!$Y$2:$Y591,"Coverage",Data_Summary!$AA$2:$AA591,Data_Summary!AA591)=1,Data_Summary!AA591,"")))</f>
        <v/>
      </c>
      <c r="AK590" s="7" t="str">
        <f>IF(AJ590="","",COUNTIFS(Data_Summary!$Y$2:$Y$5002,"Coverage",Data_Summary!$AA$2:$AA$5002,AJ590))</f>
        <v/>
      </c>
    </row>
    <row r="591" spans="36:37" ht="12.75" customHeight="1">
      <c r="AJ591" s="7" t="str">
        <f>IF(Data_Summary!Y592&lt;&gt;"Coverage","",IF(Data_Summary!AA592="","",IF(COUNTIFS(Data_Summary!$Y$2:$Y592,"Coverage",Data_Summary!$AA$2:$AA592,Data_Summary!AA592)=1,Data_Summary!AA592,"")))</f>
        <v>Inclusive Team Practices</v>
      </c>
      <c r="AK591" s="7">
        <f>IF(AJ591="","",COUNTIFS(Data_Summary!$Y$2:$Y$5002,"Coverage",Data_Summary!$AA$2:$AA$5002,AJ591))</f>
        <v>1</v>
      </c>
    </row>
    <row r="592" spans="36:37" ht="12.75" customHeight="1">
      <c r="AJ592" s="7" t="str">
        <f>IF(Data_Summary!Y593&lt;&gt;"Coverage","",IF(Data_Summary!AA593="","",IF(COUNTIFS(Data_Summary!$Y$2:$Y593,"Coverage",Data_Summary!$AA$2:$AA593,Data_Summary!AA593)=1,Data_Summary!AA593,"")))</f>
        <v/>
      </c>
      <c r="AK592" s="7" t="str">
        <f>IF(AJ592="","",COUNTIFS(Data_Summary!$Y$2:$Y$5002,"Coverage",Data_Summary!$AA$2:$AA$5002,AJ592))</f>
        <v/>
      </c>
    </row>
    <row r="593" spans="36:37" ht="12.75" customHeight="1">
      <c r="AJ593" s="7" t="str">
        <f>IF(Data_Summary!Y594&lt;&gt;"Coverage","",IF(Data_Summary!AA594="","",IF(COUNTIFS(Data_Summary!$Y$2:$Y594,"Coverage",Data_Summary!$AA$2:$AA594,Data_Summary!AA594)=1,Data_Summary!AA594,"")))</f>
        <v>Empathy And Communication</v>
      </c>
      <c r="AK593" s="7">
        <f>IF(AJ593="","",COUNTIFS(Data_Summary!$Y$2:$Y$5002,"Coverage",Data_Summary!$AA$2:$AA$5002,AJ593))</f>
        <v>1</v>
      </c>
    </row>
    <row r="594" spans="36:37" ht="12.75" customHeight="1">
      <c r="AJ594" s="7" t="str">
        <f>IF(Data_Summary!Y595&lt;&gt;"Coverage","",IF(Data_Summary!AA595="","",IF(COUNTIFS(Data_Summary!$Y$2:$Y595,"Coverage",Data_Summary!$AA$2:$AA595,Data_Summary!AA595)=1,Data_Summary!AA595,"")))</f>
        <v>Grievance/speak-up Clarity</v>
      </c>
      <c r="AK594" s="7">
        <f>IF(AJ594="","",COUNTIFS(Data_Summary!$Y$2:$Y$5002,"Coverage",Data_Summary!$AA$2:$AA$5002,AJ594))</f>
        <v>1</v>
      </c>
    </row>
    <row r="595" spans="36:37" ht="12.75" customHeight="1">
      <c r="AJ595" s="7" t="str">
        <f>IF(Data_Summary!Y596&lt;&gt;"Coverage","",IF(Data_Summary!AA596="","",IF(COUNTIFS(Data_Summary!$Y$2:$Y596,"Coverage",Data_Summary!$AA$2:$AA596,Data_Summary!AA596)=1,Data_Summary!AA596,"")))</f>
        <v/>
      </c>
      <c r="AK595" s="7" t="str">
        <f>IF(AJ595="","",COUNTIFS(Data_Summary!$Y$2:$Y$5002,"Coverage",Data_Summary!$AA$2:$AA$5002,AJ595))</f>
        <v/>
      </c>
    </row>
    <row r="596" spans="36:37" ht="12.75" customHeight="1">
      <c r="AJ596" s="7" t="str">
        <f>IF(Data_Summary!Y597&lt;&gt;"Coverage","",IF(Data_Summary!AA597="","",IF(COUNTIFS(Data_Summary!$Y$2:$Y597,"Coverage",Data_Summary!$AA$2:$AA597,Data_Summary!AA597)=1,Data_Summary!AA597,"")))</f>
        <v/>
      </c>
      <c r="AK596" s="7" t="str">
        <f>IF(AJ596="","",COUNTIFS(Data_Summary!$Y$2:$Y$5002,"Coverage",Data_Summary!$AA$2:$AA$5002,AJ596))</f>
        <v/>
      </c>
    </row>
    <row r="597" spans="36:37" ht="12.75" customHeight="1">
      <c r="AJ597" s="7" t="str">
        <f>IF(Data_Summary!Y598&lt;&gt;"Coverage","",IF(Data_Summary!AA598="","",IF(COUNTIFS(Data_Summary!$Y$2:$Y598,"Coverage",Data_Summary!$AA$2:$AA598,Data_Summary!AA598)=1,Data_Summary!AA598,"")))</f>
        <v/>
      </c>
      <c r="AK597" s="7" t="str">
        <f>IF(AJ597="","",COUNTIFS(Data_Summary!$Y$2:$Y$5002,"Coverage",Data_Summary!$AA$2:$AA$5002,AJ597))</f>
        <v/>
      </c>
    </row>
    <row r="598" spans="36:37" ht="12.75" customHeight="1">
      <c r="AJ598" s="7" t="str">
        <f>IF(Data_Summary!Y599&lt;&gt;"Coverage","",IF(Data_Summary!AA599="","",IF(COUNTIFS(Data_Summary!$Y$2:$Y599,"Coverage",Data_Summary!$AA$2:$AA599,Data_Summary!AA599)=1,Data_Summary!AA599,"")))</f>
        <v/>
      </c>
      <c r="AK598" s="7" t="str">
        <f>IF(AJ598="","",COUNTIFS(Data_Summary!$Y$2:$Y$5002,"Coverage",Data_Summary!$AA$2:$AA$5002,AJ598))</f>
        <v/>
      </c>
    </row>
    <row r="599" spans="36:37" ht="12.75" customHeight="1">
      <c r="AJ599" s="7" t="str">
        <f>IF(Data_Summary!Y600&lt;&gt;"Coverage","",IF(Data_Summary!AA600="","",IF(COUNTIFS(Data_Summary!$Y$2:$Y600,"Coverage",Data_Summary!$AA$2:$AA600,Data_Summary!AA600)=1,Data_Summary!AA600,"")))</f>
        <v/>
      </c>
      <c r="AK599" s="7" t="str">
        <f>IF(AJ599="","",COUNTIFS(Data_Summary!$Y$2:$Y$5002,"Coverage",Data_Summary!$AA$2:$AA$5002,AJ599))</f>
        <v/>
      </c>
    </row>
  </sheetData>
  <mergeCells count="6">
    <mergeCell ref="A269:H269"/>
    <mergeCell ref="Q1:T1"/>
    <mergeCell ref="J1:O1"/>
    <mergeCell ref="A48:D48"/>
    <mergeCell ref="A261:E261"/>
    <mergeCell ref="A268:H26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70"/>
  <sheetViews>
    <sheetView showGridLines="0" tabSelected="1" zoomScale="94" zoomScaleNormal="94" workbookViewId="0">
      <pane xSplit="2" ySplit="7" topLeftCell="C8" activePane="bottomRight" state="frozen"/>
      <selection pane="bottomRight" activeCell="AB16" sqref="AB16"/>
      <selection pane="bottomLeft" activeCell="A65" sqref="A65"/>
      <selection pane="topRight" activeCell="C1" sqref="C1"/>
    </sheetView>
  </sheetViews>
  <sheetFormatPr defaultColWidth="8.7109375" defaultRowHeight="15"/>
  <cols>
    <col min="1" max="1" width="1.140625" customWidth="1"/>
    <col min="2" max="2" width="1.42578125" customWidth="1"/>
    <col min="3" max="3" width="28" customWidth="1"/>
    <col min="4" max="4" width="9.42578125" customWidth="1"/>
    <col min="5" max="5" width="10.7109375" customWidth="1"/>
    <col min="6" max="6" width="7.42578125" customWidth="1"/>
    <col min="7" max="7" width="8" customWidth="1"/>
    <col min="8" max="8" width="6.42578125" customWidth="1"/>
    <col min="9" max="16" width="6" customWidth="1"/>
    <col min="17" max="17" width="8.28515625" customWidth="1"/>
    <col min="18" max="18" width="6" customWidth="1"/>
    <col min="19" max="19" width="7.42578125" customWidth="1"/>
    <col min="20" max="20" width="7.7109375" customWidth="1"/>
    <col min="21" max="21" width="6" customWidth="1"/>
    <col min="22" max="22" width="8.140625" customWidth="1"/>
    <col min="23" max="23" width="6" customWidth="1"/>
    <col min="24" max="24" width="12.140625" customWidth="1"/>
    <col min="25" max="25" width="1.42578125" customWidth="1"/>
  </cols>
  <sheetData>
    <row r="1" spans="2:28" ht="6" customHeight="1"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</row>
    <row r="2" spans="2:28" ht="36" customHeight="1">
      <c r="B2" s="55"/>
      <c r="C2" s="180" t="s">
        <v>997</v>
      </c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1" t="s">
        <v>998</v>
      </c>
      <c r="T2" s="181"/>
      <c r="U2" s="181"/>
      <c r="V2" s="181"/>
      <c r="W2" s="181"/>
      <c r="X2" s="181"/>
      <c r="Y2" s="54"/>
      <c r="Z2" s="54"/>
      <c r="AA2" s="54"/>
      <c r="AB2" s="54"/>
    </row>
    <row r="3" spans="2:28" ht="21.75" customHeight="1">
      <c r="B3" s="55"/>
      <c r="C3" s="182" t="s">
        <v>999</v>
      </c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3"/>
      <c r="V3" s="183"/>
      <c r="W3" s="183"/>
      <c r="X3" s="183"/>
      <c r="Y3" s="54"/>
      <c r="Z3" s="54"/>
      <c r="AA3" s="54"/>
      <c r="AB3" s="54"/>
    </row>
    <row r="4" spans="2:28" ht="13.5" customHeight="1">
      <c r="B4" s="55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</row>
    <row r="5" spans="2:28" ht="6" customHeight="1"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</row>
    <row r="6" spans="2:28" ht="7.5" customHeight="1"/>
    <row r="7" spans="2:28" ht="3.75" customHeight="1">
      <c r="C7" s="56"/>
      <c r="D7" s="56"/>
      <c r="E7" s="56"/>
      <c r="F7" s="56"/>
      <c r="G7" s="56"/>
      <c r="H7" s="56"/>
      <c r="I7" s="57"/>
      <c r="J7" s="57"/>
      <c r="K7" s="57"/>
      <c r="L7" s="58"/>
      <c r="M7" s="58"/>
      <c r="N7" s="58"/>
      <c r="O7" s="59"/>
      <c r="P7" s="59"/>
      <c r="Q7" s="59"/>
      <c r="R7" s="60"/>
      <c r="S7" s="60"/>
      <c r="T7" s="60"/>
      <c r="U7" s="61"/>
      <c r="V7" s="61"/>
      <c r="W7" s="61"/>
      <c r="X7" s="61"/>
    </row>
    <row r="8" spans="2:28" ht="36" customHeight="1">
      <c r="C8" s="184">
        <f>Calc!B3</f>
        <v>165</v>
      </c>
      <c r="D8" s="184"/>
      <c r="E8" s="184"/>
      <c r="F8" s="185">
        <f>Calc!B4</f>
        <v>15</v>
      </c>
      <c r="G8" s="186"/>
      <c r="H8" s="187"/>
      <c r="I8" s="188">
        <f>Calc!B7</f>
        <v>33</v>
      </c>
      <c r="J8" s="188"/>
      <c r="K8" s="188"/>
      <c r="L8" s="189">
        <f>Calc!B5</f>
        <v>26</v>
      </c>
      <c r="M8" s="189"/>
      <c r="N8" s="189"/>
      <c r="O8" s="190">
        <f>Calc!B13</f>
        <v>75.151515151515142</v>
      </c>
      <c r="P8" s="190"/>
      <c r="Q8" s="190"/>
      <c r="R8" s="191">
        <f>Calc!B14</f>
        <v>78.63636363636364</v>
      </c>
      <c r="S8" s="191"/>
      <c r="T8" s="191"/>
      <c r="U8" s="184">
        <f>Calc!B15</f>
        <v>39.000000000000071</v>
      </c>
      <c r="V8" s="184"/>
      <c r="W8" s="184">
        <f>Calc!B16</f>
        <v>10.000000000000005</v>
      </c>
      <c r="X8" s="184"/>
    </row>
    <row r="9" spans="2:28" ht="18" customHeight="1">
      <c r="C9" s="179" t="s">
        <v>1000</v>
      </c>
      <c r="D9" s="179"/>
      <c r="E9" s="179"/>
      <c r="F9" s="179" t="s">
        <v>1001</v>
      </c>
      <c r="G9" s="179"/>
      <c r="H9" s="179"/>
      <c r="I9" s="179" t="s">
        <v>1002</v>
      </c>
      <c r="J9" s="179"/>
      <c r="K9" s="179"/>
      <c r="L9" s="179" t="s">
        <v>1003</v>
      </c>
      <c r="M9" s="179"/>
      <c r="N9" s="179"/>
      <c r="O9" s="179" t="s">
        <v>1004</v>
      </c>
      <c r="P9" s="179"/>
      <c r="Q9" s="179"/>
      <c r="R9" s="179" t="s">
        <v>1005</v>
      </c>
      <c r="S9" s="179"/>
      <c r="T9" s="179"/>
      <c r="U9" s="179" t="s">
        <v>1006</v>
      </c>
      <c r="V9" s="179"/>
      <c r="W9" s="179" t="s">
        <v>1007</v>
      </c>
      <c r="X9" s="179"/>
    </row>
    <row r="10" spans="2:28" ht="13.5" customHeight="1">
      <c r="C10" s="197"/>
      <c r="D10" s="197"/>
      <c r="E10" s="197"/>
      <c r="F10" s="197" t="s">
        <v>1008</v>
      </c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  <c r="V10" s="197"/>
      <c r="W10" s="197"/>
      <c r="X10" s="197"/>
    </row>
    <row r="11" spans="2:28" ht="6" customHeight="1"/>
    <row r="12" spans="2:28" ht="15.75" customHeight="1">
      <c r="C12" s="174" t="s">
        <v>1009</v>
      </c>
      <c r="D12" s="174"/>
      <c r="E12" s="174"/>
      <c r="F12" s="174"/>
      <c r="G12" s="174"/>
      <c r="H12" s="174"/>
      <c r="I12" s="174" t="s">
        <v>9</v>
      </c>
      <c r="J12" s="174"/>
      <c r="K12" s="174"/>
      <c r="L12" s="174"/>
      <c r="M12" s="174"/>
      <c r="N12" s="174"/>
      <c r="O12" s="174" t="s">
        <v>1010</v>
      </c>
      <c r="P12" s="174"/>
      <c r="Q12" s="174"/>
      <c r="R12" s="174"/>
      <c r="S12" s="174"/>
      <c r="T12" s="174"/>
      <c r="U12" s="174" t="s">
        <v>1011</v>
      </c>
      <c r="V12" s="174"/>
      <c r="W12" s="174"/>
      <c r="X12" s="174"/>
    </row>
    <row r="13" spans="2:28" ht="19.5" customHeight="1">
      <c r="C13" s="175" t="str">
        <f>Calc!B17</f>
        <v>DEA Service Line</v>
      </c>
      <c r="D13" s="175"/>
      <c r="E13" s="175"/>
      <c r="F13" s="175"/>
      <c r="G13" s="175"/>
      <c r="H13" s="175"/>
      <c r="I13" s="175" t="str">
        <f>Calc!B18</f>
        <v>IBU Specific Connect </v>
      </c>
      <c r="J13" s="175"/>
      <c r="K13" s="175"/>
      <c r="L13" s="175"/>
      <c r="M13" s="175"/>
      <c r="N13" s="175"/>
      <c r="O13" s="176" t="str">
        <f>Calc!B19</f>
        <v>Alignment</v>
      </c>
      <c r="P13" s="176"/>
      <c r="Q13" s="176"/>
      <c r="R13" s="176"/>
      <c r="S13" s="176"/>
      <c r="T13" s="176"/>
      <c r="U13" s="177">
        <f>Calc!B20</f>
        <v>41</v>
      </c>
      <c r="V13" s="177"/>
      <c r="W13" s="177"/>
      <c r="X13" s="177"/>
    </row>
    <row r="14" spans="2:28" ht="6" customHeight="1"/>
    <row r="15" spans="2:28" ht="19.5" customHeight="1">
      <c r="C15" s="178" t="s">
        <v>1012</v>
      </c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</row>
    <row r="16" spans="2:28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spans="3:28" ht="13.5" customHeight="1"/>
    <row r="34" spans="3:28" ht="6" customHeight="1"/>
    <row r="35" spans="3:28" ht="19.5" customHeight="1">
      <c r="C35" s="169" t="s">
        <v>1013</v>
      </c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  <c r="AA35" s="169"/>
      <c r="AB35" s="169"/>
    </row>
    <row r="36" spans="3:28" ht="13.5" customHeight="1"/>
    <row r="37" spans="3:28" ht="13.5" customHeight="1"/>
    <row r="38" spans="3:28" ht="13.5" customHeight="1"/>
    <row r="39" spans="3:28" ht="13.5" customHeight="1"/>
    <row r="40" spans="3:28" ht="13.5" customHeight="1"/>
    <row r="41" spans="3:28" ht="13.5" customHeight="1"/>
    <row r="42" spans="3:28" ht="13.5" customHeight="1"/>
    <row r="43" spans="3:28" ht="13.5" customHeight="1"/>
    <row r="44" spans="3:28" ht="13.5" customHeight="1"/>
    <row r="45" spans="3:28" ht="13.5" customHeight="1"/>
    <row r="46" spans="3:28" ht="13.5" customHeight="1"/>
    <row r="47" spans="3:28" ht="13.5" customHeight="1"/>
    <row r="48" spans="3:28" ht="13.5" customHeight="1"/>
    <row r="49" spans="1:24" ht="13.5" customHeight="1"/>
    <row r="50" spans="1:24" ht="13.5" customHeight="1"/>
    <row r="51" spans="1:24" ht="13.5" customHeight="1"/>
    <row r="52" spans="1:24" ht="13.5" customHeight="1"/>
    <row r="53" spans="1:24" ht="13.5" customHeight="1"/>
    <row r="54" spans="1:24" ht="6" customHeight="1"/>
    <row r="55" spans="1:24" ht="6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</row>
    <row r="56" spans="1:24" ht="19.5" customHeight="1">
      <c r="C56" s="170" t="s">
        <v>1014</v>
      </c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</row>
    <row r="57" spans="1:24" s="128" customFormat="1" ht="19.5" customHeight="1"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</row>
    <row r="58" spans="1:24" s="128" customFormat="1" ht="19.5" customHeight="1"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</row>
    <row r="59" spans="1:24" s="128" customFormat="1" ht="19.5" customHeight="1"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</row>
    <row r="60" spans="1:24" s="128" customFormat="1" ht="19.5" customHeight="1"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</row>
    <row r="61" spans="1:24" s="128" customFormat="1" ht="19.5" customHeight="1"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</row>
    <row r="62" spans="1:24" s="128" customFormat="1" ht="19.5" customHeight="1"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</row>
    <row r="63" spans="1:24" s="128" customFormat="1" ht="19.5" customHeight="1"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</row>
    <row r="64" spans="1:24" s="128" customFormat="1" ht="19.5" customHeight="1"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</row>
    <row r="65" spans="1:25" s="128" customFormat="1" ht="19.5" customHeight="1"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</row>
    <row r="66" spans="1:25" s="128" customFormat="1" ht="19.5" customHeight="1"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</row>
    <row r="67" spans="1:25" s="128" customFormat="1" ht="19.5" customHeight="1"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</row>
    <row r="68" spans="1:25" s="128" customFormat="1" ht="19.5" customHeight="1"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</row>
    <row r="69" spans="1:25" s="128" customFormat="1" ht="19.5" customHeight="1"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</row>
    <row r="70" spans="1:25" ht="21.75" customHeight="1">
      <c r="A70" s="62"/>
      <c r="B70" s="62"/>
      <c r="C70" s="171" t="s">
        <v>1015</v>
      </c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62"/>
      <c r="Y70" s="62"/>
    </row>
    <row r="71" spans="1:25" ht="36.75" customHeight="1">
      <c r="A71" s="62"/>
      <c r="B71" s="62"/>
      <c r="C71" s="63"/>
      <c r="D71" s="63"/>
      <c r="E71" s="63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</row>
    <row r="72" spans="1:25" ht="15" customHeight="1">
      <c r="A72" s="62"/>
      <c r="B72" s="62"/>
      <c r="C72" s="64"/>
      <c r="D72" s="65"/>
      <c r="E72" s="66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</row>
    <row r="73" spans="1:25" ht="15" customHeight="1">
      <c r="A73" s="62"/>
      <c r="B73" s="62"/>
      <c r="C73" s="67"/>
      <c r="D73" s="68"/>
      <c r="E73" s="69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</row>
    <row r="74" spans="1:25" ht="15" customHeight="1">
      <c r="A74" s="62"/>
      <c r="B74" s="62"/>
      <c r="C74" s="64"/>
      <c r="D74" s="65"/>
      <c r="E74" s="70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</row>
    <row r="75" spans="1:25" ht="15" customHeight="1">
      <c r="A75" s="62"/>
      <c r="B75" s="62"/>
      <c r="C75" s="67"/>
      <c r="D75" s="68"/>
      <c r="E75" s="66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</row>
    <row r="76" spans="1:25" ht="15" customHeight="1">
      <c r="A76" s="62"/>
      <c r="B76" s="62"/>
      <c r="C76" s="64"/>
      <c r="D76" s="65"/>
      <c r="E76" s="70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</row>
    <row r="77" spans="1:25" ht="15" customHeight="1">
      <c r="A77" s="62"/>
      <c r="B77" s="62"/>
      <c r="C77" s="67"/>
      <c r="D77" s="68"/>
      <c r="E77" s="69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</row>
    <row r="78" spans="1:25" ht="15" customHeight="1">
      <c r="A78" s="62"/>
      <c r="B78" s="62"/>
      <c r="C78" s="64"/>
      <c r="D78" s="65"/>
      <c r="E78" s="70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</row>
    <row r="79" spans="1:25" ht="15" customHeight="1">
      <c r="A79" s="62"/>
      <c r="B79" s="62"/>
      <c r="C79" s="67"/>
      <c r="D79" s="68"/>
      <c r="E79" s="69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</row>
    <row r="80" spans="1:25" ht="15" customHeight="1">
      <c r="A80" s="62"/>
      <c r="B80" s="62"/>
      <c r="C80" s="64"/>
      <c r="D80" s="65"/>
      <c r="E80" s="70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</row>
    <row r="81" spans="1:25" ht="15" customHeight="1">
      <c r="A81" s="62"/>
      <c r="B81" s="62"/>
      <c r="C81" s="67"/>
      <c r="D81" s="68"/>
      <c r="E81" s="69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</row>
    <row r="82" spans="1:25" ht="15" customHeight="1">
      <c r="A82" s="62"/>
      <c r="B82" s="62"/>
      <c r="C82" s="64"/>
      <c r="D82" s="65"/>
      <c r="E82" s="70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</row>
    <row r="83" spans="1:25" ht="15" customHeight="1">
      <c r="A83" s="62"/>
      <c r="B83" s="62"/>
      <c r="C83" s="67"/>
      <c r="D83" s="68"/>
      <c r="E83" s="66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</row>
    <row r="84" spans="1:25" ht="1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</row>
    <row r="85" spans="1:25" ht="39.75" customHeight="1">
      <c r="A85" s="62"/>
      <c r="B85" s="62"/>
      <c r="C85" s="63"/>
      <c r="D85" s="63"/>
      <c r="E85" s="63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</row>
    <row r="86" spans="1:25" ht="15" customHeight="1">
      <c r="A86" s="62"/>
      <c r="B86" s="62"/>
      <c r="C86" s="64"/>
      <c r="D86" s="65"/>
      <c r="E86" s="66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</row>
    <row r="87" spans="1:25" ht="15" customHeight="1">
      <c r="A87" s="62"/>
      <c r="B87" s="62"/>
      <c r="C87" s="67"/>
      <c r="D87" s="68"/>
      <c r="E87" s="66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</row>
    <row r="88" spans="1:25" ht="15" customHeight="1">
      <c r="A88" s="62"/>
      <c r="B88" s="62"/>
      <c r="C88" s="64"/>
      <c r="D88" s="65"/>
      <c r="E88" s="70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</row>
    <row r="89" spans="1:25" ht="1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</row>
    <row r="90" spans="1:25" ht="1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</row>
    <row r="91" spans="1:25" ht="21.75" customHeight="1">
      <c r="A91" s="62"/>
      <c r="B91" s="62"/>
      <c r="C91" s="172" t="s">
        <v>1016</v>
      </c>
      <c r="D91" s="172"/>
      <c r="E91" s="172"/>
      <c r="F91" s="172"/>
      <c r="G91" s="172"/>
      <c r="H91" s="172"/>
      <c r="I91" s="172"/>
      <c r="J91" s="172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62"/>
      <c r="Y91" s="62"/>
    </row>
    <row r="92" spans="1:25" ht="30" customHeight="1">
      <c r="A92" s="62"/>
      <c r="B92" s="62"/>
      <c r="C92" s="71" t="s">
        <v>994</v>
      </c>
      <c r="D92" s="71" t="s">
        <v>0</v>
      </c>
      <c r="E92" s="173" t="s">
        <v>5</v>
      </c>
      <c r="F92" s="173"/>
      <c r="G92" s="173" t="s">
        <v>14</v>
      </c>
      <c r="H92" s="173"/>
      <c r="I92" s="173" t="s">
        <v>995</v>
      </c>
      <c r="J92" s="173"/>
      <c r="K92" s="173"/>
      <c r="L92" s="173" t="s">
        <v>98</v>
      </c>
      <c r="M92" s="173"/>
      <c r="N92" s="173" t="s">
        <v>99</v>
      </c>
      <c r="O92" s="173"/>
      <c r="P92" s="173" t="s">
        <v>1017</v>
      </c>
      <c r="Q92" s="173"/>
      <c r="R92" s="173"/>
      <c r="S92" s="173"/>
      <c r="T92" s="173"/>
      <c r="U92" s="173"/>
      <c r="V92" s="173"/>
      <c r="W92" s="173"/>
      <c r="X92" s="62"/>
      <c r="Y92" s="62"/>
    </row>
    <row r="93" spans="1:25" ht="27.75" customHeight="1">
      <c r="A93" s="62"/>
      <c r="B93" s="62"/>
      <c r="C93" s="72">
        <f>IFERROR(Calc!A271,"—")</f>
        <v>1</v>
      </c>
      <c r="D93" s="73">
        <f>IFERROR(Calc!B271,"—")</f>
        <v>1</v>
      </c>
      <c r="E93" s="167" t="str">
        <f>IFERROR(Calc!C271,"—")</f>
        <v>Preeti Verma</v>
      </c>
      <c r="F93" s="167"/>
      <c r="G93" s="167">
        <f>IFERROR(Calc!D271,"—")</f>
        <v>0</v>
      </c>
      <c r="H93" s="167"/>
      <c r="I93" s="167" t="str">
        <f>IFERROR(Calc!E271,"—")</f>
        <v>New Joiner Connect (60 Days)</v>
      </c>
      <c r="J93" s="167"/>
      <c r="K93" s="167"/>
      <c r="L93" s="162" t="str">
        <f>IFERROR(Calc!F271,"—")</f>
        <v>High</v>
      </c>
      <c r="M93" s="162"/>
      <c r="N93" s="163" t="str">
        <f>IFERROR(Calc!G271,"—")</f>
        <v>Open</v>
      </c>
      <c r="O93" s="163"/>
      <c r="P93" s="167" t="str">
        <f>IFERROR(Calc!H271,"—")</f>
        <v>Include in team rituals (scrum, meetings, discussions)</v>
      </c>
      <c r="Q93" s="167"/>
      <c r="R93" s="167"/>
      <c r="S93" s="167"/>
      <c r="T93" s="167"/>
      <c r="U93" s="167"/>
      <c r="V93" s="167"/>
      <c r="W93" s="167"/>
      <c r="X93" s="62"/>
      <c r="Y93" s="62"/>
    </row>
    <row r="94" spans="1:25" ht="27.75" customHeight="1">
      <c r="A94" s="62"/>
      <c r="B94" s="62"/>
      <c r="C94" s="74">
        <f>IFERROR(Calc!A272,"—")</f>
        <v>2</v>
      </c>
      <c r="D94" s="75">
        <f>IFERROR(Calc!B272,"—")</f>
        <v>65</v>
      </c>
      <c r="E94" s="161" t="str">
        <f>IFERROR(Calc!C272,"—")</f>
        <v>Kavita Sadhu</v>
      </c>
      <c r="F94" s="161"/>
      <c r="G94" s="161" t="str">
        <f>IFERROR(Calc!D272,"—")</f>
        <v>CIS Service Line</v>
      </c>
      <c r="H94" s="161"/>
      <c r="I94" s="161" t="str">
        <f>IFERROR(Calc!E272,"—")</f>
        <v>HR Connect (General)</v>
      </c>
      <c r="J94" s="161"/>
      <c r="K94" s="161"/>
      <c r="L94" s="165" t="str">
        <f>IFERROR(Calc!F272,"—")</f>
        <v>High</v>
      </c>
      <c r="M94" s="165"/>
      <c r="N94" s="166" t="str">
        <f>IFERROR(Calc!G272,"—")</f>
        <v>Open</v>
      </c>
      <c r="O94" s="166"/>
      <c r="P94" s="161" t="str">
        <f>IFERROR(Calc!H272,"—")</f>
        <v>Proactive inputs from HR</v>
      </c>
      <c r="Q94" s="161"/>
      <c r="R94" s="161"/>
      <c r="S94" s="161"/>
      <c r="T94" s="161"/>
      <c r="U94" s="161"/>
      <c r="V94" s="161"/>
      <c r="W94" s="161"/>
      <c r="X94" s="62"/>
      <c r="Y94" s="62"/>
    </row>
    <row r="95" spans="1:25" ht="27.75" customHeight="1">
      <c r="A95" s="62"/>
      <c r="B95" s="62"/>
      <c r="C95" s="72">
        <f>IFERROR(Calc!A273,"—")</f>
        <v>3</v>
      </c>
      <c r="D95" s="73">
        <f>IFERROR(Calc!B273,"—")</f>
        <v>69</v>
      </c>
      <c r="E95" s="167" t="str">
        <f>IFERROR(Calc!C273,"—")</f>
        <v>Poushali Ghosh</v>
      </c>
      <c r="F95" s="167"/>
      <c r="G95" s="161" t="str">
        <f>IFERROR(Calc!D273,"—")</f>
        <v>DIG Vertical</v>
      </c>
      <c r="H95" s="161"/>
      <c r="I95" s="167" t="str">
        <f>IFERROR(Calc!E273,"—")</f>
        <v>ELTP Connect - Practice Level</v>
      </c>
      <c r="J95" s="167"/>
      <c r="K95" s="167"/>
      <c r="L95" s="162" t="str">
        <f>IFERROR(Calc!F273,"—")</f>
        <v>High</v>
      </c>
      <c r="M95" s="162"/>
      <c r="N95" s="163" t="str">
        <f>IFERROR(Calc!G273,"—")</f>
        <v>Open</v>
      </c>
      <c r="O95" s="163"/>
      <c r="P95" s="167" t="str">
        <f>IFERROR(Calc!H273,"—")</f>
        <v>Clarity on Performance cycle</v>
      </c>
      <c r="Q95" s="167"/>
      <c r="R95" s="167"/>
      <c r="S95" s="167"/>
      <c r="T95" s="167"/>
      <c r="U95" s="167"/>
      <c r="V95" s="167"/>
      <c r="W95" s="167"/>
      <c r="X95" s="62"/>
      <c r="Y95" s="62"/>
    </row>
    <row r="96" spans="1:25" ht="27.75" customHeight="1">
      <c r="A96" s="62"/>
      <c r="B96" s="62"/>
      <c r="C96" s="74">
        <f>IFERROR(Calc!A274,"—")</f>
        <v>4</v>
      </c>
      <c r="D96" s="75">
        <f>IFERROR(Calc!B274,"—")</f>
        <v>72</v>
      </c>
      <c r="E96" s="161" t="str">
        <f>IFERROR(Calc!C274,"—")</f>
        <v>Poushali Ghosh</v>
      </c>
      <c r="F96" s="161"/>
      <c r="G96" s="161" t="str">
        <f>IFERROR(Calc!D274,"—")</f>
        <v>DIG Vertical</v>
      </c>
      <c r="H96" s="161"/>
      <c r="I96" s="161" t="str">
        <f>IFERROR(Calc!E274,"—")</f>
        <v>Top Talent Connect (One to One) (Exclusives/Ascend/WLP/Mentor))</v>
      </c>
      <c r="J96" s="161"/>
      <c r="K96" s="161"/>
      <c r="L96" s="165" t="str">
        <f>IFERROR(Calc!F274,"—")</f>
        <v>High</v>
      </c>
      <c r="M96" s="165"/>
      <c r="N96" s="166" t="str">
        <f>IFERROR(Calc!G274,"—")</f>
        <v>Open</v>
      </c>
      <c r="O96" s="166"/>
      <c r="P96" s="161" t="str">
        <f>IFERROR(Calc!H274,"—")</f>
        <v>No proper communication on hike and No hike since 2 years</v>
      </c>
      <c r="Q96" s="161"/>
      <c r="R96" s="161"/>
      <c r="S96" s="161"/>
      <c r="T96" s="161"/>
      <c r="U96" s="161"/>
      <c r="V96" s="161"/>
      <c r="W96" s="161"/>
      <c r="X96" s="62"/>
      <c r="Y96" s="62"/>
    </row>
    <row r="97" spans="1:25" ht="27.75" customHeight="1">
      <c r="A97" s="62"/>
      <c r="B97" s="62"/>
      <c r="C97" s="72">
        <f>IFERROR(Calc!A275,"—")</f>
        <v>5</v>
      </c>
      <c r="D97" s="73">
        <f>IFERROR(Calc!B275,"—")</f>
        <v>74</v>
      </c>
      <c r="E97" s="167" t="str">
        <f>IFERROR(Calc!C275,"—")</f>
        <v>Poushali Ghosh</v>
      </c>
      <c r="F97" s="167"/>
      <c r="G97" s="161" t="str">
        <f>IFERROR(Calc!D275,"—")</f>
        <v>DIG Vertical</v>
      </c>
      <c r="H97" s="161"/>
      <c r="I97" s="161" t="str">
        <f>IFERROR(Calc!E275,"—")</f>
        <v>New Joiner Connect (90 Days)</v>
      </c>
      <c r="J97" s="161"/>
      <c r="K97" s="161"/>
      <c r="L97" s="162" t="str">
        <f>IFERROR(Calc!F275,"—")</f>
        <v>High</v>
      </c>
      <c r="M97" s="162"/>
      <c r="N97" s="163" t="str">
        <f>IFERROR(Calc!G275,"—")</f>
        <v>Open</v>
      </c>
      <c r="O97" s="163"/>
      <c r="P97" s="167" t="str">
        <f>IFERROR(Calc!H275,"—")</f>
        <v xml:space="preserve">No Projects for New Joiners in Bench </v>
      </c>
      <c r="Q97" s="167"/>
      <c r="R97" s="167"/>
      <c r="S97" s="167"/>
      <c r="T97" s="167"/>
      <c r="U97" s="167"/>
      <c r="V97" s="167"/>
      <c r="W97" s="167"/>
      <c r="X97" s="62"/>
      <c r="Y97" s="62"/>
    </row>
    <row r="98" spans="1:25" ht="27.75" customHeight="1">
      <c r="A98" s="62"/>
      <c r="B98" s="62"/>
      <c r="C98" s="74">
        <f>IFERROR(Calc!A276,"—")</f>
        <v>6</v>
      </c>
      <c r="D98" s="75">
        <f>IFERROR(Calc!B276,"—")</f>
        <v>80</v>
      </c>
      <c r="E98" s="161" t="str">
        <f>IFERROR(Calc!C276,"—")</f>
        <v>Upasana Talukdar</v>
      </c>
      <c r="F98" s="161"/>
      <c r="G98" s="161" t="str">
        <f>IFERROR(Calc!D276,"—")</f>
        <v>DIG Vertical</v>
      </c>
      <c r="H98" s="161"/>
      <c r="I98" s="161" t="str">
        <f>IFERROR(Calc!E276,"—")</f>
        <v>Josh (Fun Engagements)</v>
      </c>
      <c r="J98" s="161"/>
      <c r="K98" s="161"/>
      <c r="L98" s="165" t="str">
        <f>IFERROR(Calc!F276,"—")</f>
        <v>High</v>
      </c>
      <c r="M98" s="165"/>
      <c r="N98" s="166" t="str">
        <f>IFERROR(Calc!G276,"—")</f>
        <v>Open</v>
      </c>
      <c r="O98" s="166"/>
      <c r="P98" s="167" t="str">
        <f>IFERROR(Calc!H276,"—")</f>
        <v>—</v>
      </c>
      <c r="Q98" s="167"/>
      <c r="R98" s="167"/>
      <c r="S98" s="167"/>
      <c r="T98" s="167"/>
      <c r="U98" s="167"/>
      <c r="V98" s="167"/>
      <c r="W98" s="167"/>
      <c r="X98" s="62"/>
      <c r="Y98" s="62"/>
    </row>
    <row r="99" spans="1:25" ht="27.75" customHeight="1">
      <c r="A99" s="62"/>
      <c r="B99" s="62"/>
      <c r="C99" s="72">
        <f>IFERROR(Calc!A277,"—")</f>
        <v>7</v>
      </c>
      <c r="D99" s="73">
        <f>IFERROR(Calc!B277,"—")</f>
        <v>85</v>
      </c>
      <c r="E99" s="167" t="str">
        <f>IFERROR(Calc!C277,"—")</f>
        <v>Upasana Talukdar</v>
      </c>
      <c r="F99" s="167"/>
      <c r="G99" s="161" t="str">
        <f>IFERROR(Calc!D277,"—")</f>
        <v>DIG Vertical</v>
      </c>
      <c r="H99" s="161"/>
      <c r="I99" s="161" t="str">
        <f>IFERROR(Calc!E277,"—")</f>
        <v>Business Wait Connect</v>
      </c>
      <c r="J99" s="161"/>
      <c r="K99" s="161"/>
      <c r="L99" s="162" t="str">
        <f>IFERROR(Calc!F277,"—")</f>
        <v>High</v>
      </c>
      <c r="M99" s="162"/>
      <c r="N99" s="163" t="str">
        <f>IFERROR(Calc!G277,"—")</f>
        <v>Open</v>
      </c>
      <c r="O99" s="163"/>
      <c r="P99" s="167" t="str">
        <f>IFERROR(Calc!H277,"—")</f>
        <v>—</v>
      </c>
      <c r="Q99" s="167"/>
      <c r="R99" s="167"/>
      <c r="S99" s="167"/>
      <c r="T99" s="167"/>
      <c r="U99" s="167"/>
      <c r="V99" s="167"/>
      <c r="W99" s="167"/>
      <c r="X99" s="62"/>
      <c r="Y99" s="62"/>
    </row>
    <row r="100" spans="1:25" ht="27.75" customHeight="1">
      <c r="C100" s="74">
        <f>IFERROR(Calc!A278,"—")</f>
        <v>8</v>
      </c>
      <c r="D100" s="76">
        <f>IFERROR(Calc!B278,"—")</f>
        <v>14</v>
      </c>
      <c r="E100" s="168" t="str">
        <f>IFERROR(Calc!C278,"—")</f>
        <v>Tanay Malhotra</v>
      </c>
      <c r="F100" s="168"/>
      <c r="G100" s="161" t="str">
        <f>IFERROR(Calc!D278,"—")</f>
        <v>DEA Service Line</v>
      </c>
      <c r="H100" s="161"/>
      <c r="I100" s="161" t="str">
        <f>IFERROR(Calc!E278,"—")</f>
        <v>HR Connect (General)</v>
      </c>
      <c r="J100" s="161"/>
      <c r="K100" s="161"/>
      <c r="L100" s="165" t="str">
        <f>IFERROR(Calc!F278,"—")</f>
        <v>High</v>
      </c>
      <c r="M100" s="165"/>
      <c r="N100" s="166" t="str">
        <f>IFERROR(Calc!G278,"—")</f>
        <v>In-progress</v>
      </c>
      <c r="O100" s="166"/>
      <c r="P100" s="164" t="str">
        <f>IFERROR(Calc!H278,"—")</f>
        <v>Send monthly HR bulletin with key updates and links</v>
      </c>
      <c r="Q100" s="164"/>
      <c r="R100" s="164"/>
      <c r="S100" s="164"/>
      <c r="T100" s="164"/>
      <c r="U100" s="164"/>
      <c r="V100" s="164"/>
      <c r="W100" s="164"/>
    </row>
    <row r="101" spans="1:25" ht="27.75" customHeight="1">
      <c r="C101" s="72">
        <f>IFERROR(Calc!A279,"—")</f>
        <v>9</v>
      </c>
      <c r="D101" s="77">
        <f>IFERROR(Calc!B279,"—")</f>
        <v>18</v>
      </c>
      <c r="E101" s="160" t="str">
        <f>IFERROR(Calc!C279,"—")</f>
        <v>Haripriya Keerthiraj</v>
      </c>
      <c r="F101" s="160"/>
      <c r="G101" s="161" t="str">
        <f>IFERROR(Calc!D279,"—")</f>
        <v>MFG Vertical</v>
      </c>
      <c r="H101" s="161"/>
      <c r="I101" s="161" t="str">
        <f>IFERROR(Calc!E279,"—")</f>
        <v>HR Connect (General)</v>
      </c>
      <c r="J101" s="161"/>
      <c r="K101" s="161"/>
      <c r="L101" s="162" t="str">
        <f>IFERROR(Calc!F279,"—")</f>
        <v>High</v>
      </c>
      <c r="M101" s="162"/>
      <c r="N101" s="163" t="str">
        <f>IFERROR(Calc!G279,"—")</f>
        <v>In-progress</v>
      </c>
      <c r="O101" s="163"/>
      <c r="P101" s="160" t="str">
        <f>IFERROR(Calc!H279,"—")</f>
        <v>Improve Hybrid compliance, IBU heads need to validate the data and share action plan</v>
      </c>
      <c r="Q101" s="160"/>
      <c r="R101" s="160"/>
      <c r="S101" s="160"/>
      <c r="T101" s="160"/>
      <c r="U101" s="160"/>
      <c r="V101" s="160"/>
      <c r="W101" s="160"/>
    </row>
    <row r="102" spans="1:25" ht="27.75" customHeight="1">
      <c r="C102" s="74">
        <f>IFERROR(Calc!A280,"—")</f>
        <v>10</v>
      </c>
      <c r="D102" s="76">
        <f>IFERROR(Calc!B280,"—")</f>
        <v>22</v>
      </c>
      <c r="E102" s="164" t="str">
        <f>IFERROR(Calc!C280,"—")</f>
        <v>Monica</v>
      </c>
      <c r="F102" s="164"/>
      <c r="G102" s="161" t="str">
        <f>IFERROR(Calc!D280,"—")</f>
        <v>DEA Service Line</v>
      </c>
      <c r="H102" s="161"/>
      <c r="I102" s="161" t="str">
        <f>IFERROR(Calc!E280,"—")</f>
        <v>HR Connect (General)</v>
      </c>
      <c r="J102" s="161"/>
      <c r="K102" s="161"/>
      <c r="L102" s="165" t="str">
        <f>IFERROR(Calc!F280,"—")</f>
        <v>High</v>
      </c>
      <c r="M102" s="165"/>
      <c r="N102" s="166" t="str">
        <f>IFERROR(Calc!G280,"—")</f>
        <v>In-progress</v>
      </c>
      <c r="O102" s="166"/>
      <c r="P102" s="164" t="str">
        <f>IFERROR(Calc!H280,"—")</f>
        <v>1. Transport related queries were higher, had scheduled in-person meeting with CS team on floor &amp; addressed the issue.
2. Updates on increments were raised.
3. WFH exception bases the speculation as per govt norms were raised
4. Updates on Implementation of mensural leave were raised</v>
      </c>
      <c r="Q102" s="164"/>
      <c r="R102" s="164"/>
      <c r="S102" s="164"/>
      <c r="T102" s="164"/>
      <c r="U102" s="164"/>
      <c r="V102" s="164"/>
      <c r="W102" s="164"/>
    </row>
    <row r="105" spans="1:25" ht="21.75" customHeight="1">
      <c r="C105" s="156" t="s">
        <v>1018</v>
      </c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</row>
    <row r="107" spans="1:25" s="78" customFormat="1" ht="33.75" customHeight="1">
      <c r="C107" s="79" t="s">
        <v>99</v>
      </c>
      <c r="D107" s="79" t="s">
        <v>1019</v>
      </c>
      <c r="E107" s="79" t="s">
        <v>1020</v>
      </c>
      <c r="F107" s="79" t="s">
        <v>1021</v>
      </c>
      <c r="G107" s="79" t="s">
        <v>943</v>
      </c>
    </row>
    <row r="108" spans="1:25" ht="15" customHeight="1">
      <c r="C108" s="80" t="str">
        <f>Calc!A264</f>
        <v>Open</v>
      </c>
      <c r="D108" s="81">
        <f>Calc!B264</f>
        <v>7</v>
      </c>
      <c r="E108" s="81">
        <f>Calc!C264</f>
        <v>8</v>
      </c>
      <c r="F108" s="81">
        <f>Calc!D264</f>
        <v>0</v>
      </c>
      <c r="G108" s="81">
        <f>Calc!E264</f>
        <v>15</v>
      </c>
    </row>
    <row r="109" spans="1:25" ht="15" customHeight="1">
      <c r="C109" s="82" t="str">
        <f>Calc!A265</f>
        <v>In-progress</v>
      </c>
      <c r="D109" s="83">
        <f>Calc!B265</f>
        <v>12</v>
      </c>
      <c r="E109" s="83">
        <f>Calc!C265</f>
        <v>10</v>
      </c>
      <c r="F109" s="83">
        <f>Calc!D265</f>
        <v>4</v>
      </c>
      <c r="G109" s="83">
        <f>Calc!E265</f>
        <v>26</v>
      </c>
    </row>
    <row r="110" spans="1:25" ht="15" customHeight="1">
      <c r="C110" s="84" t="str">
        <f>Calc!A266</f>
        <v>Closed</v>
      </c>
      <c r="D110" s="85">
        <f>Calc!B266</f>
        <v>14</v>
      </c>
      <c r="E110" s="85">
        <f>Calc!C266</f>
        <v>56</v>
      </c>
      <c r="F110" s="85">
        <f>Calc!D266</f>
        <v>54</v>
      </c>
      <c r="G110" s="85">
        <f>Calc!E266</f>
        <v>124</v>
      </c>
    </row>
    <row r="121" spans="3:23" ht="21.75" customHeight="1">
      <c r="C121" s="157" t="s">
        <v>1022</v>
      </c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</row>
    <row r="122" spans="3:23" ht="34.5" customHeight="1">
      <c r="C122" s="86" t="s">
        <v>994</v>
      </c>
      <c r="D122" s="158" t="s">
        <v>1023</v>
      </c>
      <c r="E122" s="158"/>
      <c r="F122" s="158"/>
      <c r="G122" s="158"/>
      <c r="H122" s="158"/>
      <c r="I122" s="158"/>
      <c r="J122" s="158"/>
      <c r="K122" s="158"/>
      <c r="L122" s="159" t="s">
        <v>945</v>
      </c>
      <c r="M122" s="159"/>
      <c r="N122" s="159"/>
      <c r="O122" s="159" t="s">
        <v>946</v>
      </c>
      <c r="P122" s="159"/>
      <c r="Q122" s="159"/>
      <c r="R122" s="159" t="s">
        <v>1024</v>
      </c>
      <c r="S122" s="159"/>
      <c r="T122" s="159"/>
      <c r="U122" s="159"/>
      <c r="V122" s="159"/>
      <c r="W122" s="159"/>
    </row>
    <row r="123" spans="3:23" ht="15.75" customHeight="1">
      <c r="C123" s="87">
        <v>1</v>
      </c>
      <c r="D123" s="153" t="str">
        <f ca="1">IFERROR(Calc!Q3,"")</f>
        <v>Bench Policy &amp; Compliance Clarity</v>
      </c>
      <c r="E123" s="153"/>
      <c r="F123" s="153"/>
      <c r="G123" s="153"/>
      <c r="H123" s="153"/>
      <c r="I123" s="153"/>
      <c r="J123" s="153"/>
      <c r="K123" s="153"/>
      <c r="L123" s="154">
        <f>IFERROR(Calc!R3,"")</f>
        <v>19</v>
      </c>
      <c r="M123" s="154"/>
      <c r="N123" s="154"/>
      <c r="O123" s="155">
        <f ca="1">IFERROR(Calc!S3,"")</f>
        <v>0.110236220472441</v>
      </c>
      <c r="P123" s="155"/>
      <c r="Q123" s="155"/>
      <c r="R123" s="153" t="str">
        <f ca="1">IFERROR(Calc!T3,"")</f>
        <v>Large Connect</v>
      </c>
      <c r="S123" s="153"/>
      <c r="T123" s="153"/>
      <c r="U123" s="153"/>
      <c r="V123" s="153"/>
      <c r="W123" s="153"/>
    </row>
    <row r="124" spans="3:23" ht="15.75" customHeight="1">
      <c r="C124" s="88">
        <v>2</v>
      </c>
      <c r="D124" s="150" t="str">
        <f ca="1">IFERROR(Calc!Q4,"")</f>
        <v>Upskilling &amp; Deployment Readiness</v>
      </c>
      <c r="E124" s="150"/>
      <c r="F124" s="150"/>
      <c r="G124" s="150"/>
      <c r="H124" s="150"/>
      <c r="I124" s="150"/>
      <c r="J124" s="150"/>
      <c r="K124" s="150"/>
      <c r="L124" s="151">
        <f>IFERROR(Calc!R4,"")</f>
        <v>15</v>
      </c>
      <c r="M124" s="151"/>
      <c r="N124" s="151"/>
      <c r="O124" s="152">
        <f ca="1">IFERROR(Calc!S4,"")</f>
        <v>8.6614173228346497E-2</v>
      </c>
      <c r="P124" s="152"/>
      <c r="Q124" s="152"/>
      <c r="R124" s="150" t="str">
        <f ca="1">IFERROR(Calc!T4,"")</f>
        <v>Large Connect</v>
      </c>
      <c r="S124" s="150"/>
      <c r="T124" s="150"/>
      <c r="U124" s="150"/>
      <c r="V124" s="150"/>
      <c r="W124" s="150"/>
    </row>
    <row r="125" spans="3:23" ht="15.75" customHeight="1">
      <c r="C125" s="87">
        <v>3</v>
      </c>
      <c r="D125" s="153" t="str">
        <f ca="1">IFERROR(Calc!Q5,"")</f>
        <v>Initial Organization Understanding</v>
      </c>
      <c r="E125" s="153"/>
      <c r="F125" s="153"/>
      <c r="G125" s="153"/>
      <c r="H125" s="153"/>
      <c r="I125" s="153"/>
      <c r="J125" s="153"/>
      <c r="K125" s="153"/>
      <c r="L125" s="154">
        <f>IFERROR(Calc!R5,"")</f>
        <v>13</v>
      </c>
      <c r="M125" s="154"/>
      <c r="N125" s="154"/>
      <c r="O125" s="155">
        <f ca="1">IFERROR(Calc!S5,"")</f>
        <v>7.8740157480315001E-2</v>
      </c>
      <c r="P125" s="155"/>
      <c r="Q125" s="155"/>
      <c r="R125" s="153" t="str">
        <f ca="1">IFERROR(Calc!T5,"")</f>
        <v>1:1</v>
      </c>
      <c r="S125" s="153"/>
      <c r="T125" s="153"/>
      <c r="U125" s="153"/>
      <c r="V125" s="153"/>
      <c r="W125" s="153"/>
    </row>
    <row r="126" spans="3:23" ht="15.75" customHeight="1">
      <c r="C126" s="88">
        <v>4</v>
      </c>
      <c r="D126" s="150" t="str">
        <f ca="1">IFERROR(Calc!Q6,"")</f>
        <v>HR Process Clarity</v>
      </c>
      <c r="E126" s="150"/>
      <c r="F126" s="150"/>
      <c r="G126" s="150"/>
      <c r="H126" s="150"/>
      <c r="I126" s="150"/>
      <c r="J126" s="150"/>
      <c r="K126" s="150"/>
      <c r="L126" s="151">
        <f>IFERROR(Calc!R6,"")</f>
        <v>11</v>
      </c>
      <c r="M126" s="151"/>
      <c r="N126" s="151"/>
      <c r="O126" s="152">
        <f ca="1">IFERROR(Calc!S6,"")</f>
        <v>7.8740157480315001E-2</v>
      </c>
      <c r="P126" s="152"/>
      <c r="Q126" s="152"/>
      <c r="R126" s="150" t="str">
        <f ca="1">IFERROR(Calc!T6,"")</f>
        <v>New Joiner Induction</v>
      </c>
      <c r="S126" s="150"/>
      <c r="T126" s="150"/>
      <c r="U126" s="150"/>
      <c r="V126" s="150"/>
      <c r="W126" s="150"/>
    </row>
    <row r="127" spans="3:23" ht="15.75" customHeight="1">
      <c r="C127" s="87">
        <v>5</v>
      </c>
      <c r="D127" s="153" t="str">
        <f ca="1">IFERROR(Calc!Q7,"")</f>
        <v>Policy &amp; Process Clarity</v>
      </c>
      <c r="E127" s="153"/>
      <c r="F127" s="153"/>
      <c r="G127" s="153"/>
      <c r="H127" s="153"/>
      <c r="I127" s="153"/>
      <c r="J127" s="153"/>
      <c r="K127" s="153"/>
      <c r="L127" s="154">
        <f>IFERROR(Calc!R7,"")</f>
        <v>11</v>
      </c>
      <c r="M127" s="154"/>
      <c r="N127" s="154"/>
      <c r="O127" s="155">
        <f ca="1">IFERROR(Calc!S7,"")</f>
        <v>7.0866141732283505E-2</v>
      </c>
      <c r="P127" s="155"/>
      <c r="Q127" s="155"/>
      <c r="R127" s="153" t="str">
        <f ca="1">IFERROR(Calc!T7,"")</f>
        <v>FGD</v>
      </c>
      <c r="S127" s="153"/>
      <c r="T127" s="153"/>
      <c r="U127" s="153"/>
      <c r="V127" s="153"/>
      <c r="W127" s="153"/>
    </row>
    <row r="128" spans="3:23" ht="15.75" customHeight="1">
      <c r="C128" s="88">
        <v>6</v>
      </c>
      <c r="D128" s="150" t="str">
        <f ca="1">IFERROR(Calc!Q8,"")</f>
        <v>On Hybrid/WFO Rules And Monthly Compliance Expectations</v>
      </c>
      <c r="E128" s="150"/>
      <c r="F128" s="150"/>
      <c r="G128" s="150"/>
      <c r="H128" s="150"/>
      <c r="I128" s="150"/>
      <c r="J128" s="150"/>
      <c r="K128" s="150"/>
      <c r="L128" s="151">
        <f>IFERROR(Calc!R8,"")</f>
        <v>11</v>
      </c>
      <c r="M128" s="151"/>
      <c r="N128" s="151"/>
      <c r="O128" s="152">
        <f ca="1">IFERROR(Calc!S8,"")</f>
        <v>7.0866141732283505E-2</v>
      </c>
      <c r="P128" s="152"/>
      <c r="Q128" s="152"/>
      <c r="R128" s="150" t="str">
        <f ca="1">IFERROR(Calc!T8,"")</f>
        <v>Large Connect</v>
      </c>
      <c r="S128" s="150"/>
      <c r="T128" s="150"/>
      <c r="U128" s="150"/>
      <c r="V128" s="150"/>
      <c r="W128" s="150"/>
    </row>
    <row r="129" spans="3:23" ht="15.75" customHeight="1">
      <c r="C129" s="87">
        <v>7</v>
      </c>
      <c r="D129" s="153" t="str">
        <f ca="1">IFERROR(Calc!Q9,"")</f>
        <v>Organization Policy Updates</v>
      </c>
      <c r="E129" s="153"/>
      <c r="F129" s="153"/>
      <c r="G129" s="153"/>
      <c r="H129" s="153"/>
      <c r="I129" s="153"/>
      <c r="J129" s="153"/>
      <c r="K129" s="153"/>
      <c r="L129" s="154">
        <f>IFERROR(Calc!R9,"")</f>
        <v>11</v>
      </c>
      <c r="M129" s="154"/>
      <c r="N129" s="154"/>
      <c r="O129" s="155">
        <f ca="1">IFERROR(Calc!S9,"")</f>
        <v>7.0866141732283505E-2</v>
      </c>
      <c r="P129" s="155"/>
      <c r="Q129" s="155"/>
      <c r="R129" s="153" t="str">
        <f ca="1">IFERROR(Calc!T9,"")</f>
        <v>Large Connect</v>
      </c>
      <c r="S129" s="153"/>
      <c r="T129" s="153"/>
      <c r="U129" s="153"/>
      <c r="V129" s="153"/>
      <c r="W129" s="153"/>
    </row>
    <row r="130" spans="3:23" ht="15.75" customHeight="1">
      <c r="C130" s="88">
        <v>8</v>
      </c>
      <c r="D130" s="150" t="str">
        <f ca="1">IFERROR(Calc!Q10,"")</f>
        <v>Queries On Timesheet/attendance Compliance During Bench</v>
      </c>
      <c r="E130" s="150"/>
      <c r="F130" s="150"/>
      <c r="G130" s="150"/>
      <c r="H130" s="150"/>
      <c r="I130" s="150"/>
      <c r="J130" s="150"/>
      <c r="K130" s="150"/>
      <c r="L130" s="151">
        <f>IFERROR(Calc!R10,"")</f>
        <v>10</v>
      </c>
      <c r="M130" s="151"/>
      <c r="N130" s="151"/>
      <c r="O130" s="152">
        <f ca="1">IFERROR(Calc!S10,"")</f>
        <v>6.2992125984251995E-2</v>
      </c>
      <c r="P130" s="152"/>
      <c r="Q130" s="152"/>
      <c r="R130" s="150" t="str">
        <f ca="1">IFERROR(Calc!T10,"")</f>
        <v>Floor Connect</v>
      </c>
      <c r="S130" s="150"/>
      <c r="T130" s="150"/>
      <c r="U130" s="150"/>
      <c r="V130" s="150"/>
      <c r="W130" s="150"/>
    </row>
    <row r="131" spans="3:23" ht="15.75" customHeight="1">
      <c r="C131" s="87">
        <v>9</v>
      </c>
      <c r="D131" s="153" t="str">
        <f ca="1">IFERROR(Calc!Q11,"")</f>
        <v>Induction Effectiveness</v>
      </c>
      <c r="E131" s="153"/>
      <c r="F131" s="153"/>
      <c r="G131" s="153"/>
      <c r="H131" s="153"/>
      <c r="I131" s="153"/>
      <c r="J131" s="153"/>
      <c r="K131" s="153"/>
      <c r="L131" s="154">
        <f>IFERROR(Calc!R11,"")</f>
        <v>10</v>
      </c>
      <c r="M131" s="154"/>
      <c r="N131" s="154"/>
      <c r="O131" s="155">
        <f ca="1">IFERROR(Calc!S11,"")</f>
        <v>6.2992125984251995E-2</v>
      </c>
      <c r="P131" s="155"/>
      <c r="Q131" s="155"/>
      <c r="R131" s="153" t="str">
        <f ca="1">IFERROR(Calc!T11,"")</f>
        <v>Induction</v>
      </c>
      <c r="S131" s="153"/>
      <c r="T131" s="153"/>
      <c r="U131" s="153"/>
      <c r="V131" s="153"/>
      <c r="W131" s="153"/>
    </row>
    <row r="132" spans="3:23" ht="15.75" customHeight="1">
      <c r="C132" s="88">
        <v>10</v>
      </c>
      <c r="D132" s="150" t="str">
        <f ca="1">IFERROR(Calc!Q12,"")</f>
        <v>Business &amp; Practice Awareness</v>
      </c>
      <c r="E132" s="150"/>
      <c r="F132" s="150"/>
      <c r="G132" s="150"/>
      <c r="H132" s="150"/>
      <c r="I132" s="150"/>
      <c r="J132" s="150"/>
      <c r="K132" s="150"/>
      <c r="L132" s="151">
        <f>IFERROR(Calc!R12,"")</f>
        <v>9</v>
      </c>
      <c r="M132" s="151"/>
      <c r="N132" s="151"/>
      <c r="O132" s="152">
        <f ca="1">IFERROR(Calc!S12,"")</f>
        <v>5.5118110236220499E-2</v>
      </c>
      <c r="P132" s="152"/>
      <c r="Q132" s="152"/>
      <c r="R132" s="150" t="str">
        <f ca="1">IFERROR(Calc!T12,"")</f>
        <v>FGD</v>
      </c>
      <c r="S132" s="150"/>
      <c r="T132" s="150"/>
      <c r="U132" s="150"/>
      <c r="V132" s="150"/>
      <c r="W132" s="150"/>
    </row>
    <row r="133" spans="3:23" ht="15.75" customHeight="1">
      <c r="C133" s="125"/>
      <c r="D133" s="126"/>
      <c r="E133" s="126"/>
      <c r="F133" s="126"/>
      <c r="G133" s="126"/>
      <c r="H133" s="126"/>
      <c r="I133" s="126"/>
      <c r="J133" s="126"/>
      <c r="K133" s="126"/>
      <c r="L133" s="125"/>
      <c r="M133" s="125"/>
      <c r="N133" s="125"/>
      <c r="O133" s="127"/>
      <c r="P133" s="127"/>
      <c r="Q133" s="127"/>
      <c r="R133" s="126"/>
      <c r="S133" s="126"/>
      <c r="T133" s="126"/>
      <c r="U133" s="126"/>
      <c r="V133" s="126"/>
      <c r="W133" s="126"/>
    </row>
    <row r="134" spans="3:23" ht="21.75" customHeight="1">
      <c r="C134" s="147" t="s">
        <v>1025</v>
      </c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</row>
    <row r="135" spans="3:23" s="128" customFormat="1" ht="21.75" customHeight="1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</row>
    <row r="136" spans="3:23" s="128" customFormat="1" ht="21.75" customHeight="1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</row>
    <row r="137" spans="3:23" s="128" customFormat="1" ht="21.75" customHeight="1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</row>
    <row r="138" spans="3:23" s="128" customFormat="1" ht="21.75" customHeight="1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</row>
    <row r="139" spans="3:23" s="128" customFormat="1" ht="21.75" customHeight="1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</row>
    <row r="140" spans="3:23" s="128" customFormat="1" ht="21.75" customHeight="1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</row>
    <row r="141" spans="3:23" s="128" customFormat="1" ht="21.75" customHeight="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</row>
    <row r="142" spans="3:23" s="128" customFormat="1" ht="21.75" customHeight="1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</row>
    <row r="143" spans="3:23" s="128" customFormat="1" ht="21.75" customHeight="1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</row>
    <row r="144" spans="3:23" s="128" customFormat="1" ht="21.75" customHeight="1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</row>
    <row r="145" spans="3:23" s="128" customFormat="1" ht="21.75" customHeight="1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</row>
    <row r="146" spans="3:23" ht="21.75" customHeight="1">
      <c r="C146" s="148" t="s">
        <v>1026</v>
      </c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</row>
    <row r="148" spans="3:23" ht="31.5" customHeight="1">
      <c r="C148" s="89" t="s">
        <v>1027</v>
      </c>
      <c r="D148" s="89" t="s">
        <v>951</v>
      </c>
      <c r="E148" s="89" t="s">
        <v>1028</v>
      </c>
      <c r="F148" s="89" t="s">
        <v>1029</v>
      </c>
      <c r="G148" s="89" t="s">
        <v>1030</v>
      </c>
      <c r="H148" s="89" t="s">
        <v>1031</v>
      </c>
    </row>
    <row r="149" spans="3:23" ht="21.75" customHeight="1">
      <c r="C149" s="90" t="str">
        <f>Calc!A42</f>
        <v>Alignment</v>
      </c>
      <c r="D149" s="91">
        <f>Calc!B42</f>
        <v>97</v>
      </c>
      <c r="E149" s="92">
        <f>COUNTIFS(RawData[CARES Framework],C149,RawData[Severity],"High")</f>
        <v>13</v>
      </c>
      <c r="F149" s="93">
        <f>COUNTIFS(RawData[CARES Framework],C149,RawData[Severity],"Moderate")</f>
        <v>43</v>
      </c>
      <c r="G149" s="94">
        <f>COUNTIFS(RawData[CARES Framework],C149,RawData[Severity],"Low")</f>
        <v>41</v>
      </c>
      <c r="H149" s="95">
        <f>IFERROR(D149/Calc!$B$3,0)</f>
        <v>0.58787878787878789</v>
      </c>
    </row>
    <row r="150" spans="3:23" ht="21.75" customHeight="1">
      <c r="C150" s="96" t="str">
        <f>Calc!A43</f>
        <v>Career</v>
      </c>
      <c r="D150" s="97">
        <f>Calc!B43</f>
        <v>22</v>
      </c>
      <c r="E150" s="98">
        <f>COUNTIFS(RawData[CARES Framework],C150,RawData[Severity],"High")</f>
        <v>7</v>
      </c>
      <c r="F150" s="99">
        <f>COUNTIFS(RawData[CARES Framework],C150,RawData[Severity],"Moderate")</f>
        <v>12</v>
      </c>
      <c r="G150" s="100">
        <f>COUNTIFS(RawData[CARES Framework],C150,RawData[Severity],"Low")</f>
        <v>3</v>
      </c>
      <c r="H150" s="101">
        <f>IFERROR(D150/Calc!$B$3,0)</f>
        <v>0.13333333333333333</v>
      </c>
    </row>
    <row r="151" spans="3:23" ht="21.75" customHeight="1">
      <c r="C151" s="102" t="str">
        <f>Calc!A44</f>
        <v>Empowerment</v>
      </c>
      <c r="D151" s="91">
        <f>Calc!B44</f>
        <v>30</v>
      </c>
      <c r="E151" s="92">
        <f>COUNTIFS(RawData[CARES Framework],C151,RawData[Severity],"High")</f>
        <v>10</v>
      </c>
      <c r="F151" s="93">
        <f>COUNTIFS(RawData[CARES Framework],C151,RawData[Severity],"Moderate")</f>
        <v>14</v>
      </c>
      <c r="G151" s="94">
        <f>COUNTIFS(RawData[CARES Framework],C151,RawData[Severity],"Low")</f>
        <v>6</v>
      </c>
      <c r="H151" s="95">
        <f>IFERROR(D151/Calc!$B$3,0)</f>
        <v>0.18181818181818182</v>
      </c>
    </row>
    <row r="152" spans="3:23" ht="21.75" customHeight="1">
      <c r="C152" s="103" t="str">
        <f>Calc!A45</f>
        <v>Recognition</v>
      </c>
      <c r="D152" s="97">
        <f>Calc!B45</f>
        <v>9</v>
      </c>
      <c r="E152" s="98">
        <f>COUNTIFS(RawData[CARES Framework],C152,RawData[Severity],"High")</f>
        <v>0</v>
      </c>
      <c r="F152" s="99">
        <f>COUNTIFS(RawData[CARES Framework],C152,RawData[Severity],"Moderate")</f>
        <v>4</v>
      </c>
      <c r="G152" s="100">
        <f>COUNTIFS(RawData[CARES Framework],C152,RawData[Severity],"Low")</f>
        <v>5</v>
      </c>
      <c r="H152" s="101">
        <f>IFERROR(D152/Calc!$B$3,0)</f>
        <v>5.4545454545454543E-2</v>
      </c>
    </row>
    <row r="153" spans="3:23" ht="21.75" customHeight="1">
      <c r="C153" s="104" t="str">
        <f>Calc!A46</f>
        <v>Strive</v>
      </c>
      <c r="D153" s="91">
        <f>Calc!B46</f>
        <v>7</v>
      </c>
      <c r="E153" s="92">
        <f>COUNTIFS(RawData[CARES Framework],C153,RawData[Severity],"High")</f>
        <v>3</v>
      </c>
      <c r="F153" s="93">
        <f>COUNTIFS(RawData[CARES Framework],C153,RawData[Severity],"Moderate")</f>
        <v>1</v>
      </c>
      <c r="G153" s="94">
        <f>COUNTIFS(RawData[CARES Framework],C153,RawData[Severity],"Low")</f>
        <v>3</v>
      </c>
      <c r="H153" s="95">
        <f>IFERROR(D153/Calc!$B$3,0)</f>
        <v>4.2424242424242427E-2</v>
      </c>
    </row>
    <row r="155" spans="3:23" ht="21.75" customHeight="1">
      <c r="C155" s="149" t="s">
        <v>1032</v>
      </c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</row>
    <row r="158" spans="3:23" ht="21.75" customHeight="1">
      <c r="C158" s="105"/>
    </row>
    <row r="159" spans="3:23" ht="15" customHeight="1">
      <c r="C159" s="106"/>
    </row>
    <row r="160" spans="3:23" ht="34.5" customHeight="1">
      <c r="C160" s="107"/>
      <c r="D160" s="107"/>
      <c r="E160" s="108"/>
    </row>
    <row r="161" spans="3:23" ht="19.5" customHeight="1">
      <c r="C161" s="109"/>
      <c r="D161" s="110"/>
      <c r="E161" s="111"/>
    </row>
    <row r="162" spans="3:23" ht="19.5" customHeight="1">
      <c r="C162" s="112"/>
      <c r="D162" s="113"/>
      <c r="E162" s="114"/>
    </row>
    <row r="163" spans="3:23" ht="19.5" customHeight="1">
      <c r="C163" s="109"/>
      <c r="D163" s="110"/>
      <c r="E163" s="111"/>
    </row>
    <row r="164" spans="3:23" ht="19.5" customHeight="1">
      <c r="C164" s="112"/>
      <c r="D164" s="113"/>
      <c r="E164" s="114"/>
    </row>
    <row r="165" spans="3:23" ht="34.5" customHeight="1"/>
    <row r="166" spans="3:23" ht="39.75" customHeight="1"/>
    <row r="167" spans="3:23" ht="43.5" customHeight="1"/>
    <row r="168" spans="3:23" ht="29.25" customHeight="1"/>
    <row r="170" spans="3:23" ht="15" customHeight="1"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</row>
  </sheetData>
  <mergeCells count="157">
    <mergeCell ref="C2:R2"/>
    <mergeCell ref="S2:X2"/>
    <mergeCell ref="C3:T3"/>
    <mergeCell ref="U3:X3"/>
    <mergeCell ref="C8:E8"/>
    <mergeCell ref="F8:H8"/>
    <mergeCell ref="I8:K8"/>
    <mergeCell ref="L8:N8"/>
    <mergeCell ref="O8:Q8"/>
    <mergeCell ref="R8:T8"/>
    <mergeCell ref="U8:V8"/>
    <mergeCell ref="W8:X8"/>
    <mergeCell ref="C9:E9"/>
    <mergeCell ref="F9:H9"/>
    <mergeCell ref="I9:K9"/>
    <mergeCell ref="L9:N9"/>
    <mergeCell ref="O9:Q9"/>
    <mergeCell ref="R9:T9"/>
    <mergeCell ref="U9:V9"/>
    <mergeCell ref="W9:X9"/>
    <mergeCell ref="C10:E10"/>
    <mergeCell ref="F10:H10"/>
    <mergeCell ref="I10:K10"/>
    <mergeCell ref="L10:N10"/>
    <mergeCell ref="O10:Q10"/>
    <mergeCell ref="R10:T10"/>
    <mergeCell ref="U10:V10"/>
    <mergeCell ref="W10:X10"/>
    <mergeCell ref="C12:H12"/>
    <mergeCell ref="I12:N12"/>
    <mergeCell ref="O12:T12"/>
    <mergeCell ref="U12:X12"/>
    <mergeCell ref="C13:H13"/>
    <mergeCell ref="I13:N13"/>
    <mergeCell ref="O13:T13"/>
    <mergeCell ref="U13:X13"/>
    <mergeCell ref="C15:X15"/>
    <mergeCell ref="C35:AB35"/>
    <mergeCell ref="C56:X56"/>
    <mergeCell ref="C70:W70"/>
    <mergeCell ref="C91:W91"/>
    <mergeCell ref="E92:F92"/>
    <mergeCell ref="G92:H92"/>
    <mergeCell ref="I92:K92"/>
    <mergeCell ref="L92:M92"/>
    <mergeCell ref="N92:O92"/>
    <mergeCell ref="P92:W92"/>
    <mergeCell ref="E93:F93"/>
    <mergeCell ref="G93:H93"/>
    <mergeCell ref="I93:K93"/>
    <mergeCell ref="L93:M93"/>
    <mergeCell ref="N93:O93"/>
    <mergeCell ref="P93:W93"/>
    <mergeCell ref="E94:F94"/>
    <mergeCell ref="G94:H94"/>
    <mergeCell ref="I94:K94"/>
    <mergeCell ref="L94:M94"/>
    <mergeCell ref="N94:O94"/>
    <mergeCell ref="P94:W94"/>
    <mergeCell ref="E95:F95"/>
    <mergeCell ref="G95:H95"/>
    <mergeCell ref="I95:K95"/>
    <mergeCell ref="L95:M95"/>
    <mergeCell ref="N95:O95"/>
    <mergeCell ref="P95:W95"/>
    <mergeCell ref="E96:F96"/>
    <mergeCell ref="G96:H96"/>
    <mergeCell ref="I96:K96"/>
    <mergeCell ref="L96:M96"/>
    <mergeCell ref="N96:O96"/>
    <mergeCell ref="P96:W96"/>
    <mergeCell ref="E97:F97"/>
    <mergeCell ref="G97:H97"/>
    <mergeCell ref="I97:K97"/>
    <mergeCell ref="L97:M97"/>
    <mergeCell ref="N97:O97"/>
    <mergeCell ref="P97:W97"/>
    <mergeCell ref="E98:F98"/>
    <mergeCell ref="G98:H98"/>
    <mergeCell ref="I98:K98"/>
    <mergeCell ref="L98:M98"/>
    <mergeCell ref="N98:O98"/>
    <mergeCell ref="P98:W98"/>
    <mergeCell ref="E99:F99"/>
    <mergeCell ref="G99:H99"/>
    <mergeCell ref="I99:K99"/>
    <mergeCell ref="L99:M99"/>
    <mergeCell ref="N99:O99"/>
    <mergeCell ref="P99:W99"/>
    <mergeCell ref="E100:F100"/>
    <mergeCell ref="G100:H100"/>
    <mergeCell ref="I100:K100"/>
    <mergeCell ref="L100:M100"/>
    <mergeCell ref="N100:O100"/>
    <mergeCell ref="P100:W100"/>
    <mergeCell ref="E101:F101"/>
    <mergeCell ref="G101:H101"/>
    <mergeCell ref="I101:K101"/>
    <mergeCell ref="L101:M101"/>
    <mergeCell ref="N101:O101"/>
    <mergeCell ref="P101:W101"/>
    <mergeCell ref="E102:F102"/>
    <mergeCell ref="G102:H102"/>
    <mergeCell ref="I102:K102"/>
    <mergeCell ref="L102:M102"/>
    <mergeCell ref="N102:O102"/>
    <mergeCell ref="P102:W102"/>
    <mergeCell ref="C105:W105"/>
    <mergeCell ref="C121:W121"/>
    <mergeCell ref="D122:K122"/>
    <mergeCell ref="L122:N122"/>
    <mergeCell ref="O122:Q122"/>
    <mergeCell ref="R122:W122"/>
    <mergeCell ref="D123:K123"/>
    <mergeCell ref="L123:N123"/>
    <mergeCell ref="O123:Q123"/>
    <mergeCell ref="R123:W123"/>
    <mergeCell ref="D124:K124"/>
    <mergeCell ref="L124:N124"/>
    <mergeCell ref="O124:Q124"/>
    <mergeCell ref="R124:W124"/>
    <mergeCell ref="D125:K125"/>
    <mergeCell ref="L125:N125"/>
    <mergeCell ref="O125:Q125"/>
    <mergeCell ref="R125:W125"/>
    <mergeCell ref="D126:K126"/>
    <mergeCell ref="L126:N126"/>
    <mergeCell ref="O126:Q126"/>
    <mergeCell ref="R126:W126"/>
    <mergeCell ref="D127:K127"/>
    <mergeCell ref="L127:N127"/>
    <mergeCell ref="O127:Q127"/>
    <mergeCell ref="R127:W127"/>
    <mergeCell ref="D128:K128"/>
    <mergeCell ref="L128:N128"/>
    <mergeCell ref="O128:Q128"/>
    <mergeCell ref="R128:W128"/>
    <mergeCell ref="D129:K129"/>
    <mergeCell ref="L129:N129"/>
    <mergeCell ref="O129:Q129"/>
    <mergeCell ref="R129:W129"/>
    <mergeCell ref="C134:W134"/>
    <mergeCell ref="C146:W146"/>
    <mergeCell ref="C155:W155"/>
    <mergeCell ref="C170:W170"/>
    <mergeCell ref="D130:K130"/>
    <mergeCell ref="L130:N130"/>
    <mergeCell ref="O130:Q130"/>
    <mergeCell ref="R130:W130"/>
    <mergeCell ref="D131:K131"/>
    <mergeCell ref="L131:N131"/>
    <mergeCell ref="O131:Q131"/>
    <mergeCell ref="R131:W131"/>
    <mergeCell ref="D132:K132"/>
    <mergeCell ref="L132:N132"/>
    <mergeCell ref="O132:Q132"/>
    <mergeCell ref="R132:W13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992"/>
  <sheetViews>
    <sheetView topLeftCell="A768" zoomScale="91" zoomScaleNormal="91" workbookViewId="0">
      <selection activeCell="A2" sqref="A2:AA795"/>
    </sheetView>
  </sheetViews>
  <sheetFormatPr defaultColWidth="8.7109375" defaultRowHeight="15"/>
  <cols>
    <col min="1" max="1" width="12" customWidth="1"/>
    <col min="2" max="2" width="19.42578125" style="115" customWidth="1"/>
    <col min="3" max="3" width="20.85546875" style="115" customWidth="1"/>
    <col min="4" max="4" width="30" customWidth="1"/>
    <col min="5" max="6" width="25" customWidth="1"/>
    <col min="7" max="7" width="13" customWidth="1"/>
    <col min="8" max="8" width="21" style="115" customWidth="1"/>
    <col min="9" max="9" width="31" customWidth="1"/>
    <col min="10" max="10" width="40" customWidth="1"/>
    <col min="11" max="11" width="20" customWidth="1"/>
    <col min="12" max="12" width="37" customWidth="1"/>
    <col min="13" max="13" width="25" customWidth="1"/>
    <col min="14" max="14" width="45" customWidth="1"/>
    <col min="15" max="15" width="31" customWidth="1"/>
    <col min="16" max="16" width="12" customWidth="1"/>
    <col min="17" max="17" width="27" customWidth="1"/>
    <col min="18" max="18" width="17" customWidth="1"/>
    <col min="19" max="19" width="19" customWidth="1"/>
    <col min="20" max="21" width="45" customWidth="1"/>
    <col min="22" max="22" width="12" customWidth="1"/>
    <col min="23" max="23" width="13" customWidth="1"/>
    <col min="24" max="24" width="30" customWidth="1"/>
    <col min="25" max="25" width="13" customWidth="1"/>
    <col min="26" max="26" width="17" customWidth="1"/>
    <col min="27" max="27" width="117.140625" customWidth="1"/>
  </cols>
  <sheetData>
    <row r="1" spans="1:27" ht="30" customHeight="1">
      <c r="A1" s="116" t="s">
        <v>0</v>
      </c>
      <c r="B1" s="117" t="s">
        <v>1</v>
      </c>
      <c r="C1" s="117" t="s">
        <v>2</v>
      </c>
      <c r="D1" s="116" t="s">
        <v>3</v>
      </c>
      <c r="E1" s="116" t="s">
        <v>4</v>
      </c>
      <c r="F1" s="116" t="s">
        <v>5</v>
      </c>
      <c r="G1" s="116" t="s">
        <v>6</v>
      </c>
      <c r="H1" s="117" t="s">
        <v>7</v>
      </c>
      <c r="I1" s="116" t="s">
        <v>14</v>
      </c>
      <c r="J1" s="116" t="s">
        <v>9</v>
      </c>
      <c r="K1" s="116" t="s">
        <v>1033</v>
      </c>
      <c r="L1" s="116" t="s">
        <v>1034</v>
      </c>
      <c r="M1" s="116" t="s">
        <v>1035</v>
      </c>
      <c r="N1" s="116" t="s">
        <v>1036</v>
      </c>
      <c r="O1" s="116" t="s">
        <v>8</v>
      </c>
      <c r="P1" s="116" t="s">
        <v>12</v>
      </c>
      <c r="Q1" s="116" t="s">
        <v>13</v>
      </c>
      <c r="R1" s="116" t="s">
        <v>20</v>
      </c>
      <c r="S1" s="116" t="s">
        <v>95</v>
      </c>
      <c r="T1" s="116" t="s">
        <v>96</v>
      </c>
      <c r="U1" s="116" t="s">
        <v>97</v>
      </c>
      <c r="V1" s="116" t="s">
        <v>98</v>
      </c>
      <c r="W1" s="116" t="s">
        <v>99</v>
      </c>
      <c r="X1" s="116" t="s">
        <v>995</v>
      </c>
      <c r="Y1" s="116" t="s">
        <v>1037</v>
      </c>
      <c r="Z1" s="116" t="s">
        <v>1038</v>
      </c>
      <c r="AA1" s="116" t="s">
        <v>954</v>
      </c>
    </row>
    <row r="2" spans="1:27" ht="15" customHeight="1">
      <c r="A2">
        <v>38</v>
      </c>
      <c r="B2" s="139">
        <v>46168.682152777779</v>
      </c>
      <c r="C2" s="139">
        <v>46168.697002314817</v>
      </c>
      <c r="D2" t="s">
        <v>337</v>
      </c>
      <c r="E2" t="s">
        <v>338</v>
      </c>
      <c r="F2" t="s">
        <v>339</v>
      </c>
      <c r="G2" t="s">
        <v>340</v>
      </c>
      <c r="H2" s="139">
        <v>46127</v>
      </c>
      <c r="I2" t="s">
        <v>136</v>
      </c>
      <c r="J2" t="s">
        <v>187</v>
      </c>
      <c r="K2" t="s">
        <v>341</v>
      </c>
      <c r="N2" t="s">
        <v>342</v>
      </c>
      <c r="O2" t="s">
        <v>122</v>
      </c>
      <c r="P2" t="s">
        <v>108</v>
      </c>
      <c r="Q2" t="s">
        <v>123</v>
      </c>
      <c r="R2" t="s">
        <v>22</v>
      </c>
      <c r="S2" t="s">
        <v>143</v>
      </c>
      <c r="T2" t="s">
        <v>181</v>
      </c>
      <c r="U2" t="s">
        <v>344</v>
      </c>
      <c r="V2" t="s">
        <v>151</v>
      </c>
      <c r="W2" t="s">
        <v>169</v>
      </c>
      <c r="X2" t="s">
        <v>329</v>
      </c>
      <c r="Y2" t="s">
        <v>1039</v>
      </c>
      <c r="Z2">
        <v>1</v>
      </c>
      <c r="AA2" t="s">
        <v>343</v>
      </c>
    </row>
    <row r="3" spans="1:27" ht="15" customHeight="1">
      <c r="A3">
        <v>49</v>
      </c>
      <c r="B3" s="139">
        <v>46168.697048611109</v>
      </c>
      <c r="C3" s="139">
        <v>46168.731782407413</v>
      </c>
      <c r="D3" t="s">
        <v>337</v>
      </c>
      <c r="E3" t="s">
        <v>338</v>
      </c>
      <c r="F3" t="s">
        <v>339</v>
      </c>
      <c r="G3" t="s">
        <v>340</v>
      </c>
      <c r="H3" s="139">
        <v>46140</v>
      </c>
      <c r="I3" t="s">
        <v>136</v>
      </c>
      <c r="J3" t="s">
        <v>161</v>
      </c>
      <c r="M3" t="s">
        <v>260</v>
      </c>
      <c r="N3" t="s">
        <v>398</v>
      </c>
      <c r="O3" t="s">
        <v>107</v>
      </c>
      <c r="P3" t="s">
        <v>108</v>
      </c>
      <c r="Q3" t="s">
        <v>109</v>
      </c>
      <c r="R3" t="s">
        <v>22</v>
      </c>
      <c r="S3" t="s">
        <v>143</v>
      </c>
      <c r="T3" t="s">
        <v>181</v>
      </c>
      <c r="U3" t="s">
        <v>400</v>
      </c>
      <c r="V3" t="s">
        <v>151</v>
      </c>
      <c r="W3" t="s">
        <v>130</v>
      </c>
      <c r="X3" t="s">
        <v>329</v>
      </c>
      <c r="Y3" t="s">
        <v>1039</v>
      </c>
      <c r="Z3">
        <v>1</v>
      </c>
      <c r="AA3" t="s">
        <v>399</v>
      </c>
    </row>
    <row r="4" spans="1:27" ht="15" customHeight="1">
      <c r="A4">
        <v>42</v>
      </c>
      <c r="B4" s="139">
        <v>46168.707986111112</v>
      </c>
      <c r="C4" s="139">
        <v>46168.714363425926</v>
      </c>
      <c r="D4" t="s">
        <v>351</v>
      </c>
      <c r="E4" t="s">
        <v>352</v>
      </c>
      <c r="F4" t="s">
        <v>353</v>
      </c>
      <c r="G4" t="s">
        <v>354</v>
      </c>
      <c r="H4" s="139">
        <v>46146</v>
      </c>
      <c r="I4" t="s">
        <v>136</v>
      </c>
      <c r="J4" t="s">
        <v>161</v>
      </c>
      <c r="M4" t="s">
        <v>366</v>
      </c>
      <c r="N4" t="s">
        <v>367</v>
      </c>
      <c r="O4" t="s">
        <v>107</v>
      </c>
      <c r="P4" t="s">
        <v>108</v>
      </c>
      <c r="Q4" t="s">
        <v>109</v>
      </c>
      <c r="R4" t="s">
        <v>22</v>
      </c>
      <c r="S4" t="s">
        <v>149</v>
      </c>
      <c r="T4" t="s">
        <v>181</v>
      </c>
      <c r="U4" t="s">
        <v>370</v>
      </c>
      <c r="V4" t="s">
        <v>151</v>
      </c>
      <c r="W4" t="s">
        <v>130</v>
      </c>
      <c r="X4" t="s">
        <v>139</v>
      </c>
      <c r="Y4" t="s">
        <v>1040</v>
      </c>
      <c r="Z4">
        <v>1</v>
      </c>
      <c r="AA4" t="s">
        <v>1041</v>
      </c>
    </row>
    <row r="5" spans="1:27" ht="15" customHeight="1">
      <c r="A5">
        <v>42</v>
      </c>
      <c r="B5" s="139">
        <v>46168.707986111112</v>
      </c>
      <c r="C5" s="139">
        <v>46168.714363425926</v>
      </c>
      <c r="D5" t="s">
        <v>351</v>
      </c>
      <c r="E5" t="s">
        <v>352</v>
      </c>
      <c r="F5" t="s">
        <v>353</v>
      </c>
      <c r="G5" t="s">
        <v>354</v>
      </c>
      <c r="H5" s="139">
        <v>46146</v>
      </c>
      <c r="I5" t="s">
        <v>136</v>
      </c>
      <c r="J5" t="s">
        <v>161</v>
      </c>
      <c r="M5" t="s">
        <v>366</v>
      </c>
      <c r="N5" t="s">
        <v>367</v>
      </c>
      <c r="O5" t="s">
        <v>107</v>
      </c>
      <c r="P5" t="s">
        <v>108</v>
      </c>
      <c r="Q5" t="s">
        <v>109</v>
      </c>
      <c r="R5" t="s">
        <v>22</v>
      </c>
      <c r="S5" t="s">
        <v>149</v>
      </c>
      <c r="T5" t="s">
        <v>181</v>
      </c>
      <c r="U5" t="s">
        <v>370</v>
      </c>
      <c r="V5" t="s">
        <v>151</v>
      </c>
      <c r="W5" t="s">
        <v>130</v>
      </c>
      <c r="X5" t="s">
        <v>139</v>
      </c>
      <c r="Y5" t="s">
        <v>1042</v>
      </c>
      <c r="Z5">
        <v>1</v>
      </c>
      <c r="AA5" t="s">
        <v>1043</v>
      </c>
    </row>
    <row r="6" spans="1:27" ht="15" customHeight="1">
      <c r="A6">
        <v>42</v>
      </c>
      <c r="B6" s="139">
        <v>46168.707986111112</v>
      </c>
      <c r="C6" s="139">
        <v>46168.714363425926</v>
      </c>
      <c r="D6" t="s">
        <v>351</v>
      </c>
      <c r="E6" t="s">
        <v>352</v>
      </c>
      <c r="F6" t="s">
        <v>353</v>
      </c>
      <c r="G6" t="s">
        <v>354</v>
      </c>
      <c r="H6" s="139">
        <v>46146</v>
      </c>
      <c r="I6" t="s">
        <v>136</v>
      </c>
      <c r="J6" t="s">
        <v>161</v>
      </c>
      <c r="M6" t="s">
        <v>366</v>
      </c>
      <c r="N6" t="s">
        <v>367</v>
      </c>
      <c r="O6" t="s">
        <v>107</v>
      </c>
      <c r="P6" t="s">
        <v>108</v>
      </c>
      <c r="Q6" t="s">
        <v>109</v>
      </c>
      <c r="R6" t="s">
        <v>22</v>
      </c>
      <c r="S6" t="s">
        <v>149</v>
      </c>
      <c r="T6" t="s">
        <v>181</v>
      </c>
      <c r="U6" t="s">
        <v>370</v>
      </c>
      <c r="V6" t="s">
        <v>151</v>
      </c>
      <c r="W6" t="s">
        <v>130</v>
      </c>
      <c r="X6" t="s">
        <v>139</v>
      </c>
      <c r="Y6" t="s">
        <v>1044</v>
      </c>
      <c r="Z6">
        <v>1</v>
      </c>
      <c r="AA6" t="s">
        <v>1045</v>
      </c>
    </row>
    <row r="7" spans="1:27" ht="15" customHeight="1">
      <c r="A7">
        <v>61</v>
      </c>
      <c r="B7" s="139">
        <v>46175.552939814806</v>
      </c>
      <c r="C7" s="139">
        <v>46175.596643518518</v>
      </c>
      <c r="D7" t="s">
        <v>468</v>
      </c>
      <c r="E7" t="s">
        <v>469</v>
      </c>
      <c r="F7" t="s">
        <v>470</v>
      </c>
      <c r="G7" t="s">
        <v>471</v>
      </c>
      <c r="H7" s="139">
        <v>46146</v>
      </c>
      <c r="I7" t="s">
        <v>472</v>
      </c>
      <c r="J7" t="s">
        <v>161</v>
      </c>
      <c r="M7" t="s">
        <v>473</v>
      </c>
      <c r="N7" t="s">
        <v>474</v>
      </c>
      <c r="O7" t="s">
        <v>107</v>
      </c>
      <c r="P7" t="s">
        <v>108</v>
      </c>
      <c r="Q7" t="s">
        <v>109</v>
      </c>
      <c r="R7" t="s">
        <v>22</v>
      </c>
      <c r="S7" t="s">
        <v>149</v>
      </c>
      <c r="T7" t="s">
        <v>478</v>
      </c>
      <c r="V7" t="s">
        <v>151</v>
      </c>
      <c r="W7" t="s">
        <v>169</v>
      </c>
      <c r="X7" t="s">
        <v>329</v>
      </c>
      <c r="Y7" t="s">
        <v>1040</v>
      </c>
      <c r="Z7">
        <v>1</v>
      </c>
      <c r="AA7" t="s">
        <v>1046</v>
      </c>
    </row>
    <row r="8" spans="1:27" ht="15" customHeight="1">
      <c r="A8">
        <v>61</v>
      </c>
      <c r="B8" s="139">
        <v>46175.552939814806</v>
      </c>
      <c r="C8" s="139">
        <v>46175.596643518518</v>
      </c>
      <c r="D8" t="s">
        <v>468</v>
      </c>
      <c r="E8" t="s">
        <v>469</v>
      </c>
      <c r="F8" t="s">
        <v>470</v>
      </c>
      <c r="G8" t="s">
        <v>471</v>
      </c>
      <c r="H8" s="139">
        <v>46146</v>
      </c>
      <c r="I8" t="s">
        <v>472</v>
      </c>
      <c r="J8" t="s">
        <v>161</v>
      </c>
      <c r="M8" t="s">
        <v>473</v>
      </c>
      <c r="N8" t="s">
        <v>474</v>
      </c>
      <c r="O8" t="s">
        <v>107</v>
      </c>
      <c r="P8" t="s">
        <v>108</v>
      </c>
      <c r="Q8" t="s">
        <v>109</v>
      </c>
      <c r="R8" t="s">
        <v>22</v>
      </c>
      <c r="S8" t="s">
        <v>149</v>
      </c>
      <c r="T8" t="s">
        <v>478</v>
      </c>
      <c r="V8" t="s">
        <v>151</v>
      </c>
      <c r="W8" t="s">
        <v>169</v>
      </c>
      <c r="X8" t="s">
        <v>329</v>
      </c>
      <c r="Y8" t="s">
        <v>1042</v>
      </c>
      <c r="Z8">
        <v>1</v>
      </c>
      <c r="AA8" t="s">
        <v>1047</v>
      </c>
    </row>
    <row r="9" spans="1:27" ht="15" customHeight="1">
      <c r="A9">
        <v>61</v>
      </c>
      <c r="B9" s="139">
        <v>46175.552939814806</v>
      </c>
      <c r="C9" s="139">
        <v>46175.596643518518</v>
      </c>
      <c r="D9" t="s">
        <v>468</v>
      </c>
      <c r="E9" t="s">
        <v>469</v>
      </c>
      <c r="F9" t="s">
        <v>470</v>
      </c>
      <c r="G9" t="s">
        <v>471</v>
      </c>
      <c r="H9" s="139">
        <v>46146</v>
      </c>
      <c r="I9" t="s">
        <v>472</v>
      </c>
      <c r="J9" t="s">
        <v>161</v>
      </c>
      <c r="M9" t="s">
        <v>473</v>
      </c>
      <c r="N9" t="s">
        <v>474</v>
      </c>
      <c r="O9" t="s">
        <v>107</v>
      </c>
      <c r="P9" t="s">
        <v>108</v>
      </c>
      <c r="Q9" t="s">
        <v>109</v>
      </c>
      <c r="R9" t="s">
        <v>22</v>
      </c>
      <c r="S9" t="s">
        <v>149</v>
      </c>
      <c r="T9" t="s">
        <v>478</v>
      </c>
      <c r="V9" t="s">
        <v>151</v>
      </c>
      <c r="W9" t="s">
        <v>169</v>
      </c>
      <c r="X9" t="s">
        <v>329</v>
      </c>
      <c r="Y9" t="s">
        <v>1042</v>
      </c>
      <c r="Z9">
        <v>2</v>
      </c>
      <c r="AA9" t="s">
        <v>1048</v>
      </c>
    </row>
    <row r="10" spans="1:27" ht="14.25" customHeight="1">
      <c r="A10">
        <v>61</v>
      </c>
      <c r="B10" s="139">
        <v>46175.552939814806</v>
      </c>
      <c r="C10" s="139">
        <v>46175.596643518518</v>
      </c>
      <c r="D10" t="s">
        <v>468</v>
      </c>
      <c r="E10" t="s">
        <v>469</v>
      </c>
      <c r="F10" t="s">
        <v>470</v>
      </c>
      <c r="G10" t="s">
        <v>471</v>
      </c>
      <c r="H10" s="139">
        <v>46146</v>
      </c>
      <c r="I10" t="s">
        <v>472</v>
      </c>
      <c r="J10" t="s">
        <v>161</v>
      </c>
      <c r="M10" t="s">
        <v>473</v>
      </c>
      <c r="N10" t="s">
        <v>474</v>
      </c>
      <c r="O10" t="s">
        <v>107</v>
      </c>
      <c r="P10" t="s">
        <v>108</v>
      </c>
      <c r="Q10" t="s">
        <v>109</v>
      </c>
      <c r="R10" t="s">
        <v>22</v>
      </c>
      <c r="S10" t="s">
        <v>149</v>
      </c>
      <c r="T10" t="s">
        <v>478</v>
      </c>
      <c r="V10" t="s">
        <v>151</v>
      </c>
      <c r="W10" t="s">
        <v>169</v>
      </c>
      <c r="X10" t="s">
        <v>329</v>
      </c>
      <c r="Y10" t="s">
        <v>1042</v>
      </c>
      <c r="Z10">
        <v>3</v>
      </c>
      <c r="AA10" t="s">
        <v>1049</v>
      </c>
    </row>
    <row r="11" spans="1:27" ht="15" customHeight="1">
      <c r="A11">
        <v>61</v>
      </c>
      <c r="B11" s="139">
        <v>46175.552939814806</v>
      </c>
      <c r="C11" s="139">
        <v>46175.596643518518</v>
      </c>
      <c r="D11" t="s">
        <v>468</v>
      </c>
      <c r="E11" t="s">
        <v>469</v>
      </c>
      <c r="F11" t="s">
        <v>470</v>
      </c>
      <c r="G11" t="s">
        <v>471</v>
      </c>
      <c r="H11" s="139">
        <v>46146</v>
      </c>
      <c r="I11" t="s">
        <v>472</v>
      </c>
      <c r="J11" t="s">
        <v>161</v>
      </c>
      <c r="M11" t="s">
        <v>473</v>
      </c>
      <c r="N11" t="s">
        <v>474</v>
      </c>
      <c r="O11" t="s">
        <v>107</v>
      </c>
      <c r="P11" t="s">
        <v>108</v>
      </c>
      <c r="Q11" t="s">
        <v>109</v>
      </c>
      <c r="R11" t="s">
        <v>22</v>
      </c>
      <c r="S11" t="s">
        <v>149</v>
      </c>
      <c r="T11" t="s">
        <v>478</v>
      </c>
      <c r="V11" t="s">
        <v>151</v>
      </c>
      <c r="W11" t="s">
        <v>169</v>
      </c>
      <c r="X11" t="s">
        <v>329</v>
      </c>
      <c r="Y11" t="s">
        <v>1044</v>
      </c>
      <c r="Z11">
        <v>1</v>
      </c>
      <c r="AA11" t="s">
        <v>1050</v>
      </c>
    </row>
    <row r="12" spans="1:27" ht="15" customHeight="1">
      <c r="A12">
        <v>61</v>
      </c>
      <c r="B12" s="139">
        <v>46175.552939814806</v>
      </c>
      <c r="C12" s="139">
        <v>46175.596643518518</v>
      </c>
      <c r="D12" t="s">
        <v>468</v>
      </c>
      <c r="E12" t="s">
        <v>469</v>
      </c>
      <c r="F12" t="s">
        <v>470</v>
      </c>
      <c r="G12" t="s">
        <v>471</v>
      </c>
      <c r="H12" s="139">
        <v>46146</v>
      </c>
      <c r="I12" t="s">
        <v>472</v>
      </c>
      <c r="J12" t="s">
        <v>161</v>
      </c>
      <c r="M12" t="s">
        <v>473</v>
      </c>
      <c r="N12" t="s">
        <v>474</v>
      </c>
      <c r="O12" t="s">
        <v>107</v>
      </c>
      <c r="P12" t="s">
        <v>108</v>
      </c>
      <c r="Q12" t="s">
        <v>109</v>
      </c>
      <c r="R12" t="s">
        <v>22</v>
      </c>
      <c r="S12" t="s">
        <v>149</v>
      </c>
      <c r="T12" t="s">
        <v>478</v>
      </c>
      <c r="V12" t="s">
        <v>151</v>
      </c>
      <c r="W12" t="s">
        <v>169</v>
      </c>
      <c r="X12" t="s">
        <v>329</v>
      </c>
      <c r="Y12" t="s">
        <v>1044</v>
      </c>
      <c r="Z12">
        <v>2</v>
      </c>
      <c r="AA12" t="s">
        <v>1051</v>
      </c>
    </row>
    <row r="13" spans="1:27" ht="15" customHeight="1">
      <c r="A13">
        <v>62</v>
      </c>
      <c r="B13" s="139">
        <v>46175.605706018519</v>
      </c>
      <c r="C13" s="139">
        <v>46175.607592592591</v>
      </c>
      <c r="D13" t="s">
        <v>468</v>
      </c>
      <c r="E13" t="s">
        <v>469</v>
      </c>
      <c r="F13" t="s">
        <v>469</v>
      </c>
      <c r="G13" t="s">
        <v>471</v>
      </c>
      <c r="H13" s="139">
        <v>46146</v>
      </c>
      <c r="I13" t="s">
        <v>472</v>
      </c>
      <c r="J13" t="s">
        <v>161</v>
      </c>
      <c r="M13" t="s">
        <v>480</v>
      </c>
      <c r="N13" t="s">
        <v>481</v>
      </c>
      <c r="O13" t="s">
        <v>479</v>
      </c>
      <c r="P13" t="s">
        <v>108</v>
      </c>
      <c r="Q13" t="s">
        <v>109</v>
      </c>
      <c r="R13" t="s">
        <v>25</v>
      </c>
      <c r="S13" t="s">
        <v>149</v>
      </c>
      <c r="T13" t="s">
        <v>478</v>
      </c>
      <c r="U13" t="s">
        <v>485</v>
      </c>
      <c r="V13" t="s">
        <v>129</v>
      </c>
      <c r="W13" t="s">
        <v>169</v>
      </c>
      <c r="X13" t="s">
        <v>256</v>
      </c>
      <c r="Y13" t="s">
        <v>1040</v>
      </c>
      <c r="Z13">
        <v>1</v>
      </c>
      <c r="AA13" t="s">
        <v>1052</v>
      </c>
    </row>
    <row r="14" spans="1:27" ht="15" customHeight="1">
      <c r="A14">
        <v>62</v>
      </c>
      <c r="B14" s="139">
        <v>46175.605706018519</v>
      </c>
      <c r="C14" s="139">
        <v>46175.607592592591</v>
      </c>
      <c r="D14" t="s">
        <v>468</v>
      </c>
      <c r="E14" t="s">
        <v>469</v>
      </c>
      <c r="F14" t="s">
        <v>469</v>
      </c>
      <c r="G14" t="s">
        <v>471</v>
      </c>
      <c r="H14" s="139">
        <v>46146</v>
      </c>
      <c r="I14" t="s">
        <v>472</v>
      </c>
      <c r="J14" t="s">
        <v>161</v>
      </c>
      <c r="M14" t="s">
        <v>480</v>
      </c>
      <c r="N14" t="s">
        <v>481</v>
      </c>
      <c r="O14" t="s">
        <v>479</v>
      </c>
      <c r="P14" t="s">
        <v>108</v>
      </c>
      <c r="Q14" t="s">
        <v>109</v>
      </c>
      <c r="R14" t="s">
        <v>25</v>
      </c>
      <c r="S14" t="s">
        <v>149</v>
      </c>
      <c r="T14" t="s">
        <v>478</v>
      </c>
      <c r="U14" t="s">
        <v>485</v>
      </c>
      <c r="V14" t="s">
        <v>129</v>
      </c>
      <c r="W14" t="s">
        <v>169</v>
      </c>
      <c r="X14" t="s">
        <v>256</v>
      </c>
      <c r="Y14" t="s">
        <v>1042</v>
      </c>
      <c r="Z14">
        <v>1</v>
      </c>
      <c r="AA14" t="s">
        <v>1053</v>
      </c>
    </row>
    <row r="15" spans="1:27" ht="15" customHeight="1">
      <c r="A15">
        <v>62</v>
      </c>
      <c r="B15" s="139">
        <v>46175.605706018519</v>
      </c>
      <c r="C15" s="139">
        <v>46175.607592592591</v>
      </c>
      <c r="D15" t="s">
        <v>468</v>
      </c>
      <c r="E15" t="s">
        <v>469</v>
      </c>
      <c r="F15" t="s">
        <v>469</v>
      </c>
      <c r="G15" t="s">
        <v>471</v>
      </c>
      <c r="H15" s="139">
        <v>46146</v>
      </c>
      <c r="I15" t="s">
        <v>472</v>
      </c>
      <c r="J15" t="s">
        <v>161</v>
      </c>
      <c r="M15" t="s">
        <v>480</v>
      </c>
      <c r="N15" t="s">
        <v>481</v>
      </c>
      <c r="O15" t="s">
        <v>479</v>
      </c>
      <c r="P15" t="s">
        <v>108</v>
      </c>
      <c r="Q15" t="s">
        <v>109</v>
      </c>
      <c r="R15" t="s">
        <v>25</v>
      </c>
      <c r="S15" t="s">
        <v>149</v>
      </c>
      <c r="T15" t="s">
        <v>478</v>
      </c>
      <c r="U15" t="s">
        <v>485</v>
      </c>
      <c r="V15" t="s">
        <v>129</v>
      </c>
      <c r="W15" t="s">
        <v>169</v>
      </c>
      <c r="X15" t="s">
        <v>256</v>
      </c>
      <c r="Y15" t="s">
        <v>1042</v>
      </c>
      <c r="Z15">
        <v>2</v>
      </c>
      <c r="AA15" t="s">
        <v>1054</v>
      </c>
    </row>
    <row r="16" spans="1:27" ht="15" customHeight="1">
      <c r="A16">
        <v>62</v>
      </c>
      <c r="B16" s="139">
        <v>46175.605706018519</v>
      </c>
      <c r="C16" s="139">
        <v>46175.607592592591</v>
      </c>
      <c r="D16" t="s">
        <v>468</v>
      </c>
      <c r="E16" t="s">
        <v>469</v>
      </c>
      <c r="F16" t="s">
        <v>469</v>
      </c>
      <c r="G16" t="s">
        <v>471</v>
      </c>
      <c r="H16" s="139">
        <v>46146</v>
      </c>
      <c r="I16" t="s">
        <v>472</v>
      </c>
      <c r="J16" t="s">
        <v>161</v>
      </c>
      <c r="M16" t="s">
        <v>480</v>
      </c>
      <c r="N16" t="s">
        <v>481</v>
      </c>
      <c r="O16" t="s">
        <v>479</v>
      </c>
      <c r="P16" t="s">
        <v>108</v>
      </c>
      <c r="Q16" t="s">
        <v>109</v>
      </c>
      <c r="R16" t="s">
        <v>25</v>
      </c>
      <c r="S16" t="s">
        <v>149</v>
      </c>
      <c r="T16" t="s">
        <v>478</v>
      </c>
      <c r="U16" t="s">
        <v>485</v>
      </c>
      <c r="V16" t="s">
        <v>129</v>
      </c>
      <c r="W16" t="s">
        <v>169</v>
      </c>
      <c r="X16" t="s">
        <v>256</v>
      </c>
      <c r="Y16" t="s">
        <v>1042</v>
      </c>
      <c r="Z16">
        <v>3</v>
      </c>
      <c r="AA16" t="s">
        <v>1055</v>
      </c>
    </row>
    <row r="17" spans="1:27" ht="15" customHeight="1">
      <c r="A17">
        <v>62</v>
      </c>
      <c r="B17" s="139">
        <v>46175.605706018519</v>
      </c>
      <c r="C17" s="139">
        <v>46175.607592592591</v>
      </c>
      <c r="D17" t="s">
        <v>468</v>
      </c>
      <c r="E17" t="s">
        <v>469</v>
      </c>
      <c r="F17" t="s">
        <v>469</v>
      </c>
      <c r="G17" t="s">
        <v>471</v>
      </c>
      <c r="H17" s="139">
        <v>46146</v>
      </c>
      <c r="I17" t="s">
        <v>472</v>
      </c>
      <c r="J17" t="s">
        <v>161</v>
      </c>
      <c r="M17" t="s">
        <v>480</v>
      </c>
      <c r="N17" t="s">
        <v>481</v>
      </c>
      <c r="O17" t="s">
        <v>479</v>
      </c>
      <c r="P17" t="s">
        <v>108</v>
      </c>
      <c r="Q17" t="s">
        <v>109</v>
      </c>
      <c r="R17" t="s">
        <v>25</v>
      </c>
      <c r="S17" t="s">
        <v>149</v>
      </c>
      <c r="T17" t="s">
        <v>478</v>
      </c>
      <c r="U17" t="s">
        <v>485</v>
      </c>
      <c r="V17" t="s">
        <v>129</v>
      </c>
      <c r="W17" t="s">
        <v>169</v>
      </c>
      <c r="X17" t="s">
        <v>256</v>
      </c>
      <c r="Y17" t="s">
        <v>1044</v>
      </c>
      <c r="Z17">
        <v>1</v>
      </c>
      <c r="AA17" t="s">
        <v>1056</v>
      </c>
    </row>
    <row r="18" spans="1:27" ht="15" customHeight="1">
      <c r="A18">
        <v>62</v>
      </c>
      <c r="B18" s="139">
        <v>46175.605706018519</v>
      </c>
      <c r="C18" s="139">
        <v>46175.607592592591</v>
      </c>
      <c r="D18" t="s">
        <v>468</v>
      </c>
      <c r="E18" t="s">
        <v>469</v>
      </c>
      <c r="F18" t="s">
        <v>469</v>
      </c>
      <c r="G18" t="s">
        <v>471</v>
      </c>
      <c r="H18" s="139">
        <v>46146</v>
      </c>
      <c r="I18" t="s">
        <v>472</v>
      </c>
      <c r="J18" t="s">
        <v>161</v>
      </c>
      <c r="M18" t="s">
        <v>480</v>
      </c>
      <c r="N18" t="s">
        <v>481</v>
      </c>
      <c r="O18" t="s">
        <v>479</v>
      </c>
      <c r="P18" t="s">
        <v>108</v>
      </c>
      <c r="Q18" t="s">
        <v>109</v>
      </c>
      <c r="R18" t="s">
        <v>25</v>
      </c>
      <c r="S18" t="s">
        <v>149</v>
      </c>
      <c r="T18" t="s">
        <v>478</v>
      </c>
      <c r="U18" t="s">
        <v>485</v>
      </c>
      <c r="V18" t="s">
        <v>129</v>
      </c>
      <c r="W18" t="s">
        <v>169</v>
      </c>
      <c r="X18" t="s">
        <v>256</v>
      </c>
      <c r="Y18" t="s">
        <v>1044</v>
      </c>
      <c r="Z18">
        <v>2</v>
      </c>
      <c r="AA18" t="s">
        <v>1057</v>
      </c>
    </row>
    <row r="19" spans="1:27" ht="15" customHeight="1">
      <c r="A19">
        <v>63</v>
      </c>
      <c r="B19" s="139">
        <v>46175.607708333337</v>
      </c>
      <c r="C19" s="139">
        <v>46175.626226851848</v>
      </c>
      <c r="D19" t="s">
        <v>468</v>
      </c>
      <c r="E19" t="s">
        <v>469</v>
      </c>
      <c r="F19" t="s">
        <v>470</v>
      </c>
      <c r="G19" t="s">
        <v>471</v>
      </c>
      <c r="H19" s="139">
        <v>46146</v>
      </c>
      <c r="I19" t="s">
        <v>472</v>
      </c>
      <c r="J19" t="s">
        <v>161</v>
      </c>
      <c r="M19" t="s">
        <v>486</v>
      </c>
      <c r="N19" t="s">
        <v>487</v>
      </c>
      <c r="O19" t="s">
        <v>135</v>
      </c>
      <c r="P19" t="s">
        <v>108</v>
      </c>
      <c r="Q19" t="s">
        <v>109</v>
      </c>
      <c r="R19" t="s">
        <v>22</v>
      </c>
      <c r="S19" t="s">
        <v>149</v>
      </c>
      <c r="T19" t="s">
        <v>144</v>
      </c>
      <c r="V19" t="s">
        <v>151</v>
      </c>
      <c r="W19" t="s">
        <v>117</v>
      </c>
      <c r="X19" t="s">
        <v>124</v>
      </c>
      <c r="Y19" t="s">
        <v>1040</v>
      </c>
      <c r="Z19">
        <v>1</v>
      </c>
      <c r="AA19" t="s">
        <v>1058</v>
      </c>
    </row>
    <row r="20" spans="1:27" ht="15" customHeight="1">
      <c r="A20">
        <v>63</v>
      </c>
      <c r="B20" s="139">
        <v>46175.607708333337</v>
      </c>
      <c r="C20" s="139">
        <v>46175.626226851848</v>
      </c>
      <c r="D20" t="s">
        <v>468</v>
      </c>
      <c r="E20" t="s">
        <v>469</v>
      </c>
      <c r="F20" t="s">
        <v>470</v>
      </c>
      <c r="G20" t="s">
        <v>471</v>
      </c>
      <c r="H20" s="139">
        <v>46146</v>
      </c>
      <c r="I20" t="s">
        <v>472</v>
      </c>
      <c r="J20" t="s">
        <v>161</v>
      </c>
      <c r="M20" t="s">
        <v>486</v>
      </c>
      <c r="N20" t="s">
        <v>487</v>
      </c>
      <c r="O20" t="s">
        <v>135</v>
      </c>
      <c r="P20" t="s">
        <v>108</v>
      </c>
      <c r="Q20" t="s">
        <v>109</v>
      </c>
      <c r="R20" t="s">
        <v>22</v>
      </c>
      <c r="S20" t="s">
        <v>149</v>
      </c>
      <c r="T20" t="s">
        <v>144</v>
      </c>
      <c r="V20" t="s">
        <v>151</v>
      </c>
      <c r="W20" t="s">
        <v>117</v>
      </c>
      <c r="X20" t="s">
        <v>124</v>
      </c>
      <c r="Y20" t="s">
        <v>1042</v>
      </c>
      <c r="Z20">
        <v>1</v>
      </c>
      <c r="AA20" t="s">
        <v>1059</v>
      </c>
    </row>
    <row r="21" spans="1:27" ht="15" customHeight="1">
      <c r="A21">
        <v>63</v>
      </c>
      <c r="B21" s="139">
        <v>46175.607708333337</v>
      </c>
      <c r="C21" s="139">
        <v>46175.626226851848</v>
      </c>
      <c r="D21" t="s">
        <v>468</v>
      </c>
      <c r="E21" t="s">
        <v>469</v>
      </c>
      <c r="F21" t="s">
        <v>470</v>
      </c>
      <c r="G21" t="s">
        <v>471</v>
      </c>
      <c r="H21" s="139">
        <v>46146</v>
      </c>
      <c r="I21" t="s">
        <v>472</v>
      </c>
      <c r="J21" t="s">
        <v>161</v>
      </c>
      <c r="M21" t="s">
        <v>486</v>
      </c>
      <c r="N21" t="s">
        <v>487</v>
      </c>
      <c r="O21" t="s">
        <v>135</v>
      </c>
      <c r="P21" t="s">
        <v>108</v>
      </c>
      <c r="Q21" t="s">
        <v>109</v>
      </c>
      <c r="R21" t="s">
        <v>22</v>
      </c>
      <c r="S21" t="s">
        <v>149</v>
      </c>
      <c r="T21" t="s">
        <v>144</v>
      </c>
      <c r="V21" t="s">
        <v>151</v>
      </c>
      <c r="W21" t="s">
        <v>117</v>
      </c>
      <c r="X21" t="s">
        <v>124</v>
      </c>
      <c r="Y21" t="s">
        <v>1042</v>
      </c>
      <c r="Z21">
        <v>2</v>
      </c>
      <c r="AA21" t="s">
        <v>1060</v>
      </c>
    </row>
    <row r="22" spans="1:27" ht="15" customHeight="1">
      <c r="A22">
        <v>63</v>
      </c>
      <c r="B22" s="139">
        <v>46175.607708333337</v>
      </c>
      <c r="C22" s="139">
        <v>46175.626226851848</v>
      </c>
      <c r="D22" t="s">
        <v>468</v>
      </c>
      <c r="E22" t="s">
        <v>469</v>
      </c>
      <c r="F22" t="s">
        <v>470</v>
      </c>
      <c r="G22" t="s">
        <v>471</v>
      </c>
      <c r="H22" s="139">
        <v>46146</v>
      </c>
      <c r="I22" t="s">
        <v>472</v>
      </c>
      <c r="J22" t="s">
        <v>161</v>
      </c>
      <c r="M22" t="s">
        <v>486</v>
      </c>
      <c r="N22" t="s">
        <v>487</v>
      </c>
      <c r="O22" t="s">
        <v>135</v>
      </c>
      <c r="P22" t="s">
        <v>108</v>
      </c>
      <c r="Q22" t="s">
        <v>109</v>
      </c>
      <c r="R22" t="s">
        <v>22</v>
      </c>
      <c r="S22" t="s">
        <v>149</v>
      </c>
      <c r="T22" t="s">
        <v>144</v>
      </c>
      <c r="V22" t="s">
        <v>151</v>
      </c>
      <c r="W22" t="s">
        <v>117</v>
      </c>
      <c r="X22" t="s">
        <v>124</v>
      </c>
      <c r="Y22" t="s">
        <v>1044</v>
      </c>
      <c r="Z22">
        <v>1</v>
      </c>
      <c r="AA22" t="s">
        <v>1061</v>
      </c>
    </row>
    <row r="23" spans="1:27" ht="15" customHeight="1">
      <c r="A23">
        <v>63</v>
      </c>
      <c r="B23" s="139">
        <v>46175.607708333337</v>
      </c>
      <c r="C23" s="139">
        <v>46175.626226851848</v>
      </c>
      <c r="D23" t="s">
        <v>468</v>
      </c>
      <c r="E23" t="s">
        <v>469</v>
      </c>
      <c r="F23" t="s">
        <v>470</v>
      </c>
      <c r="G23" t="s">
        <v>471</v>
      </c>
      <c r="H23" s="139">
        <v>46146</v>
      </c>
      <c r="I23" t="s">
        <v>472</v>
      </c>
      <c r="J23" t="s">
        <v>161</v>
      </c>
      <c r="M23" t="s">
        <v>486</v>
      </c>
      <c r="N23" t="s">
        <v>487</v>
      </c>
      <c r="O23" t="s">
        <v>135</v>
      </c>
      <c r="P23" t="s">
        <v>108</v>
      </c>
      <c r="Q23" t="s">
        <v>109</v>
      </c>
      <c r="R23" t="s">
        <v>22</v>
      </c>
      <c r="S23" t="s">
        <v>149</v>
      </c>
      <c r="T23" t="s">
        <v>144</v>
      </c>
      <c r="V23" t="s">
        <v>151</v>
      </c>
      <c r="W23" t="s">
        <v>117</v>
      </c>
      <c r="X23" t="s">
        <v>124</v>
      </c>
      <c r="Y23" t="s">
        <v>1044</v>
      </c>
      <c r="Z23">
        <v>2</v>
      </c>
      <c r="AA23" t="s">
        <v>1062</v>
      </c>
    </row>
    <row r="24" spans="1:27" ht="31.5" customHeight="1">
      <c r="A24">
        <v>70</v>
      </c>
      <c r="B24" s="139">
        <v>46175.812881944446</v>
      </c>
      <c r="C24" s="139">
        <v>46175.817870370367</v>
      </c>
      <c r="D24" t="s">
        <v>529</v>
      </c>
      <c r="E24" t="s">
        <v>530</v>
      </c>
      <c r="F24" t="s">
        <v>530</v>
      </c>
      <c r="G24" t="s">
        <v>531</v>
      </c>
      <c r="H24" s="139">
        <v>46146</v>
      </c>
      <c r="I24" t="s">
        <v>427</v>
      </c>
      <c r="J24" t="s">
        <v>174</v>
      </c>
      <c r="L24" t="s">
        <v>532</v>
      </c>
      <c r="N24" t="s">
        <v>533</v>
      </c>
      <c r="O24" t="s">
        <v>190</v>
      </c>
      <c r="P24" t="s">
        <v>196</v>
      </c>
      <c r="Q24" t="s">
        <v>109</v>
      </c>
      <c r="R24" t="s">
        <v>24</v>
      </c>
      <c r="S24" t="s">
        <v>149</v>
      </c>
      <c r="T24" t="s">
        <v>181</v>
      </c>
      <c r="V24" t="s">
        <v>116</v>
      </c>
      <c r="W24" t="s">
        <v>130</v>
      </c>
      <c r="X24" t="s">
        <v>190</v>
      </c>
      <c r="Y24" t="s">
        <v>1040</v>
      </c>
      <c r="Z24">
        <v>1</v>
      </c>
      <c r="AA24" t="s">
        <v>186</v>
      </c>
    </row>
    <row r="25" spans="1:27" ht="15" customHeight="1">
      <c r="A25">
        <v>70</v>
      </c>
      <c r="B25" s="139">
        <v>46175.812881944446</v>
      </c>
      <c r="C25" s="139">
        <v>46175.817870370367</v>
      </c>
      <c r="D25" t="s">
        <v>529</v>
      </c>
      <c r="E25" t="s">
        <v>530</v>
      </c>
      <c r="F25" t="s">
        <v>530</v>
      </c>
      <c r="G25" t="s">
        <v>531</v>
      </c>
      <c r="H25" s="139">
        <v>46146</v>
      </c>
      <c r="I25" t="s">
        <v>427</v>
      </c>
      <c r="J25" t="s">
        <v>174</v>
      </c>
      <c r="L25" t="s">
        <v>532</v>
      </c>
      <c r="N25" t="s">
        <v>533</v>
      </c>
      <c r="O25" t="s">
        <v>190</v>
      </c>
      <c r="P25" t="s">
        <v>196</v>
      </c>
      <c r="Q25" t="s">
        <v>109</v>
      </c>
      <c r="R25" t="s">
        <v>24</v>
      </c>
      <c r="S25" t="s">
        <v>149</v>
      </c>
      <c r="T25" t="s">
        <v>181</v>
      </c>
      <c r="V25" t="s">
        <v>116</v>
      </c>
      <c r="W25" t="s">
        <v>130</v>
      </c>
      <c r="X25" t="s">
        <v>190</v>
      </c>
      <c r="Y25" t="s">
        <v>1042</v>
      </c>
      <c r="Z25">
        <v>1</v>
      </c>
      <c r="AA25" t="s">
        <v>1063</v>
      </c>
    </row>
    <row r="26" spans="1:27" ht="15" customHeight="1">
      <c r="A26">
        <v>70</v>
      </c>
      <c r="B26" s="139">
        <v>46175.812881944446</v>
      </c>
      <c r="C26" s="139">
        <v>46175.817870370367</v>
      </c>
      <c r="D26" t="s">
        <v>529</v>
      </c>
      <c r="E26" t="s">
        <v>530</v>
      </c>
      <c r="F26" t="s">
        <v>530</v>
      </c>
      <c r="G26" t="s">
        <v>531</v>
      </c>
      <c r="H26" s="139">
        <v>46146</v>
      </c>
      <c r="I26" t="s">
        <v>427</v>
      </c>
      <c r="J26" t="s">
        <v>174</v>
      </c>
      <c r="L26" t="s">
        <v>532</v>
      </c>
      <c r="N26" t="s">
        <v>533</v>
      </c>
      <c r="O26" t="s">
        <v>190</v>
      </c>
      <c r="P26" t="s">
        <v>196</v>
      </c>
      <c r="Q26" t="s">
        <v>109</v>
      </c>
      <c r="R26" t="s">
        <v>24</v>
      </c>
      <c r="S26" t="s">
        <v>149</v>
      </c>
      <c r="T26" t="s">
        <v>181</v>
      </c>
      <c r="V26" t="s">
        <v>116</v>
      </c>
      <c r="W26" t="s">
        <v>130</v>
      </c>
      <c r="X26" t="s">
        <v>190</v>
      </c>
      <c r="Y26" t="s">
        <v>1044</v>
      </c>
      <c r="Z26">
        <v>1</v>
      </c>
      <c r="AA26" t="s">
        <v>1064</v>
      </c>
    </row>
    <row r="27" spans="1:27" ht="15" customHeight="1">
      <c r="A27">
        <v>43</v>
      </c>
      <c r="B27" s="139">
        <v>46168.709444444437</v>
      </c>
      <c r="C27" s="139">
        <v>46168.715601851851</v>
      </c>
      <c r="D27" t="s">
        <v>345</v>
      </c>
      <c r="E27" t="s">
        <v>346</v>
      </c>
      <c r="F27" t="s">
        <v>347</v>
      </c>
      <c r="G27" t="s">
        <v>348</v>
      </c>
      <c r="H27" s="139">
        <v>46147</v>
      </c>
      <c r="I27" t="s">
        <v>136</v>
      </c>
      <c r="J27" t="s">
        <v>161</v>
      </c>
      <c r="M27" t="s">
        <v>371</v>
      </c>
      <c r="N27" t="s">
        <v>372</v>
      </c>
      <c r="O27" t="s">
        <v>107</v>
      </c>
      <c r="P27" t="s">
        <v>108</v>
      </c>
      <c r="Q27" t="s">
        <v>248</v>
      </c>
      <c r="R27" t="s">
        <v>22</v>
      </c>
      <c r="S27" t="s">
        <v>143</v>
      </c>
      <c r="T27" t="s">
        <v>150</v>
      </c>
      <c r="U27" t="s">
        <v>374</v>
      </c>
      <c r="V27" t="s">
        <v>116</v>
      </c>
      <c r="W27" t="s">
        <v>169</v>
      </c>
      <c r="X27" t="s">
        <v>329</v>
      </c>
      <c r="Y27" t="s">
        <v>1040</v>
      </c>
      <c r="Z27">
        <v>1</v>
      </c>
      <c r="AA27" t="s">
        <v>1065</v>
      </c>
    </row>
    <row r="28" spans="1:27" ht="15" customHeight="1">
      <c r="A28">
        <v>43</v>
      </c>
      <c r="B28" s="139">
        <v>46168.709444444437</v>
      </c>
      <c r="C28" s="139">
        <v>46168.715601851851</v>
      </c>
      <c r="D28" t="s">
        <v>345</v>
      </c>
      <c r="E28" t="s">
        <v>346</v>
      </c>
      <c r="F28" t="s">
        <v>347</v>
      </c>
      <c r="G28" t="s">
        <v>348</v>
      </c>
      <c r="H28" s="139">
        <v>46147</v>
      </c>
      <c r="I28" t="s">
        <v>136</v>
      </c>
      <c r="J28" t="s">
        <v>161</v>
      </c>
      <c r="M28" t="s">
        <v>371</v>
      </c>
      <c r="N28" t="s">
        <v>372</v>
      </c>
      <c r="O28" t="s">
        <v>107</v>
      </c>
      <c r="P28" t="s">
        <v>108</v>
      </c>
      <c r="Q28" t="s">
        <v>248</v>
      </c>
      <c r="R28" t="s">
        <v>22</v>
      </c>
      <c r="S28" t="s">
        <v>143</v>
      </c>
      <c r="T28" t="s">
        <v>150</v>
      </c>
      <c r="U28" t="s">
        <v>374</v>
      </c>
      <c r="V28" t="s">
        <v>116</v>
      </c>
      <c r="W28" t="s">
        <v>169</v>
      </c>
      <c r="X28" t="s">
        <v>329</v>
      </c>
      <c r="Y28" t="s">
        <v>1040</v>
      </c>
      <c r="Z28">
        <v>2</v>
      </c>
      <c r="AA28" t="s">
        <v>1066</v>
      </c>
    </row>
    <row r="29" spans="1:27" ht="15" customHeight="1">
      <c r="A29">
        <v>43</v>
      </c>
      <c r="B29" s="139">
        <v>46168.709444444437</v>
      </c>
      <c r="C29" s="139">
        <v>46168.715601851851</v>
      </c>
      <c r="D29" t="s">
        <v>345</v>
      </c>
      <c r="E29" t="s">
        <v>346</v>
      </c>
      <c r="F29" t="s">
        <v>347</v>
      </c>
      <c r="G29" t="s">
        <v>348</v>
      </c>
      <c r="H29" s="139">
        <v>46147</v>
      </c>
      <c r="I29" t="s">
        <v>136</v>
      </c>
      <c r="J29" t="s">
        <v>161</v>
      </c>
      <c r="M29" t="s">
        <v>371</v>
      </c>
      <c r="N29" t="s">
        <v>372</v>
      </c>
      <c r="O29" t="s">
        <v>107</v>
      </c>
      <c r="P29" t="s">
        <v>108</v>
      </c>
      <c r="Q29" t="s">
        <v>248</v>
      </c>
      <c r="R29" t="s">
        <v>22</v>
      </c>
      <c r="S29" t="s">
        <v>143</v>
      </c>
      <c r="T29" t="s">
        <v>150</v>
      </c>
      <c r="U29" t="s">
        <v>374</v>
      </c>
      <c r="V29" t="s">
        <v>116</v>
      </c>
      <c r="W29" t="s">
        <v>169</v>
      </c>
      <c r="X29" t="s">
        <v>329</v>
      </c>
      <c r="Y29" t="s">
        <v>1040</v>
      </c>
      <c r="Z29">
        <v>3</v>
      </c>
      <c r="AA29" t="s">
        <v>1067</v>
      </c>
    </row>
    <row r="30" spans="1:27" ht="15" customHeight="1">
      <c r="A30">
        <v>43</v>
      </c>
      <c r="B30" s="139">
        <v>46168.709444444437</v>
      </c>
      <c r="C30" s="139">
        <v>46168.715601851851</v>
      </c>
      <c r="D30" t="s">
        <v>345</v>
      </c>
      <c r="E30" t="s">
        <v>346</v>
      </c>
      <c r="F30" t="s">
        <v>347</v>
      </c>
      <c r="G30" t="s">
        <v>348</v>
      </c>
      <c r="H30" s="139">
        <v>46147</v>
      </c>
      <c r="I30" t="s">
        <v>136</v>
      </c>
      <c r="J30" t="s">
        <v>161</v>
      </c>
      <c r="M30" t="s">
        <v>371</v>
      </c>
      <c r="N30" t="s">
        <v>372</v>
      </c>
      <c r="O30" t="s">
        <v>107</v>
      </c>
      <c r="P30" t="s">
        <v>108</v>
      </c>
      <c r="Q30" t="s">
        <v>248</v>
      </c>
      <c r="R30" t="s">
        <v>22</v>
      </c>
      <c r="S30" t="s">
        <v>143</v>
      </c>
      <c r="T30" t="s">
        <v>150</v>
      </c>
      <c r="U30" t="s">
        <v>374</v>
      </c>
      <c r="V30" t="s">
        <v>116</v>
      </c>
      <c r="W30" t="s">
        <v>169</v>
      </c>
      <c r="X30" t="s">
        <v>329</v>
      </c>
      <c r="Y30" t="s">
        <v>1040</v>
      </c>
      <c r="Z30">
        <v>4</v>
      </c>
      <c r="AA30" t="s">
        <v>1068</v>
      </c>
    </row>
    <row r="31" spans="1:27" ht="15" customHeight="1">
      <c r="A31">
        <v>67</v>
      </c>
      <c r="B31" s="139">
        <v>46175.798159722217</v>
      </c>
      <c r="C31" s="139">
        <v>46175.802662037036</v>
      </c>
      <c r="D31" t="s">
        <v>501</v>
      </c>
      <c r="E31" t="s">
        <v>502</v>
      </c>
      <c r="F31" t="s">
        <v>502</v>
      </c>
      <c r="G31" t="s">
        <v>503</v>
      </c>
      <c r="H31" s="139">
        <v>46147</v>
      </c>
      <c r="I31" t="s">
        <v>505</v>
      </c>
      <c r="J31" t="s">
        <v>174</v>
      </c>
      <c r="L31" t="s">
        <v>504</v>
      </c>
      <c r="N31" t="s">
        <v>509</v>
      </c>
      <c r="O31" t="s">
        <v>122</v>
      </c>
      <c r="P31" t="s">
        <v>108</v>
      </c>
      <c r="Q31" t="s">
        <v>123</v>
      </c>
      <c r="R31" t="s">
        <v>23</v>
      </c>
      <c r="S31" t="s">
        <v>149</v>
      </c>
      <c r="T31" t="s">
        <v>150</v>
      </c>
      <c r="U31" t="s">
        <v>512</v>
      </c>
      <c r="V31" t="s">
        <v>151</v>
      </c>
      <c r="W31" t="s">
        <v>130</v>
      </c>
      <c r="X31" t="s">
        <v>511</v>
      </c>
      <c r="Y31" t="s">
        <v>1039</v>
      </c>
      <c r="Z31">
        <v>1</v>
      </c>
      <c r="AA31" t="s">
        <v>1069</v>
      </c>
    </row>
    <row r="32" spans="1:27" ht="15" customHeight="1">
      <c r="A32">
        <v>3</v>
      </c>
      <c r="B32" s="139">
        <v>46167.479780092603</v>
      </c>
      <c r="C32" s="139">
        <v>46167.482129629629</v>
      </c>
      <c r="D32" t="s">
        <v>131</v>
      </c>
      <c r="E32" t="s">
        <v>132</v>
      </c>
      <c r="F32" t="s">
        <v>133</v>
      </c>
      <c r="G32" t="s">
        <v>134</v>
      </c>
      <c r="H32" s="139">
        <v>46148</v>
      </c>
      <c r="I32" t="s">
        <v>136</v>
      </c>
      <c r="M32" t="s">
        <v>137</v>
      </c>
      <c r="N32" t="s">
        <v>138</v>
      </c>
      <c r="O32" t="s">
        <v>135</v>
      </c>
      <c r="P32" t="s">
        <v>108</v>
      </c>
      <c r="Q32" t="s">
        <v>109</v>
      </c>
      <c r="R32" t="s">
        <v>22</v>
      </c>
      <c r="S32" t="s">
        <v>143</v>
      </c>
      <c r="T32" t="s">
        <v>144</v>
      </c>
      <c r="V32" t="s">
        <v>129</v>
      </c>
      <c r="W32" t="s">
        <v>130</v>
      </c>
      <c r="X32" t="s">
        <v>139</v>
      </c>
      <c r="Y32" t="s">
        <v>1040</v>
      </c>
      <c r="Z32">
        <v>1</v>
      </c>
      <c r="AA32" t="s">
        <v>1041</v>
      </c>
    </row>
    <row r="33" spans="1:27" ht="15" customHeight="1">
      <c r="A33">
        <v>3</v>
      </c>
      <c r="B33" s="139">
        <v>46167.479780092603</v>
      </c>
      <c r="C33" s="139">
        <v>46167.482129629629</v>
      </c>
      <c r="D33" t="s">
        <v>131</v>
      </c>
      <c r="E33" t="s">
        <v>132</v>
      </c>
      <c r="F33" t="s">
        <v>133</v>
      </c>
      <c r="G33" t="s">
        <v>134</v>
      </c>
      <c r="H33" s="139">
        <v>46148</v>
      </c>
      <c r="I33" t="s">
        <v>136</v>
      </c>
      <c r="M33" t="s">
        <v>137</v>
      </c>
      <c r="N33" t="s">
        <v>138</v>
      </c>
      <c r="O33" t="s">
        <v>135</v>
      </c>
      <c r="P33" t="s">
        <v>108</v>
      </c>
      <c r="Q33" t="s">
        <v>109</v>
      </c>
      <c r="R33" t="s">
        <v>22</v>
      </c>
      <c r="S33" t="s">
        <v>143</v>
      </c>
      <c r="T33" t="s">
        <v>144</v>
      </c>
      <c r="V33" t="s">
        <v>129</v>
      </c>
      <c r="W33" t="s">
        <v>130</v>
      </c>
      <c r="X33" t="s">
        <v>139</v>
      </c>
      <c r="Y33" t="s">
        <v>1042</v>
      </c>
      <c r="Z33">
        <v>1</v>
      </c>
      <c r="AA33" t="s">
        <v>1043</v>
      </c>
    </row>
    <row r="34" spans="1:27" ht="41.25" customHeight="1">
      <c r="A34">
        <v>3</v>
      </c>
      <c r="B34" s="139">
        <v>46167.479780092603</v>
      </c>
      <c r="C34" s="139">
        <v>46167.482129629629</v>
      </c>
      <c r="D34" t="s">
        <v>131</v>
      </c>
      <c r="E34" t="s">
        <v>132</v>
      </c>
      <c r="F34" t="s">
        <v>133</v>
      </c>
      <c r="G34" t="s">
        <v>134</v>
      </c>
      <c r="H34" s="139">
        <v>46148</v>
      </c>
      <c r="I34" t="s">
        <v>136</v>
      </c>
      <c r="M34" t="s">
        <v>137</v>
      </c>
      <c r="N34" t="s">
        <v>138</v>
      </c>
      <c r="O34" t="s">
        <v>135</v>
      </c>
      <c r="P34" t="s">
        <v>108</v>
      </c>
      <c r="Q34" t="s">
        <v>109</v>
      </c>
      <c r="R34" t="s">
        <v>22</v>
      </c>
      <c r="S34" t="s">
        <v>143</v>
      </c>
      <c r="T34" t="s">
        <v>144</v>
      </c>
      <c r="V34" t="s">
        <v>129</v>
      </c>
      <c r="W34" t="s">
        <v>130</v>
      </c>
      <c r="X34" t="s">
        <v>139</v>
      </c>
      <c r="Y34" t="s">
        <v>1042</v>
      </c>
      <c r="Z34">
        <v>2</v>
      </c>
      <c r="AA34" t="s">
        <v>1070</v>
      </c>
    </row>
    <row r="35" spans="1:27" ht="41.25" customHeight="1">
      <c r="A35">
        <v>3</v>
      </c>
      <c r="B35" s="139">
        <v>46167.479780092603</v>
      </c>
      <c r="C35" s="139">
        <v>46167.482129629629</v>
      </c>
      <c r="D35" t="s">
        <v>131</v>
      </c>
      <c r="E35" t="s">
        <v>132</v>
      </c>
      <c r="F35" t="s">
        <v>133</v>
      </c>
      <c r="G35" t="s">
        <v>134</v>
      </c>
      <c r="H35" s="139">
        <v>46148</v>
      </c>
      <c r="I35" t="s">
        <v>136</v>
      </c>
      <c r="M35" t="s">
        <v>137</v>
      </c>
      <c r="N35" t="s">
        <v>138</v>
      </c>
      <c r="O35" t="s">
        <v>135</v>
      </c>
      <c r="P35" t="s">
        <v>108</v>
      </c>
      <c r="Q35" t="s">
        <v>109</v>
      </c>
      <c r="R35" t="s">
        <v>22</v>
      </c>
      <c r="S35" t="s">
        <v>143</v>
      </c>
      <c r="T35" t="s">
        <v>144</v>
      </c>
      <c r="V35" t="s">
        <v>129</v>
      </c>
      <c r="W35" t="s">
        <v>130</v>
      </c>
      <c r="X35" t="s">
        <v>139</v>
      </c>
      <c r="Y35" t="s">
        <v>1042</v>
      </c>
      <c r="Z35">
        <v>3</v>
      </c>
      <c r="AA35" t="s">
        <v>1071</v>
      </c>
    </row>
    <row r="36" spans="1:27" ht="41.25" customHeight="1">
      <c r="A36">
        <v>3</v>
      </c>
      <c r="B36" s="139">
        <v>46167.479780092603</v>
      </c>
      <c r="C36" s="139">
        <v>46167.482129629629</v>
      </c>
      <c r="D36" t="s">
        <v>131</v>
      </c>
      <c r="E36" t="s">
        <v>132</v>
      </c>
      <c r="F36" t="s">
        <v>133</v>
      </c>
      <c r="G36" t="s">
        <v>134</v>
      </c>
      <c r="H36" s="139">
        <v>46148</v>
      </c>
      <c r="I36" t="s">
        <v>136</v>
      </c>
      <c r="M36" t="s">
        <v>137</v>
      </c>
      <c r="N36" t="s">
        <v>138</v>
      </c>
      <c r="O36" t="s">
        <v>135</v>
      </c>
      <c r="P36" t="s">
        <v>108</v>
      </c>
      <c r="Q36" t="s">
        <v>109</v>
      </c>
      <c r="R36" t="s">
        <v>22</v>
      </c>
      <c r="S36" t="s">
        <v>143</v>
      </c>
      <c r="T36" t="s">
        <v>144</v>
      </c>
      <c r="V36" t="s">
        <v>129</v>
      </c>
      <c r="W36" t="s">
        <v>130</v>
      </c>
      <c r="X36" t="s">
        <v>139</v>
      </c>
      <c r="Y36" t="s">
        <v>1044</v>
      </c>
      <c r="Z36">
        <v>1</v>
      </c>
      <c r="AA36" t="s">
        <v>186</v>
      </c>
    </row>
    <row r="37" spans="1:27" ht="41.25" customHeight="1">
      <c r="A37">
        <v>29</v>
      </c>
      <c r="B37" s="139">
        <v>46168.657511574071</v>
      </c>
      <c r="C37" s="139">
        <v>46168.660081018519</v>
      </c>
      <c r="D37" t="s">
        <v>270</v>
      </c>
      <c r="E37" t="s">
        <v>271</v>
      </c>
      <c r="F37" t="s">
        <v>272</v>
      </c>
      <c r="G37" t="s">
        <v>273</v>
      </c>
      <c r="H37" s="139">
        <v>46148</v>
      </c>
      <c r="I37" t="s">
        <v>136</v>
      </c>
      <c r="J37" t="s">
        <v>161</v>
      </c>
      <c r="M37" t="s">
        <v>306</v>
      </c>
      <c r="N37" t="s">
        <v>275</v>
      </c>
      <c r="O37" t="s">
        <v>195</v>
      </c>
      <c r="P37" t="s">
        <v>305</v>
      </c>
      <c r="Q37" t="s">
        <v>109</v>
      </c>
      <c r="R37" t="s">
        <v>22</v>
      </c>
      <c r="S37" t="s">
        <v>149</v>
      </c>
      <c r="T37" t="s">
        <v>181</v>
      </c>
      <c r="U37" t="s">
        <v>310</v>
      </c>
      <c r="V37" t="s">
        <v>129</v>
      </c>
      <c r="W37" t="s">
        <v>130</v>
      </c>
      <c r="X37" t="s">
        <v>124</v>
      </c>
      <c r="Y37" t="s">
        <v>1040</v>
      </c>
      <c r="Z37">
        <v>1</v>
      </c>
      <c r="AA37" t="s">
        <v>1072</v>
      </c>
    </row>
    <row r="38" spans="1:27" ht="41.25" customHeight="1">
      <c r="A38">
        <v>29</v>
      </c>
      <c r="B38" s="139">
        <v>46168.657511574071</v>
      </c>
      <c r="C38" s="139">
        <v>46168.660081018519</v>
      </c>
      <c r="D38" t="s">
        <v>270</v>
      </c>
      <c r="E38" t="s">
        <v>271</v>
      </c>
      <c r="F38" t="s">
        <v>272</v>
      </c>
      <c r="G38" t="s">
        <v>273</v>
      </c>
      <c r="H38" s="139">
        <v>46148</v>
      </c>
      <c r="I38" t="s">
        <v>136</v>
      </c>
      <c r="J38" t="s">
        <v>161</v>
      </c>
      <c r="M38" t="s">
        <v>306</v>
      </c>
      <c r="N38" t="s">
        <v>275</v>
      </c>
      <c r="O38" t="s">
        <v>195</v>
      </c>
      <c r="P38" t="s">
        <v>305</v>
      </c>
      <c r="Q38" t="s">
        <v>109</v>
      </c>
      <c r="R38" t="s">
        <v>22</v>
      </c>
      <c r="S38" t="s">
        <v>149</v>
      </c>
      <c r="T38" t="s">
        <v>181</v>
      </c>
      <c r="U38" t="s">
        <v>310</v>
      </c>
      <c r="V38" t="s">
        <v>129</v>
      </c>
      <c r="W38" t="s">
        <v>130</v>
      </c>
      <c r="X38" t="s">
        <v>124</v>
      </c>
      <c r="Y38" t="s">
        <v>1042</v>
      </c>
      <c r="Z38">
        <v>1</v>
      </c>
      <c r="AA38" t="s">
        <v>1073</v>
      </c>
    </row>
    <row r="39" spans="1:27" ht="15" customHeight="1">
      <c r="A39">
        <v>29</v>
      </c>
      <c r="B39" s="139">
        <v>46168.657511574071</v>
      </c>
      <c r="C39" s="139">
        <v>46168.660081018519</v>
      </c>
      <c r="D39" t="s">
        <v>270</v>
      </c>
      <c r="E39" t="s">
        <v>271</v>
      </c>
      <c r="F39" t="s">
        <v>272</v>
      </c>
      <c r="G39" t="s">
        <v>273</v>
      </c>
      <c r="H39" s="139">
        <v>46148</v>
      </c>
      <c r="I39" t="s">
        <v>136</v>
      </c>
      <c r="J39" t="s">
        <v>161</v>
      </c>
      <c r="M39" t="s">
        <v>306</v>
      </c>
      <c r="N39" t="s">
        <v>275</v>
      </c>
      <c r="O39" t="s">
        <v>195</v>
      </c>
      <c r="P39" t="s">
        <v>305</v>
      </c>
      <c r="Q39" t="s">
        <v>109</v>
      </c>
      <c r="R39" t="s">
        <v>22</v>
      </c>
      <c r="S39" t="s">
        <v>149</v>
      </c>
      <c r="T39" t="s">
        <v>181</v>
      </c>
      <c r="U39" t="s">
        <v>310</v>
      </c>
      <c r="V39" t="s">
        <v>129</v>
      </c>
      <c r="W39" t="s">
        <v>130</v>
      </c>
      <c r="X39" t="s">
        <v>124</v>
      </c>
      <c r="Y39" t="s">
        <v>1042</v>
      </c>
      <c r="Z39">
        <v>2</v>
      </c>
      <c r="AA39" t="s">
        <v>1059</v>
      </c>
    </row>
    <row r="40" spans="1:27" ht="15" customHeight="1">
      <c r="A40">
        <v>29</v>
      </c>
      <c r="B40" s="139">
        <v>46168.657511574071</v>
      </c>
      <c r="C40" s="139">
        <v>46168.660081018519</v>
      </c>
      <c r="D40" t="s">
        <v>270</v>
      </c>
      <c r="E40" t="s">
        <v>271</v>
      </c>
      <c r="F40" t="s">
        <v>272</v>
      </c>
      <c r="G40" t="s">
        <v>273</v>
      </c>
      <c r="H40" s="139">
        <v>46148</v>
      </c>
      <c r="I40" t="s">
        <v>136</v>
      </c>
      <c r="J40" t="s">
        <v>161</v>
      </c>
      <c r="M40" t="s">
        <v>306</v>
      </c>
      <c r="N40" t="s">
        <v>275</v>
      </c>
      <c r="O40" t="s">
        <v>195</v>
      </c>
      <c r="P40" t="s">
        <v>305</v>
      </c>
      <c r="Q40" t="s">
        <v>109</v>
      </c>
      <c r="R40" t="s">
        <v>22</v>
      </c>
      <c r="S40" t="s">
        <v>149</v>
      </c>
      <c r="T40" t="s">
        <v>181</v>
      </c>
      <c r="U40" t="s">
        <v>310</v>
      </c>
      <c r="V40" t="s">
        <v>129</v>
      </c>
      <c r="W40" t="s">
        <v>130</v>
      </c>
      <c r="X40" t="s">
        <v>124</v>
      </c>
      <c r="Y40" t="s">
        <v>1044</v>
      </c>
      <c r="Z40">
        <v>1</v>
      </c>
      <c r="AA40" t="s">
        <v>1074</v>
      </c>
    </row>
    <row r="41" spans="1:27" ht="15" customHeight="1">
      <c r="A41">
        <v>58</v>
      </c>
      <c r="B41" s="139">
        <v>46168.848263888889</v>
      </c>
      <c r="C41" s="139">
        <v>46168.849710648137</v>
      </c>
      <c r="D41" t="s">
        <v>432</v>
      </c>
      <c r="E41" t="s">
        <v>433</v>
      </c>
      <c r="F41" t="s">
        <v>434</v>
      </c>
      <c r="G41" t="s">
        <v>435</v>
      </c>
      <c r="H41" s="139">
        <v>46148</v>
      </c>
      <c r="I41" t="s">
        <v>136</v>
      </c>
      <c r="J41" t="s">
        <v>161</v>
      </c>
      <c r="M41" t="s">
        <v>437</v>
      </c>
      <c r="N41" t="s">
        <v>450</v>
      </c>
      <c r="O41" t="s">
        <v>122</v>
      </c>
      <c r="P41" t="s">
        <v>108</v>
      </c>
      <c r="Q41" t="s">
        <v>123</v>
      </c>
      <c r="R41" t="s">
        <v>25</v>
      </c>
      <c r="S41" t="s">
        <v>149</v>
      </c>
      <c r="T41" t="s">
        <v>455</v>
      </c>
      <c r="V41" t="s">
        <v>116</v>
      </c>
      <c r="W41" t="s">
        <v>130</v>
      </c>
      <c r="X41" t="s">
        <v>451</v>
      </c>
      <c r="Y41" t="s">
        <v>1040</v>
      </c>
      <c r="Z41">
        <v>1</v>
      </c>
      <c r="AA41" t="s">
        <v>1075</v>
      </c>
    </row>
    <row r="42" spans="1:27" ht="15" customHeight="1">
      <c r="A42">
        <v>58</v>
      </c>
      <c r="B42" s="139">
        <v>46168.848263888889</v>
      </c>
      <c r="C42" s="139">
        <v>46168.849710648137</v>
      </c>
      <c r="D42" t="s">
        <v>432</v>
      </c>
      <c r="E42" t="s">
        <v>433</v>
      </c>
      <c r="F42" t="s">
        <v>434</v>
      </c>
      <c r="G42" t="s">
        <v>435</v>
      </c>
      <c r="H42" s="139">
        <v>46148</v>
      </c>
      <c r="I42" t="s">
        <v>136</v>
      </c>
      <c r="J42" t="s">
        <v>161</v>
      </c>
      <c r="M42" t="s">
        <v>437</v>
      </c>
      <c r="N42" t="s">
        <v>450</v>
      </c>
      <c r="O42" t="s">
        <v>122</v>
      </c>
      <c r="P42" t="s">
        <v>108</v>
      </c>
      <c r="Q42" t="s">
        <v>123</v>
      </c>
      <c r="R42" t="s">
        <v>25</v>
      </c>
      <c r="S42" t="s">
        <v>149</v>
      </c>
      <c r="T42" t="s">
        <v>455</v>
      </c>
      <c r="V42" t="s">
        <v>116</v>
      </c>
      <c r="W42" t="s">
        <v>130</v>
      </c>
      <c r="X42" t="s">
        <v>451</v>
      </c>
      <c r="Y42" t="s">
        <v>1042</v>
      </c>
      <c r="Z42">
        <v>1</v>
      </c>
      <c r="AA42" t="s">
        <v>1076</v>
      </c>
    </row>
    <row r="43" spans="1:27" ht="15" customHeight="1">
      <c r="A43">
        <v>58</v>
      </c>
      <c r="B43" s="139">
        <v>46168.848263888889</v>
      </c>
      <c r="C43" s="139">
        <v>46168.849710648137</v>
      </c>
      <c r="D43" t="s">
        <v>432</v>
      </c>
      <c r="E43" t="s">
        <v>433</v>
      </c>
      <c r="F43" t="s">
        <v>434</v>
      </c>
      <c r="G43" t="s">
        <v>435</v>
      </c>
      <c r="H43" s="139">
        <v>46148</v>
      </c>
      <c r="I43" t="s">
        <v>136</v>
      </c>
      <c r="J43" t="s">
        <v>161</v>
      </c>
      <c r="M43" t="s">
        <v>437</v>
      </c>
      <c r="N43" t="s">
        <v>450</v>
      </c>
      <c r="O43" t="s">
        <v>122</v>
      </c>
      <c r="P43" t="s">
        <v>108</v>
      </c>
      <c r="Q43" t="s">
        <v>123</v>
      </c>
      <c r="R43" t="s">
        <v>25</v>
      </c>
      <c r="S43" t="s">
        <v>149</v>
      </c>
      <c r="T43" t="s">
        <v>455</v>
      </c>
      <c r="V43" t="s">
        <v>116</v>
      </c>
      <c r="W43" t="s">
        <v>130</v>
      </c>
      <c r="X43" t="s">
        <v>451</v>
      </c>
      <c r="Y43" t="s">
        <v>1042</v>
      </c>
      <c r="Z43">
        <v>2</v>
      </c>
      <c r="AA43" t="s">
        <v>1077</v>
      </c>
    </row>
    <row r="44" spans="1:27" ht="15" customHeight="1">
      <c r="A44">
        <v>58</v>
      </c>
      <c r="B44" s="139">
        <v>46168.848263888889</v>
      </c>
      <c r="C44" s="139">
        <v>46168.849710648137</v>
      </c>
      <c r="D44" t="s">
        <v>432</v>
      </c>
      <c r="E44" t="s">
        <v>433</v>
      </c>
      <c r="F44" t="s">
        <v>434</v>
      </c>
      <c r="G44" t="s">
        <v>435</v>
      </c>
      <c r="H44" s="139">
        <v>46148</v>
      </c>
      <c r="I44" t="s">
        <v>136</v>
      </c>
      <c r="J44" t="s">
        <v>161</v>
      </c>
      <c r="M44" t="s">
        <v>437</v>
      </c>
      <c r="N44" t="s">
        <v>450</v>
      </c>
      <c r="O44" t="s">
        <v>122</v>
      </c>
      <c r="P44" t="s">
        <v>108</v>
      </c>
      <c r="Q44" t="s">
        <v>123</v>
      </c>
      <c r="R44" t="s">
        <v>25</v>
      </c>
      <c r="S44" t="s">
        <v>149</v>
      </c>
      <c r="T44" t="s">
        <v>455</v>
      </c>
      <c r="V44" t="s">
        <v>116</v>
      </c>
      <c r="W44" t="s">
        <v>130</v>
      </c>
      <c r="X44" t="s">
        <v>451</v>
      </c>
      <c r="Y44" t="s">
        <v>1042</v>
      </c>
      <c r="Z44">
        <v>3</v>
      </c>
      <c r="AA44" t="s">
        <v>1078</v>
      </c>
    </row>
    <row r="45" spans="1:27" ht="15" customHeight="1">
      <c r="A45">
        <v>58</v>
      </c>
      <c r="B45" s="139">
        <v>46168.848263888889</v>
      </c>
      <c r="C45" s="139">
        <v>46168.849710648137</v>
      </c>
      <c r="D45" t="s">
        <v>432</v>
      </c>
      <c r="E45" t="s">
        <v>433</v>
      </c>
      <c r="F45" t="s">
        <v>434</v>
      </c>
      <c r="G45" t="s">
        <v>435</v>
      </c>
      <c r="H45" s="139">
        <v>46148</v>
      </c>
      <c r="I45" t="s">
        <v>136</v>
      </c>
      <c r="J45" t="s">
        <v>161</v>
      </c>
      <c r="M45" t="s">
        <v>437</v>
      </c>
      <c r="N45" t="s">
        <v>450</v>
      </c>
      <c r="O45" t="s">
        <v>122</v>
      </c>
      <c r="P45" t="s">
        <v>108</v>
      </c>
      <c r="Q45" t="s">
        <v>123</v>
      </c>
      <c r="R45" t="s">
        <v>25</v>
      </c>
      <c r="S45" t="s">
        <v>149</v>
      </c>
      <c r="T45" t="s">
        <v>455</v>
      </c>
      <c r="V45" t="s">
        <v>116</v>
      </c>
      <c r="W45" t="s">
        <v>130</v>
      </c>
      <c r="X45" t="s">
        <v>451</v>
      </c>
      <c r="Y45" t="s">
        <v>1042</v>
      </c>
      <c r="Z45">
        <v>4</v>
      </c>
      <c r="AA45" t="s">
        <v>1079</v>
      </c>
    </row>
    <row r="46" spans="1:27" ht="15" customHeight="1">
      <c r="A46">
        <v>58</v>
      </c>
      <c r="B46" s="139">
        <v>46168.848263888889</v>
      </c>
      <c r="C46" s="139">
        <v>46168.849710648137</v>
      </c>
      <c r="D46" t="s">
        <v>432</v>
      </c>
      <c r="E46" t="s">
        <v>433</v>
      </c>
      <c r="F46" t="s">
        <v>434</v>
      </c>
      <c r="G46" t="s">
        <v>435</v>
      </c>
      <c r="H46" s="139">
        <v>46148</v>
      </c>
      <c r="I46" t="s">
        <v>136</v>
      </c>
      <c r="J46" t="s">
        <v>161</v>
      </c>
      <c r="M46" t="s">
        <v>437</v>
      </c>
      <c r="N46" t="s">
        <v>450</v>
      </c>
      <c r="O46" t="s">
        <v>122</v>
      </c>
      <c r="P46" t="s">
        <v>108</v>
      </c>
      <c r="Q46" t="s">
        <v>123</v>
      </c>
      <c r="R46" t="s">
        <v>25</v>
      </c>
      <c r="S46" t="s">
        <v>149</v>
      </c>
      <c r="T46" t="s">
        <v>455</v>
      </c>
      <c r="V46" t="s">
        <v>116</v>
      </c>
      <c r="W46" t="s">
        <v>130</v>
      </c>
      <c r="X46" t="s">
        <v>451</v>
      </c>
      <c r="Y46" t="s">
        <v>1044</v>
      </c>
      <c r="Z46">
        <v>1</v>
      </c>
      <c r="AA46" t="s">
        <v>1080</v>
      </c>
    </row>
    <row r="47" spans="1:27" ht="15" customHeight="1">
      <c r="A47">
        <v>58</v>
      </c>
      <c r="B47" s="139">
        <v>46168.848263888889</v>
      </c>
      <c r="C47" s="139">
        <v>46168.849710648137</v>
      </c>
      <c r="D47" t="s">
        <v>432</v>
      </c>
      <c r="E47" t="s">
        <v>433</v>
      </c>
      <c r="F47" t="s">
        <v>434</v>
      </c>
      <c r="G47" t="s">
        <v>435</v>
      </c>
      <c r="H47" s="139">
        <v>46148</v>
      </c>
      <c r="I47" t="s">
        <v>136</v>
      </c>
      <c r="J47" t="s">
        <v>161</v>
      </c>
      <c r="M47" t="s">
        <v>437</v>
      </c>
      <c r="N47" t="s">
        <v>450</v>
      </c>
      <c r="O47" t="s">
        <v>122</v>
      </c>
      <c r="P47" t="s">
        <v>108</v>
      </c>
      <c r="Q47" t="s">
        <v>123</v>
      </c>
      <c r="R47" t="s">
        <v>25</v>
      </c>
      <c r="S47" t="s">
        <v>149</v>
      </c>
      <c r="T47" t="s">
        <v>455</v>
      </c>
      <c r="V47" t="s">
        <v>116</v>
      </c>
      <c r="W47" t="s">
        <v>130</v>
      </c>
      <c r="X47" t="s">
        <v>451</v>
      </c>
      <c r="Y47" t="s">
        <v>1044</v>
      </c>
      <c r="Z47">
        <v>2</v>
      </c>
      <c r="AA47" t="s">
        <v>1081</v>
      </c>
    </row>
    <row r="48" spans="1:27" ht="15" customHeight="1">
      <c r="A48">
        <v>58</v>
      </c>
      <c r="B48" s="139">
        <v>46168.848263888889</v>
      </c>
      <c r="C48" s="139">
        <v>46168.849710648137</v>
      </c>
      <c r="D48" t="s">
        <v>432</v>
      </c>
      <c r="E48" t="s">
        <v>433</v>
      </c>
      <c r="F48" t="s">
        <v>434</v>
      </c>
      <c r="G48" t="s">
        <v>435</v>
      </c>
      <c r="H48" s="139">
        <v>46148</v>
      </c>
      <c r="I48" t="s">
        <v>136</v>
      </c>
      <c r="J48" t="s">
        <v>161</v>
      </c>
      <c r="M48" t="s">
        <v>437</v>
      </c>
      <c r="N48" t="s">
        <v>450</v>
      </c>
      <c r="O48" t="s">
        <v>122</v>
      </c>
      <c r="P48" t="s">
        <v>108</v>
      </c>
      <c r="Q48" t="s">
        <v>123</v>
      </c>
      <c r="R48" t="s">
        <v>25</v>
      </c>
      <c r="S48" t="s">
        <v>149</v>
      </c>
      <c r="T48" t="s">
        <v>455</v>
      </c>
      <c r="V48" t="s">
        <v>116</v>
      </c>
      <c r="W48" t="s">
        <v>130</v>
      </c>
      <c r="X48" t="s">
        <v>451</v>
      </c>
      <c r="Y48" t="s">
        <v>1044</v>
      </c>
      <c r="Z48">
        <v>3</v>
      </c>
      <c r="AA48" t="s">
        <v>1082</v>
      </c>
    </row>
    <row r="49" spans="1:27" ht="15" customHeight="1">
      <c r="A49">
        <v>84</v>
      </c>
      <c r="B49" s="139">
        <v>46176.729988425926</v>
      </c>
      <c r="C49" s="139">
        <v>46176.73945601852</v>
      </c>
      <c r="D49" t="s">
        <v>592</v>
      </c>
      <c r="E49" t="s">
        <v>593</v>
      </c>
      <c r="F49" t="s">
        <v>594</v>
      </c>
      <c r="G49" t="s">
        <v>595</v>
      </c>
      <c r="H49" s="139">
        <v>46148</v>
      </c>
      <c r="I49" t="s">
        <v>596</v>
      </c>
      <c r="J49" t="s">
        <v>161</v>
      </c>
      <c r="M49" t="s">
        <v>597</v>
      </c>
      <c r="N49" t="s">
        <v>598</v>
      </c>
      <c r="O49" t="s">
        <v>122</v>
      </c>
      <c r="P49" t="s">
        <v>108</v>
      </c>
      <c r="Q49" t="s">
        <v>123</v>
      </c>
      <c r="R49" t="s">
        <v>22</v>
      </c>
      <c r="S49" t="s">
        <v>143</v>
      </c>
      <c r="T49" t="s">
        <v>181</v>
      </c>
      <c r="U49" t="s">
        <v>602</v>
      </c>
      <c r="V49" t="s">
        <v>129</v>
      </c>
      <c r="W49" t="s">
        <v>130</v>
      </c>
      <c r="X49" t="s">
        <v>329</v>
      </c>
      <c r="Y49" t="s">
        <v>1040</v>
      </c>
      <c r="Z49">
        <v>1</v>
      </c>
      <c r="AA49" t="s">
        <v>1083</v>
      </c>
    </row>
    <row r="50" spans="1:27" ht="15" customHeight="1">
      <c r="A50">
        <v>84</v>
      </c>
      <c r="B50" s="139">
        <v>46176.729988425926</v>
      </c>
      <c r="C50" s="139">
        <v>46176.73945601852</v>
      </c>
      <c r="D50" t="s">
        <v>592</v>
      </c>
      <c r="E50" t="s">
        <v>593</v>
      </c>
      <c r="F50" t="s">
        <v>594</v>
      </c>
      <c r="G50" t="s">
        <v>595</v>
      </c>
      <c r="H50" s="139">
        <v>46148</v>
      </c>
      <c r="I50" t="s">
        <v>596</v>
      </c>
      <c r="J50" t="s">
        <v>161</v>
      </c>
      <c r="M50" t="s">
        <v>597</v>
      </c>
      <c r="N50" t="s">
        <v>598</v>
      </c>
      <c r="O50" t="s">
        <v>122</v>
      </c>
      <c r="P50" t="s">
        <v>108</v>
      </c>
      <c r="Q50" t="s">
        <v>123</v>
      </c>
      <c r="R50" t="s">
        <v>22</v>
      </c>
      <c r="S50" t="s">
        <v>143</v>
      </c>
      <c r="T50" t="s">
        <v>181</v>
      </c>
      <c r="U50" t="s">
        <v>602</v>
      </c>
      <c r="V50" t="s">
        <v>129</v>
      </c>
      <c r="W50" t="s">
        <v>130</v>
      </c>
      <c r="X50" t="s">
        <v>329</v>
      </c>
      <c r="Y50" t="s">
        <v>1042</v>
      </c>
      <c r="Z50">
        <v>1</v>
      </c>
      <c r="AA50" t="s">
        <v>1047</v>
      </c>
    </row>
    <row r="51" spans="1:27" ht="15" customHeight="1">
      <c r="A51">
        <v>84</v>
      </c>
      <c r="B51" s="139">
        <v>46176.729988425926</v>
      </c>
      <c r="C51" s="139">
        <v>46176.73945601852</v>
      </c>
      <c r="D51" t="s">
        <v>592</v>
      </c>
      <c r="E51" t="s">
        <v>593</v>
      </c>
      <c r="F51" t="s">
        <v>594</v>
      </c>
      <c r="G51" t="s">
        <v>595</v>
      </c>
      <c r="H51" s="139">
        <v>46148</v>
      </c>
      <c r="I51" t="s">
        <v>596</v>
      </c>
      <c r="J51" t="s">
        <v>161</v>
      </c>
      <c r="M51" t="s">
        <v>597</v>
      </c>
      <c r="N51" t="s">
        <v>598</v>
      </c>
      <c r="O51" t="s">
        <v>122</v>
      </c>
      <c r="P51" t="s">
        <v>108</v>
      </c>
      <c r="Q51" t="s">
        <v>123</v>
      </c>
      <c r="R51" t="s">
        <v>22</v>
      </c>
      <c r="S51" t="s">
        <v>143</v>
      </c>
      <c r="T51" t="s">
        <v>181</v>
      </c>
      <c r="U51" t="s">
        <v>602</v>
      </c>
      <c r="V51" t="s">
        <v>129</v>
      </c>
      <c r="W51" t="s">
        <v>130</v>
      </c>
      <c r="X51" t="s">
        <v>329</v>
      </c>
      <c r="Y51" t="s">
        <v>1042</v>
      </c>
      <c r="Z51">
        <v>2</v>
      </c>
      <c r="AA51" t="s">
        <v>1084</v>
      </c>
    </row>
    <row r="52" spans="1:27" ht="15" customHeight="1">
      <c r="A52">
        <v>84</v>
      </c>
      <c r="B52" s="139">
        <v>46176.729988425926</v>
      </c>
      <c r="C52" s="139">
        <v>46176.73945601852</v>
      </c>
      <c r="D52" t="s">
        <v>592</v>
      </c>
      <c r="E52" t="s">
        <v>593</v>
      </c>
      <c r="F52" t="s">
        <v>594</v>
      </c>
      <c r="G52" t="s">
        <v>595</v>
      </c>
      <c r="H52" s="139">
        <v>46148</v>
      </c>
      <c r="I52" t="s">
        <v>596</v>
      </c>
      <c r="J52" t="s">
        <v>161</v>
      </c>
      <c r="M52" t="s">
        <v>597</v>
      </c>
      <c r="N52" t="s">
        <v>598</v>
      </c>
      <c r="O52" t="s">
        <v>122</v>
      </c>
      <c r="P52" t="s">
        <v>108</v>
      </c>
      <c r="Q52" t="s">
        <v>123</v>
      </c>
      <c r="R52" t="s">
        <v>22</v>
      </c>
      <c r="S52" t="s">
        <v>143</v>
      </c>
      <c r="T52" t="s">
        <v>181</v>
      </c>
      <c r="U52" t="s">
        <v>602</v>
      </c>
      <c r="V52" t="s">
        <v>129</v>
      </c>
      <c r="W52" t="s">
        <v>130</v>
      </c>
      <c r="X52" t="s">
        <v>329</v>
      </c>
      <c r="Y52" t="s">
        <v>1042</v>
      </c>
      <c r="Z52">
        <v>3</v>
      </c>
      <c r="AA52" t="s">
        <v>1049</v>
      </c>
    </row>
    <row r="53" spans="1:27" ht="15" customHeight="1">
      <c r="A53">
        <v>84</v>
      </c>
      <c r="B53" s="139">
        <v>46176.729988425926</v>
      </c>
      <c r="C53" s="139">
        <v>46176.73945601852</v>
      </c>
      <c r="D53" t="s">
        <v>592</v>
      </c>
      <c r="E53" t="s">
        <v>593</v>
      </c>
      <c r="F53" t="s">
        <v>594</v>
      </c>
      <c r="G53" t="s">
        <v>595</v>
      </c>
      <c r="H53" s="139">
        <v>46148</v>
      </c>
      <c r="I53" t="s">
        <v>596</v>
      </c>
      <c r="J53" t="s">
        <v>161</v>
      </c>
      <c r="M53" t="s">
        <v>597</v>
      </c>
      <c r="N53" t="s">
        <v>598</v>
      </c>
      <c r="O53" t="s">
        <v>122</v>
      </c>
      <c r="P53" t="s">
        <v>108</v>
      </c>
      <c r="Q53" t="s">
        <v>123</v>
      </c>
      <c r="R53" t="s">
        <v>22</v>
      </c>
      <c r="S53" t="s">
        <v>143</v>
      </c>
      <c r="T53" t="s">
        <v>181</v>
      </c>
      <c r="U53" t="s">
        <v>602</v>
      </c>
      <c r="V53" t="s">
        <v>129</v>
      </c>
      <c r="W53" t="s">
        <v>130</v>
      </c>
      <c r="X53" t="s">
        <v>329</v>
      </c>
      <c r="Y53" t="s">
        <v>1042</v>
      </c>
      <c r="Z53">
        <v>4</v>
      </c>
      <c r="AA53" t="s">
        <v>1085</v>
      </c>
    </row>
    <row r="54" spans="1:27" ht="15" customHeight="1">
      <c r="A54">
        <v>84</v>
      </c>
      <c r="B54" s="139">
        <v>46176.729988425926</v>
      </c>
      <c r="C54" s="139">
        <v>46176.73945601852</v>
      </c>
      <c r="D54" t="s">
        <v>592</v>
      </c>
      <c r="E54" t="s">
        <v>593</v>
      </c>
      <c r="F54" t="s">
        <v>594</v>
      </c>
      <c r="G54" t="s">
        <v>595</v>
      </c>
      <c r="H54" s="139">
        <v>46148</v>
      </c>
      <c r="I54" t="s">
        <v>596</v>
      </c>
      <c r="J54" t="s">
        <v>161</v>
      </c>
      <c r="M54" t="s">
        <v>597</v>
      </c>
      <c r="N54" t="s">
        <v>598</v>
      </c>
      <c r="O54" t="s">
        <v>122</v>
      </c>
      <c r="P54" t="s">
        <v>108</v>
      </c>
      <c r="Q54" t="s">
        <v>123</v>
      </c>
      <c r="R54" t="s">
        <v>22</v>
      </c>
      <c r="S54" t="s">
        <v>143</v>
      </c>
      <c r="T54" t="s">
        <v>181</v>
      </c>
      <c r="U54" t="s">
        <v>602</v>
      </c>
      <c r="V54" t="s">
        <v>129</v>
      </c>
      <c r="W54" t="s">
        <v>130</v>
      </c>
      <c r="X54" t="s">
        <v>329</v>
      </c>
      <c r="Y54" t="s">
        <v>1042</v>
      </c>
      <c r="Z54">
        <v>5</v>
      </c>
      <c r="AA54" t="s">
        <v>1086</v>
      </c>
    </row>
    <row r="55" spans="1:27" ht="15" customHeight="1">
      <c r="A55">
        <v>84</v>
      </c>
      <c r="B55" s="139">
        <v>46176.729988425926</v>
      </c>
      <c r="C55" s="139">
        <v>46176.73945601852</v>
      </c>
      <c r="D55" t="s">
        <v>592</v>
      </c>
      <c r="E55" t="s">
        <v>593</v>
      </c>
      <c r="F55" t="s">
        <v>594</v>
      </c>
      <c r="G55" t="s">
        <v>595</v>
      </c>
      <c r="H55" s="139">
        <v>46148</v>
      </c>
      <c r="I55" t="s">
        <v>596</v>
      </c>
      <c r="J55" t="s">
        <v>161</v>
      </c>
      <c r="M55" t="s">
        <v>597</v>
      </c>
      <c r="N55" t="s">
        <v>598</v>
      </c>
      <c r="O55" t="s">
        <v>122</v>
      </c>
      <c r="P55" t="s">
        <v>108</v>
      </c>
      <c r="Q55" t="s">
        <v>123</v>
      </c>
      <c r="R55" t="s">
        <v>22</v>
      </c>
      <c r="S55" t="s">
        <v>143</v>
      </c>
      <c r="T55" t="s">
        <v>181</v>
      </c>
      <c r="U55" t="s">
        <v>602</v>
      </c>
      <c r="V55" t="s">
        <v>129</v>
      </c>
      <c r="W55" t="s">
        <v>130</v>
      </c>
      <c r="X55" t="s">
        <v>329</v>
      </c>
      <c r="Y55" t="s">
        <v>1044</v>
      </c>
      <c r="Z55">
        <v>1</v>
      </c>
      <c r="AA55" t="s">
        <v>1087</v>
      </c>
    </row>
    <row r="56" spans="1:27" ht="15" customHeight="1">
      <c r="A56">
        <v>84</v>
      </c>
      <c r="B56" s="139">
        <v>46176.729988425926</v>
      </c>
      <c r="C56" s="139">
        <v>46176.73945601852</v>
      </c>
      <c r="D56" t="s">
        <v>592</v>
      </c>
      <c r="E56" t="s">
        <v>593</v>
      </c>
      <c r="F56" t="s">
        <v>594</v>
      </c>
      <c r="G56" t="s">
        <v>595</v>
      </c>
      <c r="H56" s="139">
        <v>46148</v>
      </c>
      <c r="I56" t="s">
        <v>596</v>
      </c>
      <c r="J56" t="s">
        <v>161</v>
      </c>
      <c r="M56" t="s">
        <v>597</v>
      </c>
      <c r="N56" t="s">
        <v>598</v>
      </c>
      <c r="O56" t="s">
        <v>122</v>
      </c>
      <c r="P56" t="s">
        <v>108</v>
      </c>
      <c r="Q56" t="s">
        <v>123</v>
      </c>
      <c r="R56" t="s">
        <v>22</v>
      </c>
      <c r="S56" t="s">
        <v>143</v>
      </c>
      <c r="T56" t="s">
        <v>181</v>
      </c>
      <c r="U56" t="s">
        <v>602</v>
      </c>
      <c r="V56" t="s">
        <v>129</v>
      </c>
      <c r="W56" t="s">
        <v>130</v>
      </c>
      <c r="X56" t="s">
        <v>329</v>
      </c>
      <c r="Y56" t="s">
        <v>1044</v>
      </c>
      <c r="Z56">
        <v>2</v>
      </c>
      <c r="AA56" t="s">
        <v>1050</v>
      </c>
    </row>
    <row r="57" spans="1:27" ht="15" customHeight="1">
      <c r="A57">
        <v>114</v>
      </c>
      <c r="B57" s="139">
        <v>46178.682905092603</v>
      </c>
      <c r="C57" s="139">
        <v>46178.685150462959</v>
      </c>
      <c r="D57" t="s">
        <v>296</v>
      </c>
      <c r="E57" t="s">
        <v>297</v>
      </c>
      <c r="F57" t="s">
        <v>297</v>
      </c>
      <c r="G57" t="s">
        <v>298</v>
      </c>
      <c r="H57" s="139">
        <v>46148</v>
      </c>
      <c r="I57" t="s">
        <v>136</v>
      </c>
      <c r="J57" t="s">
        <v>174</v>
      </c>
      <c r="L57" t="s">
        <v>711</v>
      </c>
      <c r="N57" t="s">
        <v>712</v>
      </c>
      <c r="O57" t="s">
        <v>195</v>
      </c>
      <c r="P57" t="s">
        <v>196</v>
      </c>
      <c r="Q57" t="s">
        <v>109</v>
      </c>
      <c r="R57" t="s">
        <v>22</v>
      </c>
      <c r="S57" t="s">
        <v>149</v>
      </c>
      <c r="T57" t="s">
        <v>181</v>
      </c>
      <c r="V57" t="s">
        <v>129</v>
      </c>
      <c r="W57" t="s">
        <v>130</v>
      </c>
      <c r="X57" t="s">
        <v>199</v>
      </c>
      <c r="Y57" t="s">
        <v>1040</v>
      </c>
      <c r="Z57">
        <v>1</v>
      </c>
      <c r="AA57" t="s">
        <v>1088</v>
      </c>
    </row>
    <row r="58" spans="1:27" ht="15" customHeight="1">
      <c r="A58">
        <v>114</v>
      </c>
      <c r="B58" s="139">
        <v>46178.682905092603</v>
      </c>
      <c r="C58" s="139">
        <v>46178.685150462959</v>
      </c>
      <c r="D58" t="s">
        <v>296</v>
      </c>
      <c r="E58" t="s">
        <v>297</v>
      </c>
      <c r="F58" t="s">
        <v>297</v>
      </c>
      <c r="G58" t="s">
        <v>298</v>
      </c>
      <c r="H58" s="139">
        <v>46148</v>
      </c>
      <c r="I58" t="s">
        <v>136</v>
      </c>
      <c r="J58" t="s">
        <v>174</v>
      </c>
      <c r="L58" t="s">
        <v>711</v>
      </c>
      <c r="N58" t="s">
        <v>712</v>
      </c>
      <c r="O58" t="s">
        <v>195</v>
      </c>
      <c r="P58" t="s">
        <v>196</v>
      </c>
      <c r="Q58" t="s">
        <v>109</v>
      </c>
      <c r="R58" t="s">
        <v>22</v>
      </c>
      <c r="S58" t="s">
        <v>149</v>
      </c>
      <c r="T58" t="s">
        <v>181</v>
      </c>
      <c r="V58" t="s">
        <v>129</v>
      </c>
      <c r="W58" t="s">
        <v>130</v>
      </c>
      <c r="X58" t="s">
        <v>199</v>
      </c>
      <c r="Y58" t="s">
        <v>1042</v>
      </c>
      <c r="Z58">
        <v>1</v>
      </c>
      <c r="AA58" t="s">
        <v>1089</v>
      </c>
    </row>
    <row r="59" spans="1:27" ht="15" customHeight="1">
      <c r="A59">
        <v>114</v>
      </c>
      <c r="B59" s="139">
        <v>46178.682905092603</v>
      </c>
      <c r="C59" s="139">
        <v>46178.685150462959</v>
      </c>
      <c r="D59" t="s">
        <v>296</v>
      </c>
      <c r="E59" t="s">
        <v>297</v>
      </c>
      <c r="F59" t="s">
        <v>297</v>
      </c>
      <c r="G59" t="s">
        <v>298</v>
      </c>
      <c r="H59" s="139">
        <v>46148</v>
      </c>
      <c r="I59" t="s">
        <v>136</v>
      </c>
      <c r="J59" t="s">
        <v>174</v>
      </c>
      <c r="L59" t="s">
        <v>711</v>
      </c>
      <c r="N59" t="s">
        <v>712</v>
      </c>
      <c r="O59" t="s">
        <v>195</v>
      </c>
      <c r="P59" t="s">
        <v>196</v>
      </c>
      <c r="Q59" t="s">
        <v>109</v>
      </c>
      <c r="R59" t="s">
        <v>22</v>
      </c>
      <c r="S59" t="s">
        <v>149</v>
      </c>
      <c r="T59" t="s">
        <v>181</v>
      </c>
      <c r="V59" t="s">
        <v>129</v>
      </c>
      <c r="W59" t="s">
        <v>130</v>
      </c>
      <c r="X59" t="s">
        <v>199</v>
      </c>
      <c r="Y59" t="s">
        <v>1042</v>
      </c>
      <c r="Z59">
        <v>2</v>
      </c>
      <c r="AA59" t="s">
        <v>1090</v>
      </c>
    </row>
    <row r="60" spans="1:27" ht="15" customHeight="1">
      <c r="A60">
        <v>114</v>
      </c>
      <c r="B60" s="139">
        <v>46178.682905092603</v>
      </c>
      <c r="C60" s="139">
        <v>46178.685150462959</v>
      </c>
      <c r="D60" t="s">
        <v>296</v>
      </c>
      <c r="E60" t="s">
        <v>297</v>
      </c>
      <c r="F60" t="s">
        <v>297</v>
      </c>
      <c r="G60" t="s">
        <v>298</v>
      </c>
      <c r="H60" s="139">
        <v>46148</v>
      </c>
      <c r="I60" t="s">
        <v>136</v>
      </c>
      <c r="J60" t="s">
        <v>174</v>
      </c>
      <c r="L60" t="s">
        <v>711</v>
      </c>
      <c r="N60" t="s">
        <v>712</v>
      </c>
      <c r="O60" t="s">
        <v>195</v>
      </c>
      <c r="P60" t="s">
        <v>196</v>
      </c>
      <c r="Q60" t="s">
        <v>109</v>
      </c>
      <c r="R60" t="s">
        <v>22</v>
      </c>
      <c r="S60" t="s">
        <v>149</v>
      </c>
      <c r="T60" t="s">
        <v>181</v>
      </c>
      <c r="V60" t="s">
        <v>129</v>
      </c>
      <c r="W60" t="s">
        <v>130</v>
      </c>
      <c r="X60" t="s">
        <v>199</v>
      </c>
      <c r="Y60" t="s">
        <v>1042</v>
      </c>
      <c r="Z60">
        <v>3</v>
      </c>
      <c r="AA60" t="s">
        <v>1091</v>
      </c>
    </row>
    <row r="61" spans="1:27" ht="15" customHeight="1">
      <c r="A61">
        <v>114</v>
      </c>
      <c r="B61" s="139">
        <v>46178.682905092603</v>
      </c>
      <c r="C61" s="139">
        <v>46178.685150462959</v>
      </c>
      <c r="D61" t="s">
        <v>296</v>
      </c>
      <c r="E61" t="s">
        <v>297</v>
      </c>
      <c r="F61" t="s">
        <v>297</v>
      </c>
      <c r="G61" t="s">
        <v>298</v>
      </c>
      <c r="H61" s="139">
        <v>46148</v>
      </c>
      <c r="I61" t="s">
        <v>136</v>
      </c>
      <c r="J61" t="s">
        <v>174</v>
      </c>
      <c r="L61" t="s">
        <v>711</v>
      </c>
      <c r="N61" t="s">
        <v>712</v>
      </c>
      <c r="O61" t="s">
        <v>195</v>
      </c>
      <c r="P61" t="s">
        <v>196</v>
      </c>
      <c r="Q61" t="s">
        <v>109</v>
      </c>
      <c r="R61" t="s">
        <v>22</v>
      </c>
      <c r="S61" t="s">
        <v>149</v>
      </c>
      <c r="T61" t="s">
        <v>181</v>
      </c>
      <c r="V61" t="s">
        <v>129</v>
      </c>
      <c r="W61" t="s">
        <v>130</v>
      </c>
      <c r="X61" t="s">
        <v>199</v>
      </c>
      <c r="Y61" t="s">
        <v>1044</v>
      </c>
      <c r="Z61">
        <v>1</v>
      </c>
      <c r="AA61" t="s">
        <v>715</v>
      </c>
    </row>
    <row r="62" spans="1:27" ht="15" customHeight="1">
      <c r="A62">
        <v>157</v>
      </c>
      <c r="B62" s="139">
        <v>46189.449560185189</v>
      </c>
      <c r="C62" s="139">
        <v>46189.451157407413</v>
      </c>
      <c r="D62" t="s">
        <v>887</v>
      </c>
      <c r="E62" t="s">
        <v>888</v>
      </c>
      <c r="F62" t="s">
        <v>889</v>
      </c>
      <c r="G62" t="s">
        <v>890</v>
      </c>
      <c r="H62" s="139">
        <v>46148</v>
      </c>
      <c r="I62" t="s">
        <v>498</v>
      </c>
      <c r="J62" t="s">
        <v>161</v>
      </c>
      <c r="M62" t="s">
        <v>892</v>
      </c>
      <c r="O62" t="s">
        <v>891</v>
      </c>
      <c r="P62" t="s">
        <v>108</v>
      </c>
      <c r="Q62" t="s">
        <v>109</v>
      </c>
      <c r="R62" t="s">
        <v>23</v>
      </c>
      <c r="S62" t="s">
        <v>149</v>
      </c>
      <c r="T62" t="s">
        <v>144</v>
      </c>
      <c r="V62" t="s">
        <v>151</v>
      </c>
      <c r="W62" t="s">
        <v>130</v>
      </c>
      <c r="X62" t="s">
        <v>252</v>
      </c>
      <c r="Y62" t="s">
        <v>1039</v>
      </c>
      <c r="Z62">
        <v>1</v>
      </c>
      <c r="AA62" t="s">
        <v>893</v>
      </c>
    </row>
    <row r="63" spans="1:27" ht="15" customHeight="1">
      <c r="A63">
        <v>28</v>
      </c>
      <c r="B63" s="139">
        <v>46168.656909722216</v>
      </c>
      <c r="C63" s="139">
        <v>46168.65861111111</v>
      </c>
      <c r="D63" t="s">
        <v>296</v>
      </c>
      <c r="E63" t="s">
        <v>297</v>
      </c>
      <c r="F63" t="s">
        <v>297</v>
      </c>
      <c r="G63" t="s">
        <v>298</v>
      </c>
      <c r="H63" s="139">
        <v>46149</v>
      </c>
      <c r="I63" t="s">
        <v>136</v>
      </c>
      <c r="J63" t="s">
        <v>161</v>
      </c>
      <c r="M63" t="s">
        <v>300</v>
      </c>
      <c r="N63" t="s">
        <v>301</v>
      </c>
      <c r="O63" t="s">
        <v>135</v>
      </c>
      <c r="P63" t="s">
        <v>108</v>
      </c>
      <c r="Q63" t="s">
        <v>299</v>
      </c>
      <c r="R63" t="s">
        <v>22</v>
      </c>
      <c r="S63" t="s">
        <v>143</v>
      </c>
      <c r="T63" t="s">
        <v>150</v>
      </c>
      <c r="V63" t="s">
        <v>151</v>
      </c>
      <c r="W63" t="s">
        <v>130</v>
      </c>
      <c r="X63" t="s">
        <v>302</v>
      </c>
      <c r="Y63" t="s">
        <v>1040</v>
      </c>
      <c r="Z63">
        <v>1</v>
      </c>
      <c r="AA63" t="s">
        <v>186</v>
      </c>
    </row>
    <row r="64" spans="1:27" ht="15" customHeight="1">
      <c r="A64">
        <v>28</v>
      </c>
      <c r="B64" s="139">
        <v>46168.656909722216</v>
      </c>
      <c r="C64" s="139">
        <v>46168.65861111111</v>
      </c>
      <c r="D64" t="s">
        <v>296</v>
      </c>
      <c r="E64" t="s">
        <v>297</v>
      </c>
      <c r="F64" t="s">
        <v>297</v>
      </c>
      <c r="G64" t="s">
        <v>298</v>
      </c>
      <c r="H64" s="139">
        <v>46149</v>
      </c>
      <c r="I64" t="s">
        <v>136</v>
      </c>
      <c r="J64" t="s">
        <v>161</v>
      </c>
      <c r="M64" t="s">
        <v>300</v>
      </c>
      <c r="N64" t="s">
        <v>301</v>
      </c>
      <c r="O64" t="s">
        <v>135</v>
      </c>
      <c r="P64" t="s">
        <v>108</v>
      </c>
      <c r="Q64" t="s">
        <v>299</v>
      </c>
      <c r="R64" t="s">
        <v>22</v>
      </c>
      <c r="S64" t="s">
        <v>143</v>
      </c>
      <c r="T64" t="s">
        <v>150</v>
      </c>
      <c r="V64" t="s">
        <v>151</v>
      </c>
      <c r="W64" t="s">
        <v>130</v>
      </c>
      <c r="X64" t="s">
        <v>302</v>
      </c>
      <c r="Y64" t="s">
        <v>1042</v>
      </c>
      <c r="Z64">
        <v>1</v>
      </c>
      <c r="AA64" t="s">
        <v>1092</v>
      </c>
    </row>
    <row r="65" spans="1:27" ht="15" customHeight="1">
      <c r="A65">
        <v>28</v>
      </c>
      <c r="B65" s="139">
        <v>46168.656909722216</v>
      </c>
      <c r="C65" s="139">
        <v>46168.65861111111</v>
      </c>
      <c r="D65" t="s">
        <v>296</v>
      </c>
      <c r="E65" t="s">
        <v>297</v>
      </c>
      <c r="F65" t="s">
        <v>297</v>
      </c>
      <c r="G65" t="s">
        <v>298</v>
      </c>
      <c r="H65" s="139">
        <v>46149</v>
      </c>
      <c r="I65" t="s">
        <v>136</v>
      </c>
      <c r="J65" t="s">
        <v>161</v>
      </c>
      <c r="M65" t="s">
        <v>300</v>
      </c>
      <c r="N65" t="s">
        <v>301</v>
      </c>
      <c r="O65" t="s">
        <v>135</v>
      </c>
      <c r="P65" t="s">
        <v>108</v>
      </c>
      <c r="Q65" t="s">
        <v>299</v>
      </c>
      <c r="R65" t="s">
        <v>22</v>
      </c>
      <c r="S65" t="s">
        <v>143</v>
      </c>
      <c r="T65" t="s">
        <v>150</v>
      </c>
      <c r="V65" t="s">
        <v>151</v>
      </c>
      <c r="W65" t="s">
        <v>130</v>
      </c>
      <c r="X65" t="s">
        <v>302</v>
      </c>
      <c r="Y65" t="s">
        <v>1042</v>
      </c>
      <c r="Z65">
        <v>2</v>
      </c>
      <c r="AA65" t="s">
        <v>1093</v>
      </c>
    </row>
    <row r="66" spans="1:27" ht="15" customHeight="1">
      <c r="A66">
        <v>28</v>
      </c>
      <c r="B66" s="139">
        <v>46168.656909722216</v>
      </c>
      <c r="C66" s="139">
        <v>46168.65861111111</v>
      </c>
      <c r="D66" t="s">
        <v>296</v>
      </c>
      <c r="E66" t="s">
        <v>297</v>
      </c>
      <c r="F66" t="s">
        <v>297</v>
      </c>
      <c r="G66" t="s">
        <v>298</v>
      </c>
      <c r="H66" s="139">
        <v>46149</v>
      </c>
      <c r="I66" t="s">
        <v>136</v>
      </c>
      <c r="J66" t="s">
        <v>161</v>
      </c>
      <c r="M66" t="s">
        <v>300</v>
      </c>
      <c r="N66" t="s">
        <v>301</v>
      </c>
      <c r="O66" t="s">
        <v>135</v>
      </c>
      <c r="P66" t="s">
        <v>108</v>
      </c>
      <c r="Q66" t="s">
        <v>299</v>
      </c>
      <c r="R66" t="s">
        <v>22</v>
      </c>
      <c r="S66" t="s">
        <v>143</v>
      </c>
      <c r="T66" t="s">
        <v>150</v>
      </c>
      <c r="V66" t="s">
        <v>151</v>
      </c>
      <c r="W66" t="s">
        <v>130</v>
      </c>
      <c r="X66" t="s">
        <v>302</v>
      </c>
      <c r="Y66" t="s">
        <v>1042</v>
      </c>
      <c r="Z66">
        <v>3</v>
      </c>
      <c r="AA66" t="s">
        <v>1094</v>
      </c>
    </row>
    <row r="67" spans="1:27" ht="15" customHeight="1">
      <c r="A67">
        <v>28</v>
      </c>
      <c r="B67" s="139">
        <v>46168.656909722216</v>
      </c>
      <c r="C67" s="139">
        <v>46168.65861111111</v>
      </c>
      <c r="D67" t="s">
        <v>296</v>
      </c>
      <c r="E67" t="s">
        <v>297</v>
      </c>
      <c r="F67" t="s">
        <v>297</v>
      </c>
      <c r="G67" t="s">
        <v>298</v>
      </c>
      <c r="H67" s="139">
        <v>46149</v>
      </c>
      <c r="I67" t="s">
        <v>136</v>
      </c>
      <c r="J67" t="s">
        <v>161</v>
      </c>
      <c r="M67" t="s">
        <v>300</v>
      </c>
      <c r="N67" t="s">
        <v>301</v>
      </c>
      <c r="O67" t="s">
        <v>135</v>
      </c>
      <c r="P67" t="s">
        <v>108</v>
      </c>
      <c r="Q67" t="s">
        <v>299</v>
      </c>
      <c r="R67" t="s">
        <v>22</v>
      </c>
      <c r="S67" t="s">
        <v>143</v>
      </c>
      <c r="T67" t="s">
        <v>150</v>
      </c>
      <c r="V67" t="s">
        <v>151</v>
      </c>
      <c r="W67" t="s">
        <v>130</v>
      </c>
      <c r="X67" t="s">
        <v>302</v>
      </c>
      <c r="Y67" t="s">
        <v>1044</v>
      </c>
      <c r="Z67">
        <v>1</v>
      </c>
      <c r="AA67" t="s">
        <v>1095</v>
      </c>
    </row>
    <row r="68" spans="1:27" ht="15" customHeight="1">
      <c r="A68">
        <v>39</v>
      </c>
      <c r="B68" s="139">
        <v>46168.699490740742</v>
      </c>
      <c r="C68" s="139">
        <v>46168.707060185188</v>
      </c>
      <c r="D68" t="s">
        <v>345</v>
      </c>
      <c r="E68" t="s">
        <v>346</v>
      </c>
      <c r="F68" t="s">
        <v>347</v>
      </c>
      <c r="G68" t="s">
        <v>348</v>
      </c>
      <c r="H68" s="139">
        <v>46149</v>
      </c>
      <c r="I68" t="s">
        <v>136</v>
      </c>
      <c r="J68" t="s">
        <v>174</v>
      </c>
      <c r="L68" t="s">
        <v>349</v>
      </c>
      <c r="O68" t="s">
        <v>107</v>
      </c>
      <c r="P68" t="s">
        <v>108</v>
      </c>
      <c r="Q68" t="s">
        <v>109</v>
      </c>
      <c r="R68" t="s">
        <v>22</v>
      </c>
      <c r="S68" t="s">
        <v>149</v>
      </c>
      <c r="T68" t="s">
        <v>181</v>
      </c>
      <c r="U68" t="s">
        <v>350</v>
      </c>
      <c r="V68" t="s">
        <v>129</v>
      </c>
      <c r="W68" t="s">
        <v>130</v>
      </c>
      <c r="X68" t="s">
        <v>139</v>
      </c>
      <c r="Y68" t="s">
        <v>1040</v>
      </c>
      <c r="Z68">
        <v>1</v>
      </c>
      <c r="AA68" t="s">
        <v>1041</v>
      </c>
    </row>
    <row r="69" spans="1:27" ht="15" customHeight="1">
      <c r="A69">
        <v>39</v>
      </c>
      <c r="B69" s="139">
        <v>46168.699490740742</v>
      </c>
      <c r="C69" s="139">
        <v>46168.707060185188</v>
      </c>
      <c r="D69" t="s">
        <v>345</v>
      </c>
      <c r="E69" t="s">
        <v>346</v>
      </c>
      <c r="F69" t="s">
        <v>347</v>
      </c>
      <c r="G69" t="s">
        <v>348</v>
      </c>
      <c r="H69" s="139">
        <v>46149</v>
      </c>
      <c r="I69" t="s">
        <v>136</v>
      </c>
      <c r="J69" t="s">
        <v>174</v>
      </c>
      <c r="L69" t="s">
        <v>349</v>
      </c>
      <c r="O69" t="s">
        <v>107</v>
      </c>
      <c r="P69" t="s">
        <v>108</v>
      </c>
      <c r="Q69" t="s">
        <v>109</v>
      </c>
      <c r="R69" t="s">
        <v>22</v>
      </c>
      <c r="S69" t="s">
        <v>149</v>
      </c>
      <c r="T69" t="s">
        <v>181</v>
      </c>
      <c r="U69" t="s">
        <v>350</v>
      </c>
      <c r="V69" t="s">
        <v>129</v>
      </c>
      <c r="W69" t="s">
        <v>130</v>
      </c>
      <c r="X69" t="s">
        <v>139</v>
      </c>
      <c r="Y69" t="s">
        <v>1042</v>
      </c>
      <c r="Z69">
        <v>1</v>
      </c>
      <c r="AA69" t="s">
        <v>1043</v>
      </c>
    </row>
    <row r="70" spans="1:27" ht="15" customHeight="1">
      <c r="A70">
        <v>39</v>
      </c>
      <c r="B70" s="139">
        <v>46168.699490740742</v>
      </c>
      <c r="C70" s="139">
        <v>46168.707060185188</v>
      </c>
      <c r="D70" t="s">
        <v>345</v>
      </c>
      <c r="E70" t="s">
        <v>346</v>
      </c>
      <c r="F70" t="s">
        <v>347</v>
      </c>
      <c r="G70" t="s">
        <v>348</v>
      </c>
      <c r="H70" s="139">
        <v>46149</v>
      </c>
      <c r="I70" t="s">
        <v>136</v>
      </c>
      <c r="J70" t="s">
        <v>174</v>
      </c>
      <c r="L70" t="s">
        <v>349</v>
      </c>
      <c r="O70" t="s">
        <v>107</v>
      </c>
      <c r="P70" t="s">
        <v>108</v>
      </c>
      <c r="Q70" t="s">
        <v>109</v>
      </c>
      <c r="R70" t="s">
        <v>22</v>
      </c>
      <c r="S70" t="s">
        <v>149</v>
      </c>
      <c r="T70" t="s">
        <v>181</v>
      </c>
      <c r="U70" t="s">
        <v>350</v>
      </c>
      <c r="V70" t="s">
        <v>129</v>
      </c>
      <c r="W70" t="s">
        <v>130</v>
      </c>
      <c r="X70" t="s">
        <v>139</v>
      </c>
      <c r="Y70" t="s">
        <v>1042</v>
      </c>
      <c r="Z70">
        <v>2</v>
      </c>
      <c r="AA70" t="s">
        <v>1096</v>
      </c>
    </row>
    <row r="71" spans="1:27" ht="15" customHeight="1">
      <c r="A71">
        <v>39</v>
      </c>
      <c r="B71" s="139">
        <v>46168.699490740742</v>
      </c>
      <c r="C71" s="139">
        <v>46168.707060185188</v>
      </c>
      <c r="D71" t="s">
        <v>345</v>
      </c>
      <c r="E71" t="s">
        <v>346</v>
      </c>
      <c r="F71" t="s">
        <v>347</v>
      </c>
      <c r="G71" t="s">
        <v>348</v>
      </c>
      <c r="H71" s="139">
        <v>46149</v>
      </c>
      <c r="I71" t="s">
        <v>136</v>
      </c>
      <c r="J71" t="s">
        <v>174</v>
      </c>
      <c r="L71" t="s">
        <v>349</v>
      </c>
      <c r="O71" t="s">
        <v>107</v>
      </c>
      <c r="P71" t="s">
        <v>108</v>
      </c>
      <c r="Q71" t="s">
        <v>109</v>
      </c>
      <c r="R71" t="s">
        <v>22</v>
      </c>
      <c r="S71" t="s">
        <v>149</v>
      </c>
      <c r="T71" t="s">
        <v>181</v>
      </c>
      <c r="U71" t="s">
        <v>350</v>
      </c>
      <c r="V71" t="s">
        <v>129</v>
      </c>
      <c r="W71" t="s">
        <v>130</v>
      </c>
      <c r="X71" t="s">
        <v>139</v>
      </c>
      <c r="Y71" t="s">
        <v>1042</v>
      </c>
      <c r="Z71">
        <v>3</v>
      </c>
      <c r="AA71" t="s">
        <v>1097</v>
      </c>
    </row>
    <row r="72" spans="1:27" ht="15" customHeight="1">
      <c r="A72">
        <v>39</v>
      </c>
      <c r="B72" s="139">
        <v>46168.699490740742</v>
      </c>
      <c r="C72" s="139">
        <v>46168.707060185188</v>
      </c>
      <c r="D72" t="s">
        <v>345</v>
      </c>
      <c r="E72" t="s">
        <v>346</v>
      </c>
      <c r="F72" t="s">
        <v>347</v>
      </c>
      <c r="G72" t="s">
        <v>348</v>
      </c>
      <c r="H72" s="139">
        <v>46149</v>
      </c>
      <c r="I72" t="s">
        <v>136</v>
      </c>
      <c r="J72" t="s">
        <v>174</v>
      </c>
      <c r="L72" t="s">
        <v>349</v>
      </c>
      <c r="O72" t="s">
        <v>107</v>
      </c>
      <c r="P72" t="s">
        <v>108</v>
      </c>
      <c r="Q72" t="s">
        <v>109</v>
      </c>
      <c r="R72" t="s">
        <v>22</v>
      </c>
      <c r="S72" t="s">
        <v>149</v>
      </c>
      <c r="T72" t="s">
        <v>181</v>
      </c>
      <c r="U72" t="s">
        <v>350</v>
      </c>
      <c r="V72" t="s">
        <v>129</v>
      </c>
      <c r="W72" t="s">
        <v>130</v>
      </c>
      <c r="X72" t="s">
        <v>139</v>
      </c>
      <c r="Y72" t="s">
        <v>1042</v>
      </c>
      <c r="Z72">
        <v>4</v>
      </c>
      <c r="AA72" t="s">
        <v>1070</v>
      </c>
    </row>
    <row r="73" spans="1:27" ht="15" customHeight="1">
      <c r="A73">
        <v>39</v>
      </c>
      <c r="B73" s="139">
        <v>46168.699490740742</v>
      </c>
      <c r="C73" s="139">
        <v>46168.707060185188</v>
      </c>
      <c r="D73" t="s">
        <v>345</v>
      </c>
      <c r="E73" t="s">
        <v>346</v>
      </c>
      <c r="F73" t="s">
        <v>347</v>
      </c>
      <c r="G73" t="s">
        <v>348</v>
      </c>
      <c r="H73" s="139">
        <v>46149</v>
      </c>
      <c r="I73" t="s">
        <v>136</v>
      </c>
      <c r="J73" t="s">
        <v>174</v>
      </c>
      <c r="L73" t="s">
        <v>349</v>
      </c>
      <c r="O73" t="s">
        <v>107</v>
      </c>
      <c r="P73" t="s">
        <v>108</v>
      </c>
      <c r="Q73" t="s">
        <v>109</v>
      </c>
      <c r="R73" t="s">
        <v>22</v>
      </c>
      <c r="S73" t="s">
        <v>149</v>
      </c>
      <c r="T73" t="s">
        <v>181</v>
      </c>
      <c r="U73" t="s">
        <v>350</v>
      </c>
      <c r="V73" t="s">
        <v>129</v>
      </c>
      <c r="W73" t="s">
        <v>130</v>
      </c>
      <c r="X73" t="s">
        <v>139</v>
      </c>
      <c r="Y73" t="s">
        <v>1042</v>
      </c>
      <c r="Z73">
        <v>5</v>
      </c>
      <c r="AA73" t="s">
        <v>1071</v>
      </c>
    </row>
    <row r="74" spans="1:27" ht="15" customHeight="1">
      <c r="A74">
        <v>39</v>
      </c>
      <c r="B74" s="139">
        <v>46168.699490740742</v>
      </c>
      <c r="C74" s="139">
        <v>46168.707060185188</v>
      </c>
      <c r="D74" t="s">
        <v>345</v>
      </c>
      <c r="E74" t="s">
        <v>346</v>
      </c>
      <c r="F74" t="s">
        <v>347</v>
      </c>
      <c r="G74" t="s">
        <v>348</v>
      </c>
      <c r="H74" s="139">
        <v>46149</v>
      </c>
      <c r="I74" t="s">
        <v>136</v>
      </c>
      <c r="J74" t="s">
        <v>174</v>
      </c>
      <c r="L74" t="s">
        <v>349</v>
      </c>
      <c r="O74" t="s">
        <v>107</v>
      </c>
      <c r="P74" t="s">
        <v>108</v>
      </c>
      <c r="Q74" t="s">
        <v>109</v>
      </c>
      <c r="R74" t="s">
        <v>22</v>
      </c>
      <c r="S74" t="s">
        <v>149</v>
      </c>
      <c r="T74" t="s">
        <v>181</v>
      </c>
      <c r="U74" t="s">
        <v>350</v>
      </c>
      <c r="V74" t="s">
        <v>129</v>
      </c>
      <c r="W74" t="s">
        <v>130</v>
      </c>
      <c r="X74" t="s">
        <v>139</v>
      </c>
      <c r="Y74" t="s">
        <v>1044</v>
      </c>
      <c r="Z74">
        <v>1</v>
      </c>
      <c r="AA74" t="s">
        <v>1098</v>
      </c>
    </row>
    <row r="75" spans="1:27" ht="15" customHeight="1">
      <c r="A75">
        <v>39</v>
      </c>
      <c r="B75" s="139">
        <v>46168.699490740742</v>
      </c>
      <c r="C75" s="139">
        <v>46168.707060185188</v>
      </c>
      <c r="D75" t="s">
        <v>345</v>
      </c>
      <c r="E75" t="s">
        <v>346</v>
      </c>
      <c r="F75" t="s">
        <v>347</v>
      </c>
      <c r="G75" t="s">
        <v>348</v>
      </c>
      <c r="H75" s="139">
        <v>46149</v>
      </c>
      <c r="I75" t="s">
        <v>136</v>
      </c>
      <c r="J75" t="s">
        <v>174</v>
      </c>
      <c r="L75" t="s">
        <v>349</v>
      </c>
      <c r="O75" t="s">
        <v>107</v>
      </c>
      <c r="P75" t="s">
        <v>108</v>
      </c>
      <c r="Q75" t="s">
        <v>109</v>
      </c>
      <c r="R75" t="s">
        <v>22</v>
      </c>
      <c r="S75" t="s">
        <v>149</v>
      </c>
      <c r="T75" t="s">
        <v>181</v>
      </c>
      <c r="U75" t="s">
        <v>350</v>
      </c>
      <c r="V75" t="s">
        <v>129</v>
      </c>
      <c r="W75" t="s">
        <v>130</v>
      </c>
      <c r="X75" t="s">
        <v>139</v>
      </c>
      <c r="Y75" t="s">
        <v>1044</v>
      </c>
      <c r="Z75">
        <v>2</v>
      </c>
      <c r="AA75" t="s">
        <v>1099</v>
      </c>
    </row>
    <row r="76" spans="1:27" ht="15" customHeight="1">
      <c r="A76">
        <v>56</v>
      </c>
      <c r="B76" s="139">
        <v>46168.846168981479</v>
      </c>
      <c r="C76" s="139">
        <v>46168.847256944442</v>
      </c>
      <c r="D76" t="s">
        <v>432</v>
      </c>
      <c r="E76" t="s">
        <v>433</v>
      </c>
      <c r="F76" t="s">
        <v>434</v>
      </c>
      <c r="G76" t="s">
        <v>435</v>
      </c>
      <c r="H76" s="139">
        <v>46149</v>
      </c>
      <c r="I76" t="s">
        <v>136</v>
      </c>
      <c r="J76" t="s">
        <v>161</v>
      </c>
      <c r="M76" t="s">
        <v>437</v>
      </c>
      <c r="N76" t="s">
        <v>443</v>
      </c>
      <c r="O76" t="s">
        <v>135</v>
      </c>
      <c r="P76" t="s">
        <v>108</v>
      </c>
      <c r="Q76" t="s">
        <v>109</v>
      </c>
      <c r="R76" t="s">
        <v>21</v>
      </c>
      <c r="S76" t="s">
        <v>149</v>
      </c>
      <c r="T76" t="s">
        <v>447</v>
      </c>
      <c r="V76" t="s">
        <v>116</v>
      </c>
      <c r="W76" t="s">
        <v>130</v>
      </c>
      <c r="X76" t="s">
        <v>177</v>
      </c>
      <c r="Y76" t="s">
        <v>1040</v>
      </c>
      <c r="Z76">
        <v>1</v>
      </c>
      <c r="AA76" t="s">
        <v>1100</v>
      </c>
    </row>
    <row r="77" spans="1:27" ht="15" customHeight="1">
      <c r="A77">
        <v>56</v>
      </c>
      <c r="B77" s="139">
        <v>46168.846168981479</v>
      </c>
      <c r="C77" s="139">
        <v>46168.847256944442</v>
      </c>
      <c r="D77" t="s">
        <v>432</v>
      </c>
      <c r="E77" t="s">
        <v>433</v>
      </c>
      <c r="F77" t="s">
        <v>434</v>
      </c>
      <c r="G77" t="s">
        <v>435</v>
      </c>
      <c r="H77" s="139">
        <v>46149</v>
      </c>
      <c r="I77" t="s">
        <v>136</v>
      </c>
      <c r="J77" t="s">
        <v>161</v>
      </c>
      <c r="M77" t="s">
        <v>437</v>
      </c>
      <c r="N77" t="s">
        <v>443</v>
      </c>
      <c r="O77" t="s">
        <v>135</v>
      </c>
      <c r="P77" t="s">
        <v>108</v>
      </c>
      <c r="Q77" t="s">
        <v>109</v>
      </c>
      <c r="R77" t="s">
        <v>21</v>
      </c>
      <c r="S77" t="s">
        <v>149</v>
      </c>
      <c r="T77" t="s">
        <v>447</v>
      </c>
      <c r="V77" t="s">
        <v>116</v>
      </c>
      <c r="W77" t="s">
        <v>130</v>
      </c>
      <c r="X77" t="s">
        <v>177</v>
      </c>
      <c r="Y77" t="s">
        <v>1040</v>
      </c>
      <c r="Z77">
        <v>2</v>
      </c>
      <c r="AA77" t="s">
        <v>1101</v>
      </c>
    </row>
    <row r="78" spans="1:27" ht="15" customHeight="1">
      <c r="A78">
        <v>56</v>
      </c>
      <c r="B78" s="139">
        <v>46168.846168981479</v>
      </c>
      <c r="C78" s="139">
        <v>46168.847256944442</v>
      </c>
      <c r="D78" t="s">
        <v>432</v>
      </c>
      <c r="E78" t="s">
        <v>433</v>
      </c>
      <c r="F78" t="s">
        <v>434</v>
      </c>
      <c r="G78" t="s">
        <v>435</v>
      </c>
      <c r="H78" s="139">
        <v>46149</v>
      </c>
      <c r="I78" t="s">
        <v>136</v>
      </c>
      <c r="J78" t="s">
        <v>161</v>
      </c>
      <c r="M78" t="s">
        <v>437</v>
      </c>
      <c r="N78" t="s">
        <v>443</v>
      </c>
      <c r="O78" t="s">
        <v>135</v>
      </c>
      <c r="P78" t="s">
        <v>108</v>
      </c>
      <c r="Q78" t="s">
        <v>109</v>
      </c>
      <c r="R78" t="s">
        <v>21</v>
      </c>
      <c r="S78" t="s">
        <v>149</v>
      </c>
      <c r="T78" t="s">
        <v>447</v>
      </c>
      <c r="V78" t="s">
        <v>116</v>
      </c>
      <c r="W78" t="s">
        <v>130</v>
      </c>
      <c r="X78" t="s">
        <v>177</v>
      </c>
      <c r="Y78" t="s">
        <v>1040</v>
      </c>
      <c r="Z78">
        <v>3</v>
      </c>
      <c r="AA78" t="s">
        <v>1102</v>
      </c>
    </row>
    <row r="79" spans="1:27" ht="15" customHeight="1">
      <c r="A79">
        <v>56</v>
      </c>
      <c r="B79" s="139">
        <v>46168.846168981479</v>
      </c>
      <c r="C79" s="139">
        <v>46168.847256944442</v>
      </c>
      <c r="D79" t="s">
        <v>432</v>
      </c>
      <c r="E79" t="s">
        <v>433</v>
      </c>
      <c r="F79" t="s">
        <v>434</v>
      </c>
      <c r="G79" t="s">
        <v>435</v>
      </c>
      <c r="H79" s="139">
        <v>46149</v>
      </c>
      <c r="I79" t="s">
        <v>136</v>
      </c>
      <c r="J79" t="s">
        <v>161</v>
      </c>
      <c r="M79" t="s">
        <v>437</v>
      </c>
      <c r="N79" t="s">
        <v>443</v>
      </c>
      <c r="O79" t="s">
        <v>135</v>
      </c>
      <c r="P79" t="s">
        <v>108</v>
      </c>
      <c r="Q79" t="s">
        <v>109</v>
      </c>
      <c r="R79" t="s">
        <v>21</v>
      </c>
      <c r="S79" t="s">
        <v>149</v>
      </c>
      <c r="T79" t="s">
        <v>447</v>
      </c>
      <c r="V79" t="s">
        <v>116</v>
      </c>
      <c r="W79" t="s">
        <v>130</v>
      </c>
      <c r="X79" t="s">
        <v>177</v>
      </c>
      <c r="Y79" t="s">
        <v>1040</v>
      </c>
      <c r="Z79">
        <v>4</v>
      </c>
      <c r="AA79" t="s">
        <v>1103</v>
      </c>
    </row>
    <row r="80" spans="1:27" ht="15" customHeight="1">
      <c r="A80">
        <v>56</v>
      </c>
      <c r="B80" s="139">
        <v>46168.846168981479</v>
      </c>
      <c r="C80" s="139">
        <v>46168.847256944442</v>
      </c>
      <c r="D80" t="s">
        <v>432</v>
      </c>
      <c r="E80" t="s">
        <v>433</v>
      </c>
      <c r="F80" t="s">
        <v>434</v>
      </c>
      <c r="G80" t="s">
        <v>435</v>
      </c>
      <c r="H80" s="139">
        <v>46149</v>
      </c>
      <c r="I80" t="s">
        <v>136</v>
      </c>
      <c r="J80" t="s">
        <v>161</v>
      </c>
      <c r="M80" t="s">
        <v>437</v>
      </c>
      <c r="N80" t="s">
        <v>443</v>
      </c>
      <c r="O80" t="s">
        <v>135</v>
      </c>
      <c r="P80" t="s">
        <v>108</v>
      </c>
      <c r="Q80" t="s">
        <v>109</v>
      </c>
      <c r="R80" t="s">
        <v>21</v>
      </c>
      <c r="S80" t="s">
        <v>149</v>
      </c>
      <c r="T80" t="s">
        <v>447</v>
      </c>
      <c r="V80" t="s">
        <v>116</v>
      </c>
      <c r="W80" t="s">
        <v>130</v>
      </c>
      <c r="X80" t="s">
        <v>177</v>
      </c>
      <c r="Y80" t="s">
        <v>1042</v>
      </c>
      <c r="Z80">
        <v>1</v>
      </c>
      <c r="AA80" t="s">
        <v>1104</v>
      </c>
    </row>
    <row r="81" spans="1:27" ht="15" customHeight="1">
      <c r="A81">
        <v>56</v>
      </c>
      <c r="B81" s="139">
        <v>46168.846168981479</v>
      </c>
      <c r="C81" s="139">
        <v>46168.847256944442</v>
      </c>
      <c r="D81" t="s">
        <v>432</v>
      </c>
      <c r="E81" t="s">
        <v>433</v>
      </c>
      <c r="F81" t="s">
        <v>434</v>
      </c>
      <c r="G81" t="s">
        <v>435</v>
      </c>
      <c r="H81" s="139">
        <v>46149</v>
      </c>
      <c r="I81" t="s">
        <v>136</v>
      </c>
      <c r="J81" t="s">
        <v>161</v>
      </c>
      <c r="M81" t="s">
        <v>437</v>
      </c>
      <c r="N81" t="s">
        <v>443</v>
      </c>
      <c r="O81" t="s">
        <v>135</v>
      </c>
      <c r="P81" t="s">
        <v>108</v>
      </c>
      <c r="Q81" t="s">
        <v>109</v>
      </c>
      <c r="R81" t="s">
        <v>21</v>
      </c>
      <c r="S81" t="s">
        <v>149</v>
      </c>
      <c r="T81" t="s">
        <v>447</v>
      </c>
      <c r="V81" t="s">
        <v>116</v>
      </c>
      <c r="W81" t="s">
        <v>130</v>
      </c>
      <c r="X81" t="s">
        <v>177</v>
      </c>
      <c r="Y81" t="s">
        <v>1042</v>
      </c>
      <c r="Z81">
        <v>2</v>
      </c>
      <c r="AA81" t="s">
        <v>1105</v>
      </c>
    </row>
    <row r="82" spans="1:27" ht="15" customHeight="1">
      <c r="A82">
        <v>56</v>
      </c>
      <c r="B82" s="139">
        <v>46168.846168981479</v>
      </c>
      <c r="C82" s="139">
        <v>46168.847256944442</v>
      </c>
      <c r="D82" t="s">
        <v>432</v>
      </c>
      <c r="E82" t="s">
        <v>433</v>
      </c>
      <c r="F82" t="s">
        <v>434</v>
      </c>
      <c r="G82" t="s">
        <v>435</v>
      </c>
      <c r="H82" s="139">
        <v>46149</v>
      </c>
      <c r="I82" t="s">
        <v>136</v>
      </c>
      <c r="J82" t="s">
        <v>161</v>
      </c>
      <c r="M82" t="s">
        <v>437</v>
      </c>
      <c r="N82" t="s">
        <v>443</v>
      </c>
      <c r="O82" t="s">
        <v>135</v>
      </c>
      <c r="P82" t="s">
        <v>108</v>
      </c>
      <c r="Q82" t="s">
        <v>109</v>
      </c>
      <c r="R82" t="s">
        <v>21</v>
      </c>
      <c r="S82" t="s">
        <v>149</v>
      </c>
      <c r="T82" t="s">
        <v>447</v>
      </c>
      <c r="V82" t="s">
        <v>116</v>
      </c>
      <c r="W82" t="s">
        <v>130</v>
      </c>
      <c r="X82" t="s">
        <v>177</v>
      </c>
      <c r="Y82" t="s">
        <v>1042</v>
      </c>
      <c r="Z82">
        <v>3</v>
      </c>
      <c r="AA82" t="s">
        <v>1106</v>
      </c>
    </row>
    <row r="83" spans="1:27" ht="15" customHeight="1">
      <c r="A83">
        <v>56</v>
      </c>
      <c r="B83" s="139">
        <v>46168.846168981479</v>
      </c>
      <c r="C83" s="139">
        <v>46168.847256944442</v>
      </c>
      <c r="D83" t="s">
        <v>432</v>
      </c>
      <c r="E83" t="s">
        <v>433</v>
      </c>
      <c r="F83" t="s">
        <v>434</v>
      </c>
      <c r="G83" t="s">
        <v>435</v>
      </c>
      <c r="H83" s="139">
        <v>46149</v>
      </c>
      <c r="I83" t="s">
        <v>136</v>
      </c>
      <c r="J83" t="s">
        <v>161</v>
      </c>
      <c r="M83" t="s">
        <v>437</v>
      </c>
      <c r="N83" t="s">
        <v>443</v>
      </c>
      <c r="O83" t="s">
        <v>135</v>
      </c>
      <c r="P83" t="s">
        <v>108</v>
      </c>
      <c r="Q83" t="s">
        <v>109</v>
      </c>
      <c r="R83" t="s">
        <v>21</v>
      </c>
      <c r="S83" t="s">
        <v>149</v>
      </c>
      <c r="T83" t="s">
        <v>447</v>
      </c>
      <c r="V83" t="s">
        <v>116</v>
      </c>
      <c r="W83" t="s">
        <v>130</v>
      </c>
      <c r="X83" t="s">
        <v>177</v>
      </c>
      <c r="Y83" t="s">
        <v>1042</v>
      </c>
      <c r="Z83">
        <v>4</v>
      </c>
      <c r="AA83" t="s">
        <v>1107</v>
      </c>
    </row>
    <row r="84" spans="1:27" ht="15" customHeight="1">
      <c r="A84">
        <v>56</v>
      </c>
      <c r="B84" s="139">
        <v>46168.846168981479</v>
      </c>
      <c r="C84" s="139">
        <v>46168.847256944442</v>
      </c>
      <c r="D84" t="s">
        <v>432</v>
      </c>
      <c r="E84" t="s">
        <v>433</v>
      </c>
      <c r="F84" t="s">
        <v>434</v>
      </c>
      <c r="G84" t="s">
        <v>435</v>
      </c>
      <c r="H84" s="139">
        <v>46149</v>
      </c>
      <c r="I84" t="s">
        <v>136</v>
      </c>
      <c r="J84" t="s">
        <v>161</v>
      </c>
      <c r="M84" t="s">
        <v>437</v>
      </c>
      <c r="N84" t="s">
        <v>443</v>
      </c>
      <c r="O84" t="s">
        <v>135</v>
      </c>
      <c r="P84" t="s">
        <v>108</v>
      </c>
      <c r="Q84" t="s">
        <v>109</v>
      </c>
      <c r="R84" t="s">
        <v>21</v>
      </c>
      <c r="S84" t="s">
        <v>149</v>
      </c>
      <c r="T84" t="s">
        <v>447</v>
      </c>
      <c r="V84" t="s">
        <v>116</v>
      </c>
      <c r="W84" t="s">
        <v>130</v>
      </c>
      <c r="X84" t="s">
        <v>177</v>
      </c>
      <c r="Y84" t="s">
        <v>1044</v>
      </c>
      <c r="Z84">
        <v>1</v>
      </c>
      <c r="AA84" t="s">
        <v>1108</v>
      </c>
    </row>
    <row r="85" spans="1:27" ht="15" customHeight="1">
      <c r="A85">
        <v>56</v>
      </c>
      <c r="B85" s="139">
        <v>46168.846168981479</v>
      </c>
      <c r="C85" s="139">
        <v>46168.847256944442</v>
      </c>
      <c r="D85" t="s">
        <v>432</v>
      </c>
      <c r="E85" t="s">
        <v>433</v>
      </c>
      <c r="F85" t="s">
        <v>434</v>
      </c>
      <c r="G85" t="s">
        <v>435</v>
      </c>
      <c r="H85" s="139">
        <v>46149</v>
      </c>
      <c r="I85" t="s">
        <v>136</v>
      </c>
      <c r="J85" t="s">
        <v>161</v>
      </c>
      <c r="M85" t="s">
        <v>437</v>
      </c>
      <c r="N85" t="s">
        <v>443</v>
      </c>
      <c r="O85" t="s">
        <v>135</v>
      </c>
      <c r="P85" t="s">
        <v>108</v>
      </c>
      <c r="Q85" t="s">
        <v>109</v>
      </c>
      <c r="R85" t="s">
        <v>21</v>
      </c>
      <c r="S85" t="s">
        <v>149</v>
      </c>
      <c r="T85" t="s">
        <v>447</v>
      </c>
      <c r="V85" t="s">
        <v>116</v>
      </c>
      <c r="W85" t="s">
        <v>130</v>
      </c>
      <c r="X85" t="s">
        <v>177</v>
      </c>
      <c r="Y85" t="s">
        <v>1044</v>
      </c>
      <c r="Z85">
        <v>2</v>
      </c>
      <c r="AA85" t="s">
        <v>1109</v>
      </c>
    </row>
    <row r="86" spans="1:27" ht="15" customHeight="1">
      <c r="A86">
        <v>56</v>
      </c>
      <c r="B86" s="139">
        <v>46168.846168981479</v>
      </c>
      <c r="C86" s="139">
        <v>46168.847256944442</v>
      </c>
      <c r="D86" t="s">
        <v>432</v>
      </c>
      <c r="E86" t="s">
        <v>433</v>
      </c>
      <c r="F86" t="s">
        <v>434</v>
      </c>
      <c r="G86" t="s">
        <v>435</v>
      </c>
      <c r="H86" s="139">
        <v>46149</v>
      </c>
      <c r="I86" t="s">
        <v>136</v>
      </c>
      <c r="J86" t="s">
        <v>161</v>
      </c>
      <c r="M86" t="s">
        <v>437</v>
      </c>
      <c r="N86" t="s">
        <v>443</v>
      </c>
      <c r="O86" t="s">
        <v>135</v>
      </c>
      <c r="P86" t="s">
        <v>108</v>
      </c>
      <c r="Q86" t="s">
        <v>109</v>
      </c>
      <c r="R86" t="s">
        <v>21</v>
      </c>
      <c r="S86" t="s">
        <v>149</v>
      </c>
      <c r="T86" t="s">
        <v>447</v>
      </c>
      <c r="V86" t="s">
        <v>116</v>
      </c>
      <c r="W86" t="s">
        <v>130</v>
      </c>
      <c r="X86" t="s">
        <v>177</v>
      </c>
      <c r="Y86" t="s">
        <v>1044</v>
      </c>
      <c r="Z86">
        <v>3</v>
      </c>
      <c r="AA86" t="s">
        <v>1110</v>
      </c>
    </row>
    <row r="87" spans="1:27" ht="15" customHeight="1">
      <c r="A87">
        <v>56</v>
      </c>
      <c r="B87" s="139">
        <v>46168.846168981479</v>
      </c>
      <c r="C87" s="139">
        <v>46168.847256944442</v>
      </c>
      <c r="D87" t="s">
        <v>432</v>
      </c>
      <c r="E87" t="s">
        <v>433</v>
      </c>
      <c r="F87" t="s">
        <v>434</v>
      </c>
      <c r="G87" t="s">
        <v>435</v>
      </c>
      <c r="H87" s="139">
        <v>46149</v>
      </c>
      <c r="I87" t="s">
        <v>136</v>
      </c>
      <c r="J87" t="s">
        <v>161</v>
      </c>
      <c r="M87" t="s">
        <v>437</v>
      </c>
      <c r="N87" t="s">
        <v>443</v>
      </c>
      <c r="O87" t="s">
        <v>135</v>
      </c>
      <c r="P87" t="s">
        <v>108</v>
      </c>
      <c r="Q87" t="s">
        <v>109</v>
      </c>
      <c r="R87" t="s">
        <v>21</v>
      </c>
      <c r="S87" t="s">
        <v>149</v>
      </c>
      <c r="T87" t="s">
        <v>447</v>
      </c>
      <c r="V87" t="s">
        <v>116</v>
      </c>
      <c r="W87" t="s">
        <v>130</v>
      </c>
      <c r="X87" t="s">
        <v>177</v>
      </c>
      <c r="Y87" t="s">
        <v>1044</v>
      </c>
      <c r="Z87">
        <v>4</v>
      </c>
      <c r="AA87" t="s">
        <v>1111</v>
      </c>
    </row>
    <row r="88" spans="1:27" ht="15" customHeight="1">
      <c r="A88">
        <v>75</v>
      </c>
      <c r="B88" s="139">
        <v>46175.817928240736</v>
      </c>
      <c r="C88" s="139">
        <v>46175.840092592603</v>
      </c>
      <c r="D88" t="s">
        <v>529</v>
      </c>
      <c r="E88" t="s">
        <v>530</v>
      </c>
      <c r="F88" t="s">
        <v>530</v>
      </c>
      <c r="G88" t="s">
        <v>531</v>
      </c>
      <c r="H88" s="139">
        <v>46149</v>
      </c>
      <c r="I88" t="s">
        <v>427</v>
      </c>
      <c r="J88" t="s">
        <v>174</v>
      </c>
      <c r="L88" t="s">
        <v>532</v>
      </c>
      <c r="N88" t="s">
        <v>548</v>
      </c>
      <c r="O88" t="s">
        <v>190</v>
      </c>
      <c r="P88" t="s">
        <v>196</v>
      </c>
      <c r="Q88" t="s">
        <v>109</v>
      </c>
      <c r="R88" t="s">
        <v>24</v>
      </c>
      <c r="S88" t="s">
        <v>149</v>
      </c>
      <c r="T88" t="s">
        <v>181</v>
      </c>
      <c r="V88" t="s">
        <v>116</v>
      </c>
      <c r="W88" t="s">
        <v>130</v>
      </c>
      <c r="X88" t="s">
        <v>190</v>
      </c>
      <c r="Y88" t="s">
        <v>1040</v>
      </c>
      <c r="Z88">
        <v>1</v>
      </c>
      <c r="AA88" t="s">
        <v>186</v>
      </c>
    </row>
    <row r="89" spans="1:27" ht="15" customHeight="1">
      <c r="A89">
        <v>75</v>
      </c>
      <c r="B89" s="139">
        <v>46175.817928240736</v>
      </c>
      <c r="C89" s="139">
        <v>46175.840092592603</v>
      </c>
      <c r="D89" t="s">
        <v>529</v>
      </c>
      <c r="E89" t="s">
        <v>530</v>
      </c>
      <c r="F89" t="s">
        <v>530</v>
      </c>
      <c r="G89" t="s">
        <v>531</v>
      </c>
      <c r="H89" s="139">
        <v>46149</v>
      </c>
      <c r="I89" t="s">
        <v>427</v>
      </c>
      <c r="J89" t="s">
        <v>174</v>
      </c>
      <c r="L89" t="s">
        <v>532</v>
      </c>
      <c r="N89" t="s">
        <v>548</v>
      </c>
      <c r="O89" t="s">
        <v>190</v>
      </c>
      <c r="P89" t="s">
        <v>196</v>
      </c>
      <c r="Q89" t="s">
        <v>109</v>
      </c>
      <c r="R89" t="s">
        <v>24</v>
      </c>
      <c r="S89" t="s">
        <v>149</v>
      </c>
      <c r="T89" t="s">
        <v>181</v>
      </c>
      <c r="V89" t="s">
        <v>116</v>
      </c>
      <c r="W89" t="s">
        <v>130</v>
      </c>
      <c r="X89" t="s">
        <v>190</v>
      </c>
      <c r="Y89" t="s">
        <v>1042</v>
      </c>
      <c r="Z89">
        <v>1</v>
      </c>
      <c r="AA89" t="s">
        <v>186</v>
      </c>
    </row>
    <row r="90" spans="1:27" ht="15" customHeight="1">
      <c r="A90">
        <v>75</v>
      </c>
      <c r="B90" s="139">
        <v>46175.817928240736</v>
      </c>
      <c r="C90" s="139">
        <v>46175.840092592603</v>
      </c>
      <c r="D90" t="s">
        <v>529</v>
      </c>
      <c r="E90" t="s">
        <v>530</v>
      </c>
      <c r="F90" t="s">
        <v>530</v>
      </c>
      <c r="G90" t="s">
        <v>531</v>
      </c>
      <c r="H90" s="139">
        <v>46149</v>
      </c>
      <c r="I90" t="s">
        <v>427</v>
      </c>
      <c r="J90" t="s">
        <v>174</v>
      </c>
      <c r="L90" t="s">
        <v>532</v>
      </c>
      <c r="N90" t="s">
        <v>548</v>
      </c>
      <c r="O90" t="s">
        <v>190</v>
      </c>
      <c r="P90" t="s">
        <v>196</v>
      </c>
      <c r="Q90" t="s">
        <v>109</v>
      </c>
      <c r="R90" t="s">
        <v>24</v>
      </c>
      <c r="S90" t="s">
        <v>149</v>
      </c>
      <c r="T90" t="s">
        <v>181</v>
      </c>
      <c r="V90" t="s">
        <v>116</v>
      </c>
      <c r="W90" t="s">
        <v>130</v>
      </c>
      <c r="X90" t="s">
        <v>190</v>
      </c>
      <c r="Y90" t="s">
        <v>1044</v>
      </c>
      <c r="Z90">
        <v>1</v>
      </c>
      <c r="AA90" t="s">
        <v>186</v>
      </c>
    </row>
    <row r="91" spans="1:27" ht="15" customHeight="1">
      <c r="A91">
        <v>106</v>
      </c>
      <c r="B91" s="139">
        <v>46178.615474537037</v>
      </c>
      <c r="C91" s="139">
        <v>46178.621481481481</v>
      </c>
      <c r="D91" t="s">
        <v>131</v>
      </c>
      <c r="E91" t="s">
        <v>132</v>
      </c>
      <c r="F91" t="s">
        <v>133</v>
      </c>
      <c r="G91" t="s">
        <v>134</v>
      </c>
      <c r="H91" s="139">
        <v>46149</v>
      </c>
      <c r="I91" t="s">
        <v>136</v>
      </c>
      <c r="J91" t="s">
        <v>161</v>
      </c>
      <c r="M91" t="s">
        <v>682</v>
      </c>
      <c r="N91" t="s">
        <v>683</v>
      </c>
      <c r="O91" t="s">
        <v>160</v>
      </c>
      <c r="P91" t="s">
        <v>108</v>
      </c>
      <c r="Q91" t="s">
        <v>109</v>
      </c>
      <c r="R91" t="s">
        <v>22</v>
      </c>
      <c r="S91" t="s">
        <v>149</v>
      </c>
      <c r="T91" t="s">
        <v>181</v>
      </c>
      <c r="V91" t="s">
        <v>129</v>
      </c>
      <c r="W91" t="s">
        <v>130</v>
      </c>
      <c r="X91" t="s">
        <v>146</v>
      </c>
      <c r="Y91" t="s">
        <v>1040</v>
      </c>
      <c r="Z91">
        <v>1</v>
      </c>
      <c r="AA91" t="s">
        <v>186</v>
      </c>
    </row>
    <row r="92" spans="1:27" ht="15" customHeight="1">
      <c r="A92">
        <v>106</v>
      </c>
      <c r="B92" s="139">
        <v>46178.615474537037</v>
      </c>
      <c r="C92" s="139">
        <v>46178.621481481481</v>
      </c>
      <c r="D92" t="s">
        <v>131</v>
      </c>
      <c r="E92" t="s">
        <v>132</v>
      </c>
      <c r="F92" t="s">
        <v>133</v>
      </c>
      <c r="G92" t="s">
        <v>134</v>
      </c>
      <c r="H92" s="139">
        <v>46149</v>
      </c>
      <c r="I92" t="s">
        <v>136</v>
      </c>
      <c r="J92" t="s">
        <v>161</v>
      </c>
      <c r="M92" t="s">
        <v>682</v>
      </c>
      <c r="N92" t="s">
        <v>683</v>
      </c>
      <c r="O92" t="s">
        <v>160</v>
      </c>
      <c r="P92" t="s">
        <v>108</v>
      </c>
      <c r="Q92" t="s">
        <v>109</v>
      </c>
      <c r="R92" t="s">
        <v>22</v>
      </c>
      <c r="S92" t="s">
        <v>149</v>
      </c>
      <c r="T92" t="s">
        <v>181</v>
      </c>
      <c r="V92" t="s">
        <v>129</v>
      </c>
      <c r="W92" t="s">
        <v>130</v>
      </c>
      <c r="X92" t="s">
        <v>146</v>
      </c>
      <c r="Y92" t="s">
        <v>1042</v>
      </c>
      <c r="Z92">
        <v>1</v>
      </c>
      <c r="AA92" t="s">
        <v>1112</v>
      </c>
    </row>
    <row r="93" spans="1:27" ht="15" customHeight="1">
      <c r="A93">
        <v>106</v>
      </c>
      <c r="B93" s="139">
        <v>46178.615474537037</v>
      </c>
      <c r="C93" s="139">
        <v>46178.621481481481</v>
      </c>
      <c r="D93" t="s">
        <v>131</v>
      </c>
      <c r="E93" t="s">
        <v>132</v>
      </c>
      <c r="F93" t="s">
        <v>133</v>
      </c>
      <c r="G93" t="s">
        <v>134</v>
      </c>
      <c r="H93" s="139">
        <v>46149</v>
      </c>
      <c r="I93" t="s">
        <v>136</v>
      </c>
      <c r="J93" t="s">
        <v>161</v>
      </c>
      <c r="M93" t="s">
        <v>682</v>
      </c>
      <c r="N93" t="s">
        <v>683</v>
      </c>
      <c r="O93" t="s">
        <v>160</v>
      </c>
      <c r="P93" t="s">
        <v>108</v>
      </c>
      <c r="Q93" t="s">
        <v>109</v>
      </c>
      <c r="R93" t="s">
        <v>22</v>
      </c>
      <c r="S93" t="s">
        <v>149</v>
      </c>
      <c r="T93" t="s">
        <v>181</v>
      </c>
      <c r="V93" t="s">
        <v>129</v>
      </c>
      <c r="W93" t="s">
        <v>130</v>
      </c>
      <c r="X93" t="s">
        <v>146</v>
      </c>
      <c r="Y93" t="s">
        <v>1044</v>
      </c>
      <c r="Z93">
        <v>1</v>
      </c>
      <c r="AA93" t="s">
        <v>1113</v>
      </c>
    </row>
    <row r="94" spans="1:27" ht="15" customHeight="1">
      <c r="A94">
        <v>121</v>
      </c>
      <c r="B94" s="139">
        <v>46178.84003472222</v>
      </c>
      <c r="C94" s="139">
        <v>46178.841412037043</v>
      </c>
      <c r="D94" t="s">
        <v>270</v>
      </c>
      <c r="E94" t="s">
        <v>271</v>
      </c>
      <c r="F94" t="s">
        <v>272</v>
      </c>
      <c r="G94" t="s">
        <v>273</v>
      </c>
      <c r="H94" s="139">
        <v>46149</v>
      </c>
      <c r="I94" t="s">
        <v>136</v>
      </c>
      <c r="J94" t="s">
        <v>187</v>
      </c>
      <c r="K94" t="s">
        <v>188</v>
      </c>
      <c r="N94" t="s">
        <v>740</v>
      </c>
      <c r="O94" t="s">
        <v>122</v>
      </c>
      <c r="P94" t="s">
        <v>108</v>
      </c>
      <c r="Q94" t="s">
        <v>123</v>
      </c>
      <c r="R94" t="s">
        <v>22</v>
      </c>
      <c r="S94" t="s">
        <v>149</v>
      </c>
      <c r="T94" t="s">
        <v>181</v>
      </c>
      <c r="U94" t="s">
        <v>743</v>
      </c>
      <c r="V94" t="s">
        <v>129</v>
      </c>
      <c r="W94" t="s">
        <v>130</v>
      </c>
      <c r="X94" t="s">
        <v>329</v>
      </c>
      <c r="Y94" t="s">
        <v>1040</v>
      </c>
      <c r="Z94">
        <v>1</v>
      </c>
      <c r="AA94" t="s">
        <v>1046</v>
      </c>
    </row>
    <row r="95" spans="1:27" ht="15" customHeight="1">
      <c r="A95">
        <v>121</v>
      </c>
      <c r="B95" s="139">
        <v>46178.84003472222</v>
      </c>
      <c r="C95" s="139">
        <v>46178.841412037043</v>
      </c>
      <c r="D95" t="s">
        <v>270</v>
      </c>
      <c r="E95" t="s">
        <v>271</v>
      </c>
      <c r="F95" t="s">
        <v>272</v>
      </c>
      <c r="G95" t="s">
        <v>273</v>
      </c>
      <c r="H95" s="139">
        <v>46149</v>
      </c>
      <c r="I95" t="s">
        <v>136</v>
      </c>
      <c r="J95" t="s">
        <v>187</v>
      </c>
      <c r="K95" t="s">
        <v>188</v>
      </c>
      <c r="N95" t="s">
        <v>740</v>
      </c>
      <c r="O95" t="s">
        <v>122</v>
      </c>
      <c r="P95" t="s">
        <v>108</v>
      </c>
      <c r="Q95" t="s">
        <v>123</v>
      </c>
      <c r="R95" t="s">
        <v>22</v>
      </c>
      <c r="S95" t="s">
        <v>149</v>
      </c>
      <c r="T95" t="s">
        <v>181</v>
      </c>
      <c r="U95" t="s">
        <v>743</v>
      </c>
      <c r="V95" t="s">
        <v>129</v>
      </c>
      <c r="W95" t="s">
        <v>130</v>
      </c>
      <c r="X95" t="s">
        <v>329</v>
      </c>
      <c r="Y95" t="s">
        <v>1042</v>
      </c>
      <c r="Z95">
        <v>1</v>
      </c>
      <c r="AA95" t="s">
        <v>1047</v>
      </c>
    </row>
    <row r="96" spans="1:27" ht="15" customHeight="1">
      <c r="A96">
        <v>121</v>
      </c>
      <c r="B96" s="139">
        <v>46178.84003472222</v>
      </c>
      <c r="C96" s="139">
        <v>46178.841412037043</v>
      </c>
      <c r="D96" t="s">
        <v>270</v>
      </c>
      <c r="E96" t="s">
        <v>271</v>
      </c>
      <c r="F96" t="s">
        <v>272</v>
      </c>
      <c r="G96" t="s">
        <v>273</v>
      </c>
      <c r="H96" s="139">
        <v>46149</v>
      </c>
      <c r="I96" t="s">
        <v>136</v>
      </c>
      <c r="J96" t="s">
        <v>187</v>
      </c>
      <c r="K96" t="s">
        <v>188</v>
      </c>
      <c r="N96" t="s">
        <v>740</v>
      </c>
      <c r="O96" t="s">
        <v>122</v>
      </c>
      <c r="P96" t="s">
        <v>108</v>
      </c>
      <c r="Q96" t="s">
        <v>123</v>
      </c>
      <c r="R96" t="s">
        <v>22</v>
      </c>
      <c r="S96" t="s">
        <v>149</v>
      </c>
      <c r="T96" t="s">
        <v>181</v>
      </c>
      <c r="U96" t="s">
        <v>743</v>
      </c>
      <c r="V96" t="s">
        <v>129</v>
      </c>
      <c r="W96" t="s">
        <v>130</v>
      </c>
      <c r="X96" t="s">
        <v>329</v>
      </c>
      <c r="Y96" t="s">
        <v>1044</v>
      </c>
      <c r="Z96">
        <v>1</v>
      </c>
      <c r="AA96" t="s">
        <v>1114</v>
      </c>
    </row>
    <row r="97" spans="1:27" ht="15" customHeight="1">
      <c r="A97">
        <v>4</v>
      </c>
      <c r="B97" s="139">
        <v>46167.482164351852</v>
      </c>
      <c r="C97" s="139">
        <v>46167.487592592603</v>
      </c>
      <c r="D97" t="s">
        <v>131</v>
      </c>
      <c r="E97" t="s">
        <v>132</v>
      </c>
      <c r="F97" t="s">
        <v>133</v>
      </c>
      <c r="G97" t="s">
        <v>134</v>
      </c>
      <c r="H97" s="139">
        <v>46150</v>
      </c>
      <c r="I97" t="s">
        <v>136</v>
      </c>
      <c r="M97" t="s">
        <v>145</v>
      </c>
      <c r="N97" t="s">
        <v>138</v>
      </c>
      <c r="O97" t="s">
        <v>107</v>
      </c>
      <c r="P97" t="s">
        <v>108</v>
      </c>
      <c r="Q97" t="s">
        <v>109</v>
      </c>
      <c r="R97" t="s">
        <v>22</v>
      </c>
      <c r="S97" t="s">
        <v>149</v>
      </c>
      <c r="T97" t="s">
        <v>150</v>
      </c>
      <c r="V97" t="s">
        <v>151</v>
      </c>
      <c r="W97" t="s">
        <v>130</v>
      </c>
      <c r="X97" t="s">
        <v>146</v>
      </c>
      <c r="Y97" t="s">
        <v>1040</v>
      </c>
      <c r="Z97">
        <v>1</v>
      </c>
      <c r="AA97" t="s">
        <v>186</v>
      </c>
    </row>
    <row r="98" spans="1:27" ht="15" customHeight="1">
      <c r="A98">
        <v>4</v>
      </c>
      <c r="B98" s="139">
        <v>46167.482164351852</v>
      </c>
      <c r="C98" s="139">
        <v>46167.487592592603</v>
      </c>
      <c r="D98" t="s">
        <v>131</v>
      </c>
      <c r="E98" t="s">
        <v>132</v>
      </c>
      <c r="F98" t="s">
        <v>133</v>
      </c>
      <c r="G98" t="s">
        <v>134</v>
      </c>
      <c r="H98" s="139">
        <v>46150</v>
      </c>
      <c r="I98" t="s">
        <v>136</v>
      </c>
      <c r="M98" t="s">
        <v>145</v>
      </c>
      <c r="N98" t="s">
        <v>138</v>
      </c>
      <c r="O98" t="s">
        <v>107</v>
      </c>
      <c r="P98" t="s">
        <v>108</v>
      </c>
      <c r="Q98" t="s">
        <v>109</v>
      </c>
      <c r="R98" t="s">
        <v>22</v>
      </c>
      <c r="S98" t="s">
        <v>149</v>
      </c>
      <c r="T98" t="s">
        <v>150</v>
      </c>
      <c r="V98" t="s">
        <v>151</v>
      </c>
      <c r="W98" t="s">
        <v>130</v>
      </c>
      <c r="X98" t="s">
        <v>146</v>
      </c>
      <c r="Y98" t="s">
        <v>1042</v>
      </c>
      <c r="Z98">
        <v>1</v>
      </c>
      <c r="AA98" t="s">
        <v>1112</v>
      </c>
    </row>
    <row r="99" spans="1:27" ht="15" customHeight="1">
      <c r="A99">
        <v>4</v>
      </c>
      <c r="B99" s="139">
        <v>46167.482164351852</v>
      </c>
      <c r="C99" s="139">
        <v>46167.487592592603</v>
      </c>
      <c r="D99" t="s">
        <v>131</v>
      </c>
      <c r="E99" t="s">
        <v>132</v>
      </c>
      <c r="F99" t="s">
        <v>133</v>
      </c>
      <c r="G99" t="s">
        <v>134</v>
      </c>
      <c r="H99" s="139">
        <v>46150</v>
      </c>
      <c r="I99" t="s">
        <v>136</v>
      </c>
      <c r="M99" t="s">
        <v>145</v>
      </c>
      <c r="N99" t="s">
        <v>138</v>
      </c>
      <c r="O99" t="s">
        <v>107</v>
      </c>
      <c r="P99" t="s">
        <v>108</v>
      </c>
      <c r="Q99" t="s">
        <v>109</v>
      </c>
      <c r="R99" t="s">
        <v>22</v>
      </c>
      <c r="S99" t="s">
        <v>149</v>
      </c>
      <c r="T99" t="s">
        <v>150</v>
      </c>
      <c r="V99" t="s">
        <v>151</v>
      </c>
      <c r="W99" t="s">
        <v>130</v>
      </c>
      <c r="X99" t="s">
        <v>146</v>
      </c>
      <c r="Y99" t="s">
        <v>1044</v>
      </c>
      <c r="Z99">
        <v>1</v>
      </c>
      <c r="AA99" t="s">
        <v>1115</v>
      </c>
    </row>
    <row r="100" spans="1:27" ht="15" customHeight="1">
      <c r="A100">
        <v>19</v>
      </c>
      <c r="B100" s="139">
        <v>46168.350370370368</v>
      </c>
      <c r="C100" s="139">
        <v>46168.354155092587</v>
      </c>
      <c r="D100" t="s">
        <v>118</v>
      </c>
      <c r="E100" t="s">
        <v>119</v>
      </c>
      <c r="F100" t="s">
        <v>247</v>
      </c>
      <c r="G100" t="s">
        <v>121</v>
      </c>
      <c r="H100" s="139">
        <v>46150</v>
      </c>
      <c r="I100" t="s">
        <v>136</v>
      </c>
      <c r="J100" t="s">
        <v>161</v>
      </c>
      <c r="M100" t="s">
        <v>249</v>
      </c>
      <c r="N100" t="s">
        <v>250</v>
      </c>
      <c r="O100" t="s">
        <v>135</v>
      </c>
      <c r="P100" t="s">
        <v>108</v>
      </c>
      <c r="Q100" t="s">
        <v>248</v>
      </c>
      <c r="R100" t="s">
        <v>23</v>
      </c>
      <c r="S100" t="s">
        <v>149</v>
      </c>
      <c r="T100" t="s">
        <v>181</v>
      </c>
      <c r="V100" t="s">
        <v>129</v>
      </c>
      <c r="W100" t="s">
        <v>130</v>
      </c>
      <c r="X100" t="s">
        <v>252</v>
      </c>
      <c r="Y100" t="s">
        <v>1039</v>
      </c>
      <c r="Z100">
        <v>1</v>
      </c>
      <c r="AA100" t="s">
        <v>251</v>
      </c>
    </row>
    <row r="101" spans="1:27" ht="15" customHeight="1">
      <c r="A101">
        <v>20</v>
      </c>
      <c r="B101" s="139">
        <v>46168.354247685187</v>
      </c>
      <c r="C101" s="139">
        <v>46168.357372685183</v>
      </c>
      <c r="D101" t="s">
        <v>118</v>
      </c>
      <c r="E101" t="s">
        <v>119</v>
      </c>
      <c r="F101" t="s">
        <v>247</v>
      </c>
      <c r="G101" t="s">
        <v>121</v>
      </c>
      <c r="H101" s="139">
        <v>46150</v>
      </c>
      <c r="I101" t="s">
        <v>136</v>
      </c>
      <c r="J101" t="s">
        <v>187</v>
      </c>
      <c r="K101" t="s">
        <v>254</v>
      </c>
      <c r="N101" t="s">
        <v>255</v>
      </c>
      <c r="O101" t="s">
        <v>135</v>
      </c>
      <c r="P101" t="s">
        <v>108</v>
      </c>
      <c r="Q101" t="s">
        <v>109</v>
      </c>
      <c r="R101" t="s">
        <v>25</v>
      </c>
      <c r="S101" t="s">
        <v>149</v>
      </c>
      <c r="T101" t="s">
        <v>181</v>
      </c>
      <c r="V101" t="s">
        <v>129</v>
      </c>
      <c r="W101" t="s">
        <v>130</v>
      </c>
      <c r="X101" t="s">
        <v>256</v>
      </c>
      <c r="Y101" t="s">
        <v>1040</v>
      </c>
      <c r="Z101">
        <v>1</v>
      </c>
      <c r="AA101" t="s">
        <v>715</v>
      </c>
    </row>
    <row r="102" spans="1:27" ht="15" customHeight="1">
      <c r="A102">
        <v>20</v>
      </c>
      <c r="B102" s="139">
        <v>46168.354247685187</v>
      </c>
      <c r="C102" s="139">
        <v>46168.357372685183</v>
      </c>
      <c r="D102" t="s">
        <v>118</v>
      </c>
      <c r="E102" t="s">
        <v>119</v>
      </c>
      <c r="F102" t="s">
        <v>247</v>
      </c>
      <c r="G102" t="s">
        <v>121</v>
      </c>
      <c r="H102" s="139">
        <v>46150</v>
      </c>
      <c r="I102" t="s">
        <v>136</v>
      </c>
      <c r="J102" t="s">
        <v>187</v>
      </c>
      <c r="K102" t="s">
        <v>254</v>
      </c>
      <c r="N102" t="s">
        <v>255</v>
      </c>
      <c r="O102" t="s">
        <v>135</v>
      </c>
      <c r="P102" t="s">
        <v>108</v>
      </c>
      <c r="Q102" t="s">
        <v>109</v>
      </c>
      <c r="R102" t="s">
        <v>25</v>
      </c>
      <c r="S102" t="s">
        <v>149</v>
      </c>
      <c r="T102" t="s">
        <v>181</v>
      </c>
      <c r="V102" t="s">
        <v>129</v>
      </c>
      <c r="W102" t="s">
        <v>130</v>
      </c>
      <c r="X102" t="s">
        <v>256</v>
      </c>
      <c r="Y102" t="s">
        <v>1042</v>
      </c>
      <c r="Z102">
        <v>1</v>
      </c>
      <c r="AA102" t="s">
        <v>1053</v>
      </c>
    </row>
    <row r="103" spans="1:27" ht="15" customHeight="1">
      <c r="A103">
        <v>20</v>
      </c>
      <c r="B103" s="139">
        <v>46168.354247685187</v>
      </c>
      <c r="C103" s="139">
        <v>46168.357372685183</v>
      </c>
      <c r="D103" t="s">
        <v>118</v>
      </c>
      <c r="E103" t="s">
        <v>119</v>
      </c>
      <c r="F103" t="s">
        <v>247</v>
      </c>
      <c r="G103" t="s">
        <v>121</v>
      </c>
      <c r="H103" s="139">
        <v>46150</v>
      </c>
      <c r="I103" t="s">
        <v>136</v>
      </c>
      <c r="J103" t="s">
        <v>187</v>
      </c>
      <c r="K103" t="s">
        <v>254</v>
      </c>
      <c r="N103" t="s">
        <v>255</v>
      </c>
      <c r="O103" t="s">
        <v>135</v>
      </c>
      <c r="P103" t="s">
        <v>108</v>
      </c>
      <c r="Q103" t="s">
        <v>109</v>
      </c>
      <c r="R103" t="s">
        <v>25</v>
      </c>
      <c r="S103" t="s">
        <v>149</v>
      </c>
      <c r="T103" t="s">
        <v>181</v>
      </c>
      <c r="V103" t="s">
        <v>129</v>
      </c>
      <c r="W103" t="s">
        <v>130</v>
      </c>
      <c r="X103" t="s">
        <v>256</v>
      </c>
      <c r="Y103" t="s">
        <v>1044</v>
      </c>
      <c r="Z103">
        <v>1</v>
      </c>
      <c r="AA103" t="s">
        <v>1116</v>
      </c>
    </row>
    <row r="104" spans="1:27" ht="15" customHeight="1">
      <c r="A104">
        <v>26</v>
      </c>
      <c r="B104" s="139">
        <v>46168.516828703701</v>
      </c>
      <c r="C104" s="139">
        <v>46168.519884259258</v>
      </c>
      <c r="D104" t="s">
        <v>131</v>
      </c>
      <c r="E104" t="s">
        <v>132</v>
      </c>
      <c r="F104" t="s">
        <v>133</v>
      </c>
      <c r="G104" t="s">
        <v>134</v>
      </c>
      <c r="H104" s="139">
        <v>46150</v>
      </c>
      <c r="I104" t="s">
        <v>136</v>
      </c>
      <c r="J104" t="s">
        <v>174</v>
      </c>
      <c r="L104" t="s">
        <v>285</v>
      </c>
      <c r="N104" t="s">
        <v>286</v>
      </c>
      <c r="O104" t="s">
        <v>107</v>
      </c>
      <c r="P104" t="s">
        <v>108</v>
      </c>
      <c r="Q104" t="s">
        <v>109</v>
      </c>
      <c r="R104" t="s">
        <v>22</v>
      </c>
      <c r="S104" t="s">
        <v>149</v>
      </c>
      <c r="T104" t="s">
        <v>290</v>
      </c>
      <c r="U104" t="s">
        <v>291</v>
      </c>
      <c r="V104" t="s">
        <v>129</v>
      </c>
      <c r="W104" t="s">
        <v>130</v>
      </c>
      <c r="X104" t="s">
        <v>199</v>
      </c>
      <c r="Y104" t="s">
        <v>1040</v>
      </c>
      <c r="Z104">
        <v>1</v>
      </c>
      <c r="AA104" t="s">
        <v>1117</v>
      </c>
    </row>
    <row r="105" spans="1:27" ht="15" customHeight="1">
      <c r="A105">
        <v>26</v>
      </c>
      <c r="B105" s="139">
        <v>46168.516828703701</v>
      </c>
      <c r="C105" s="139">
        <v>46168.519884259258</v>
      </c>
      <c r="D105" t="s">
        <v>131</v>
      </c>
      <c r="E105" t="s">
        <v>132</v>
      </c>
      <c r="F105" t="s">
        <v>133</v>
      </c>
      <c r="G105" t="s">
        <v>134</v>
      </c>
      <c r="H105" s="139">
        <v>46150</v>
      </c>
      <c r="I105" t="s">
        <v>136</v>
      </c>
      <c r="J105" t="s">
        <v>174</v>
      </c>
      <c r="L105" t="s">
        <v>285</v>
      </c>
      <c r="N105" t="s">
        <v>286</v>
      </c>
      <c r="O105" t="s">
        <v>107</v>
      </c>
      <c r="P105" t="s">
        <v>108</v>
      </c>
      <c r="Q105" t="s">
        <v>109</v>
      </c>
      <c r="R105" t="s">
        <v>22</v>
      </c>
      <c r="S105" t="s">
        <v>149</v>
      </c>
      <c r="T105" t="s">
        <v>290</v>
      </c>
      <c r="U105" t="s">
        <v>291</v>
      </c>
      <c r="V105" t="s">
        <v>129</v>
      </c>
      <c r="W105" t="s">
        <v>130</v>
      </c>
      <c r="X105" t="s">
        <v>199</v>
      </c>
      <c r="Y105" t="s">
        <v>1042</v>
      </c>
      <c r="Z105">
        <v>1</v>
      </c>
      <c r="AA105" t="s">
        <v>1089</v>
      </c>
    </row>
    <row r="106" spans="1:27" ht="15" customHeight="1">
      <c r="A106">
        <v>26</v>
      </c>
      <c r="B106" s="139">
        <v>46168.516828703701</v>
      </c>
      <c r="C106" s="139">
        <v>46168.519884259258</v>
      </c>
      <c r="D106" t="s">
        <v>131</v>
      </c>
      <c r="E106" t="s">
        <v>132</v>
      </c>
      <c r="F106" t="s">
        <v>133</v>
      </c>
      <c r="G106" t="s">
        <v>134</v>
      </c>
      <c r="H106" s="139">
        <v>46150</v>
      </c>
      <c r="I106" t="s">
        <v>136</v>
      </c>
      <c r="J106" t="s">
        <v>174</v>
      </c>
      <c r="L106" t="s">
        <v>285</v>
      </c>
      <c r="N106" t="s">
        <v>286</v>
      </c>
      <c r="O106" t="s">
        <v>107</v>
      </c>
      <c r="P106" t="s">
        <v>108</v>
      </c>
      <c r="Q106" t="s">
        <v>109</v>
      </c>
      <c r="R106" t="s">
        <v>22</v>
      </c>
      <c r="S106" t="s">
        <v>149</v>
      </c>
      <c r="T106" t="s">
        <v>290</v>
      </c>
      <c r="U106" t="s">
        <v>291</v>
      </c>
      <c r="V106" t="s">
        <v>129</v>
      </c>
      <c r="W106" t="s">
        <v>130</v>
      </c>
      <c r="X106" t="s">
        <v>199</v>
      </c>
      <c r="Y106" t="s">
        <v>1044</v>
      </c>
      <c r="Z106">
        <v>1</v>
      </c>
      <c r="AA106" t="s">
        <v>1118</v>
      </c>
    </row>
    <row r="107" spans="1:27" ht="15" customHeight="1">
      <c r="A107">
        <v>64</v>
      </c>
      <c r="B107" s="139">
        <v>46175.626481481479</v>
      </c>
      <c r="C107" s="139">
        <v>46175.627800925933</v>
      </c>
      <c r="D107" t="s">
        <v>468</v>
      </c>
      <c r="E107" t="s">
        <v>469</v>
      </c>
      <c r="F107" t="s">
        <v>469</v>
      </c>
      <c r="G107" t="s">
        <v>471</v>
      </c>
      <c r="H107" s="139">
        <v>46150</v>
      </c>
      <c r="I107" t="s">
        <v>472</v>
      </c>
      <c r="J107" t="s">
        <v>161</v>
      </c>
      <c r="M107" t="s">
        <v>486</v>
      </c>
      <c r="N107" t="s">
        <v>491</v>
      </c>
      <c r="O107" t="s">
        <v>490</v>
      </c>
      <c r="P107" t="s">
        <v>108</v>
      </c>
      <c r="Q107" t="s">
        <v>109</v>
      </c>
      <c r="R107" t="s">
        <v>22</v>
      </c>
      <c r="S107" t="s">
        <v>149</v>
      </c>
      <c r="T107" t="s">
        <v>226</v>
      </c>
      <c r="V107" t="s">
        <v>116</v>
      </c>
      <c r="W107" t="s">
        <v>169</v>
      </c>
      <c r="X107" t="s">
        <v>199</v>
      </c>
      <c r="Y107" t="s">
        <v>1040</v>
      </c>
      <c r="Z107">
        <v>1</v>
      </c>
      <c r="AA107" t="s">
        <v>1119</v>
      </c>
    </row>
    <row r="108" spans="1:27" ht="27.75" customHeight="1">
      <c r="A108">
        <v>64</v>
      </c>
      <c r="B108" s="139">
        <v>46175.626481481479</v>
      </c>
      <c r="C108" s="139">
        <v>46175.627800925933</v>
      </c>
      <c r="D108" t="s">
        <v>468</v>
      </c>
      <c r="E108" t="s">
        <v>469</v>
      </c>
      <c r="F108" t="s">
        <v>469</v>
      </c>
      <c r="G108" t="s">
        <v>471</v>
      </c>
      <c r="H108" s="139">
        <v>46150</v>
      </c>
      <c r="I108" t="s">
        <v>472</v>
      </c>
      <c r="J108" t="s">
        <v>161</v>
      </c>
      <c r="M108" t="s">
        <v>486</v>
      </c>
      <c r="N108" t="s">
        <v>491</v>
      </c>
      <c r="O108" t="s">
        <v>490</v>
      </c>
      <c r="P108" t="s">
        <v>108</v>
      </c>
      <c r="Q108" t="s">
        <v>109</v>
      </c>
      <c r="R108" t="s">
        <v>22</v>
      </c>
      <c r="S108" t="s">
        <v>149</v>
      </c>
      <c r="T108" t="s">
        <v>226</v>
      </c>
      <c r="V108" t="s">
        <v>116</v>
      </c>
      <c r="W108" t="s">
        <v>169</v>
      </c>
      <c r="X108" t="s">
        <v>199</v>
      </c>
      <c r="Y108" t="s">
        <v>1040</v>
      </c>
      <c r="Z108">
        <v>2</v>
      </c>
      <c r="AA108" t="s">
        <v>1088</v>
      </c>
    </row>
    <row r="109" spans="1:27" ht="27.75" customHeight="1">
      <c r="A109">
        <v>64</v>
      </c>
      <c r="B109" s="139">
        <v>46175.626481481479</v>
      </c>
      <c r="C109" s="139">
        <v>46175.627800925933</v>
      </c>
      <c r="D109" t="s">
        <v>468</v>
      </c>
      <c r="E109" t="s">
        <v>469</v>
      </c>
      <c r="F109" t="s">
        <v>469</v>
      </c>
      <c r="G109" t="s">
        <v>471</v>
      </c>
      <c r="H109" s="139">
        <v>46150</v>
      </c>
      <c r="I109" t="s">
        <v>472</v>
      </c>
      <c r="J109" t="s">
        <v>161</v>
      </c>
      <c r="M109" t="s">
        <v>486</v>
      </c>
      <c r="N109" t="s">
        <v>491</v>
      </c>
      <c r="O109" t="s">
        <v>490</v>
      </c>
      <c r="P109" t="s">
        <v>108</v>
      </c>
      <c r="Q109" t="s">
        <v>109</v>
      </c>
      <c r="R109" t="s">
        <v>22</v>
      </c>
      <c r="S109" t="s">
        <v>149</v>
      </c>
      <c r="T109" t="s">
        <v>226</v>
      </c>
      <c r="V109" t="s">
        <v>116</v>
      </c>
      <c r="W109" t="s">
        <v>169</v>
      </c>
      <c r="X109" t="s">
        <v>199</v>
      </c>
      <c r="Y109" t="s">
        <v>1040</v>
      </c>
      <c r="Z109">
        <v>3</v>
      </c>
      <c r="AA109" t="s">
        <v>1117</v>
      </c>
    </row>
    <row r="110" spans="1:27" ht="27.75" customHeight="1">
      <c r="A110">
        <v>64</v>
      </c>
      <c r="B110" s="139">
        <v>46175.626481481479</v>
      </c>
      <c r="C110" s="139">
        <v>46175.627800925933</v>
      </c>
      <c r="D110" t="s">
        <v>468</v>
      </c>
      <c r="E110" t="s">
        <v>469</v>
      </c>
      <c r="F110" t="s">
        <v>469</v>
      </c>
      <c r="G110" t="s">
        <v>471</v>
      </c>
      <c r="H110" s="139">
        <v>46150</v>
      </c>
      <c r="I110" t="s">
        <v>472</v>
      </c>
      <c r="J110" t="s">
        <v>161</v>
      </c>
      <c r="M110" t="s">
        <v>486</v>
      </c>
      <c r="N110" t="s">
        <v>491</v>
      </c>
      <c r="O110" t="s">
        <v>490</v>
      </c>
      <c r="P110" t="s">
        <v>108</v>
      </c>
      <c r="Q110" t="s">
        <v>109</v>
      </c>
      <c r="R110" t="s">
        <v>22</v>
      </c>
      <c r="S110" t="s">
        <v>149</v>
      </c>
      <c r="T110" t="s">
        <v>226</v>
      </c>
      <c r="V110" t="s">
        <v>116</v>
      </c>
      <c r="W110" t="s">
        <v>169</v>
      </c>
      <c r="X110" t="s">
        <v>199</v>
      </c>
      <c r="Y110" t="s">
        <v>1042</v>
      </c>
      <c r="Z110">
        <v>1</v>
      </c>
      <c r="AA110" t="s">
        <v>1120</v>
      </c>
    </row>
    <row r="111" spans="1:27" ht="15" customHeight="1">
      <c r="A111">
        <v>64</v>
      </c>
      <c r="B111" s="139">
        <v>46175.626481481479</v>
      </c>
      <c r="C111" s="139">
        <v>46175.627800925933</v>
      </c>
      <c r="D111" t="s">
        <v>468</v>
      </c>
      <c r="E111" t="s">
        <v>469</v>
      </c>
      <c r="F111" t="s">
        <v>469</v>
      </c>
      <c r="G111" t="s">
        <v>471</v>
      </c>
      <c r="H111" s="139">
        <v>46150</v>
      </c>
      <c r="I111" t="s">
        <v>472</v>
      </c>
      <c r="J111" t="s">
        <v>161</v>
      </c>
      <c r="M111" t="s">
        <v>486</v>
      </c>
      <c r="N111" t="s">
        <v>491</v>
      </c>
      <c r="O111" t="s">
        <v>490</v>
      </c>
      <c r="P111" t="s">
        <v>108</v>
      </c>
      <c r="Q111" t="s">
        <v>109</v>
      </c>
      <c r="R111" t="s">
        <v>22</v>
      </c>
      <c r="S111" t="s">
        <v>149</v>
      </c>
      <c r="T111" t="s">
        <v>226</v>
      </c>
      <c r="V111" t="s">
        <v>116</v>
      </c>
      <c r="W111" t="s">
        <v>169</v>
      </c>
      <c r="X111" t="s">
        <v>199</v>
      </c>
      <c r="Y111" t="s">
        <v>1042</v>
      </c>
      <c r="Z111">
        <v>2</v>
      </c>
      <c r="AA111" t="s">
        <v>1089</v>
      </c>
    </row>
    <row r="112" spans="1:27" ht="15" customHeight="1">
      <c r="A112">
        <v>64</v>
      </c>
      <c r="B112" s="139">
        <v>46175.626481481479</v>
      </c>
      <c r="C112" s="139">
        <v>46175.627800925933</v>
      </c>
      <c r="D112" t="s">
        <v>468</v>
      </c>
      <c r="E112" t="s">
        <v>469</v>
      </c>
      <c r="F112" t="s">
        <v>469</v>
      </c>
      <c r="G112" t="s">
        <v>471</v>
      </c>
      <c r="H112" s="139">
        <v>46150</v>
      </c>
      <c r="I112" t="s">
        <v>472</v>
      </c>
      <c r="J112" t="s">
        <v>161</v>
      </c>
      <c r="M112" t="s">
        <v>486</v>
      </c>
      <c r="N112" t="s">
        <v>491</v>
      </c>
      <c r="O112" t="s">
        <v>490</v>
      </c>
      <c r="P112" t="s">
        <v>108</v>
      </c>
      <c r="Q112" t="s">
        <v>109</v>
      </c>
      <c r="R112" t="s">
        <v>22</v>
      </c>
      <c r="S112" t="s">
        <v>149</v>
      </c>
      <c r="T112" t="s">
        <v>226</v>
      </c>
      <c r="V112" t="s">
        <v>116</v>
      </c>
      <c r="W112" t="s">
        <v>169</v>
      </c>
      <c r="X112" t="s">
        <v>199</v>
      </c>
      <c r="Y112" t="s">
        <v>1042</v>
      </c>
      <c r="Z112">
        <v>3</v>
      </c>
      <c r="AA112" t="s">
        <v>1091</v>
      </c>
    </row>
    <row r="113" spans="1:27" ht="15" customHeight="1">
      <c r="A113">
        <v>64</v>
      </c>
      <c r="B113" s="139">
        <v>46175.626481481479</v>
      </c>
      <c r="C113" s="139">
        <v>46175.627800925933</v>
      </c>
      <c r="D113" t="s">
        <v>468</v>
      </c>
      <c r="E113" t="s">
        <v>469</v>
      </c>
      <c r="F113" t="s">
        <v>469</v>
      </c>
      <c r="G113" t="s">
        <v>471</v>
      </c>
      <c r="H113" s="139">
        <v>46150</v>
      </c>
      <c r="I113" t="s">
        <v>472</v>
      </c>
      <c r="J113" t="s">
        <v>161</v>
      </c>
      <c r="M113" t="s">
        <v>486</v>
      </c>
      <c r="N113" t="s">
        <v>491</v>
      </c>
      <c r="O113" t="s">
        <v>490</v>
      </c>
      <c r="P113" t="s">
        <v>108</v>
      </c>
      <c r="Q113" t="s">
        <v>109</v>
      </c>
      <c r="R113" t="s">
        <v>22</v>
      </c>
      <c r="S113" t="s">
        <v>149</v>
      </c>
      <c r="T113" t="s">
        <v>226</v>
      </c>
      <c r="V113" t="s">
        <v>116</v>
      </c>
      <c r="W113" t="s">
        <v>169</v>
      </c>
      <c r="X113" t="s">
        <v>199</v>
      </c>
      <c r="Y113" t="s">
        <v>1044</v>
      </c>
      <c r="Z113">
        <v>1</v>
      </c>
      <c r="AA113" t="s">
        <v>1121</v>
      </c>
    </row>
    <row r="114" spans="1:27" ht="15" customHeight="1">
      <c r="A114">
        <v>64</v>
      </c>
      <c r="B114" s="139">
        <v>46175.626481481479</v>
      </c>
      <c r="C114" s="139">
        <v>46175.627800925933</v>
      </c>
      <c r="D114" t="s">
        <v>468</v>
      </c>
      <c r="E114" t="s">
        <v>469</v>
      </c>
      <c r="F114" t="s">
        <v>469</v>
      </c>
      <c r="G114" t="s">
        <v>471</v>
      </c>
      <c r="H114" s="139">
        <v>46150</v>
      </c>
      <c r="I114" t="s">
        <v>472</v>
      </c>
      <c r="J114" t="s">
        <v>161</v>
      </c>
      <c r="M114" t="s">
        <v>486</v>
      </c>
      <c r="N114" t="s">
        <v>491</v>
      </c>
      <c r="O114" t="s">
        <v>490</v>
      </c>
      <c r="P114" t="s">
        <v>108</v>
      </c>
      <c r="Q114" t="s">
        <v>109</v>
      </c>
      <c r="R114" t="s">
        <v>22</v>
      </c>
      <c r="S114" t="s">
        <v>149</v>
      </c>
      <c r="T114" t="s">
        <v>226</v>
      </c>
      <c r="V114" t="s">
        <v>116</v>
      </c>
      <c r="W114" t="s">
        <v>169</v>
      </c>
      <c r="X114" t="s">
        <v>199</v>
      </c>
      <c r="Y114" t="s">
        <v>1044</v>
      </c>
      <c r="Z114">
        <v>2</v>
      </c>
      <c r="AA114" t="s">
        <v>1122</v>
      </c>
    </row>
    <row r="115" spans="1:27" ht="15" customHeight="1">
      <c r="A115">
        <v>64</v>
      </c>
      <c r="B115" s="139">
        <v>46175.626481481479</v>
      </c>
      <c r="C115" s="139">
        <v>46175.627800925933</v>
      </c>
      <c r="D115" t="s">
        <v>468</v>
      </c>
      <c r="E115" t="s">
        <v>469</v>
      </c>
      <c r="F115" t="s">
        <v>469</v>
      </c>
      <c r="G115" t="s">
        <v>471</v>
      </c>
      <c r="H115" s="139">
        <v>46150</v>
      </c>
      <c r="I115" t="s">
        <v>472</v>
      </c>
      <c r="J115" t="s">
        <v>161</v>
      </c>
      <c r="M115" t="s">
        <v>486</v>
      </c>
      <c r="N115" t="s">
        <v>491</v>
      </c>
      <c r="O115" t="s">
        <v>490</v>
      </c>
      <c r="P115" t="s">
        <v>108</v>
      </c>
      <c r="Q115" t="s">
        <v>109</v>
      </c>
      <c r="R115" t="s">
        <v>22</v>
      </c>
      <c r="S115" t="s">
        <v>149</v>
      </c>
      <c r="T115" t="s">
        <v>226</v>
      </c>
      <c r="V115" t="s">
        <v>116</v>
      </c>
      <c r="W115" t="s">
        <v>169</v>
      </c>
      <c r="X115" t="s">
        <v>199</v>
      </c>
      <c r="Y115" t="s">
        <v>1044</v>
      </c>
      <c r="Z115">
        <v>3</v>
      </c>
      <c r="AA115" t="s">
        <v>1123</v>
      </c>
    </row>
    <row r="116" spans="1:27" ht="15" customHeight="1">
      <c r="A116">
        <v>79</v>
      </c>
      <c r="B116" s="139">
        <v>46176.627997685187</v>
      </c>
      <c r="C116" s="139">
        <v>46176.636736111112</v>
      </c>
      <c r="D116" t="s">
        <v>468</v>
      </c>
      <c r="E116" t="s">
        <v>469</v>
      </c>
      <c r="F116" t="s">
        <v>469</v>
      </c>
      <c r="G116" t="s">
        <v>471</v>
      </c>
      <c r="H116" s="139">
        <v>46150</v>
      </c>
      <c r="I116" t="s">
        <v>472</v>
      </c>
      <c r="J116" t="s">
        <v>161</v>
      </c>
      <c r="M116" t="s">
        <v>486</v>
      </c>
      <c r="N116" t="s">
        <v>486</v>
      </c>
      <c r="O116" t="s">
        <v>135</v>
      </c>
      <c r="P116" t="s">
        <v>108</v>
      </c>
      <c r="Q116" t="s">
        <v>109</v>
      </c>
      <c r="R116" t="s">
        <v>22</v>
      </c>
      <c r="S116" t="s">
        <v>149</v>
      </c>
      <c r="T116" t="s">
        <v>144</v>
      </c>
      <c r="U116" t="s">
        <v>576</v>
      </c>
      <c r="V116" t="s">
        <v>151</v>
      </c>
      <c r="W116" t="s">
        <v>117</v>
      </c>
      <c r="X116" t="s">
        <v>124</v>
      </c>
      <c r="Y116" t="s">
        <v>1040</v>
      </c>
      <c r="Z116">
        <v>1</v>
      </c>
      <c r="AA116" t="s">
        <v>1058</v>
      </c>
    </row>
    <row r="117" spans="1:27" ht="15" customHeight="1">
      <c r="A117">
        <v>79</v>
      </c>
      <c r="B117" s="139">
        <v>46176.627997685187</v>
      </c>
      <c r="C117" s="139">
        <v>46176.636736111112</v>
      </c>
      <c r="D117" t="s">
        <v>468</v>
      </c>
      <c r="E117" t="s">
        <v>469</v>
      </c>
      <c r="F117" t="s">
        <v>469</v>
      </c>
      <c r="G117" t="s">
        <v>471</v>
      </c>
      <c r="H117" s="139">
        <v>46150</v>
      </c>
      <c r="I117" t="s">
        <v>472</v>
      </c>
      <c r="J117" t="s">
        <v>161</v>
      </c>
      <c r="M117" t="s">
        <v>486</v>
      </c>
      <c r="N117" t="s">
        <v>486</v>
      </c>
      <c r="O117" t="s">
        <v>135</v>
      </c>
      <c r="P117" t="s">
        <v>108</v>
      </c>
      <c r="Q117" t="s">
        <v>109</v>
      </c>
      <c r="R117" t="s">
        <v>22</v>
      </c>
      <c r="S117" t="s">
        <v>149</v>
      </c>
      <c r="T117" t="s">
        <v>144</v>
      </c>
      <c r="U117" t="s">
        <v>576</v>
      </c>
      <c r="V117" t="s">
        <v>151</v>
      </c>
      <c r="W117" t="s">
        <v>117</v>
      </c>
      <c r="X117" t="s">
        <v>124</v>
      </c>
      <c r="Y117" t="s">
        <v>1040</v>
      </c>
      <c r="Z117">
        <v>2</v>
      </c>
      <c r="AA117" t="s">
        <v>1124</v>
      </c>
    </row>
    <row r="118" spans="1:27" ht="15" customHeight="1">
      <c r="A118">
        <v>79</v>
      </c>
      <c r="B118" s="139">
        <v>46176.627997685187</v>
      </c>
      <c r="C118" s="139">
        <v>46176.636736111112</v>
      </c>
      <c r="D118" t="s">
        <v>468</v>
      </c>
      <c r="E118" t="s">
        <v>469</v>
      </c>
      <c r="F118" t="s">
        <v>469</v>
      </c>
      <c r="G118" t="s">
        <v>471</v>
      </c>
      <c r="H118" s="139">
        <v>46150</v>
      </c>
      <c r="I118" t="s">
        <v>472</v>
      </c>
      <c r="J118" t="s">
        <v>161</v>
      </c>
      <c r="M118" t="s">
        <v>486</v>
      </c>
      <c r="N118" t="s">
        <v>486</v>
      </c>
      <c r="O118" t="s">
        <v>135</v>
      </c>
      <c r="P118" t="s">
        <v>108</v>
      </c>
      <c r="Q118" t="s">
        <v>109</v>
      </c>
      <c r="R118" t="s">
        <v>22</v>
      </c>
      <c r="S118" t="s">
        <v>149</v>
      </c>
      <c r="T118" t="s">
        <v>144</v>
      </c>
      <c r="U118" t="s">
        <v>576</v>
      </c>
      <c r="V118" t="s">
        <v>151</v>
      </c>
      <c r="W118" t="s">
        <v>117</v>
      </c>
      <c r="X118" t="s">
        <v>124</v>
      </c>
      <c r="Y118" t="s">
        <v>1042</v>
      </c>
      <c r="Z118">
        <v>1</v>
      </c>
      <c r="AA118" t="s">
        <v>1125</v>
      </c>
    </row>
    <row r="119" spans="1:27" ht="15" customHeight="1">
      <c r="A119">
        <v>79</v>
      </c>
      <c r="B119" s="139">
        <v>46176.627997685187</v>
      </c>
      <c r="C119" s="139">
        <v>46176.636736111112</v>
      </c>
      <c r="D119" t="s">
        <v>468</v>
      </c>
      <c r="E119" t="s">
        <v>469</v>
      </c>
      <c r="F119" t="s">
        <v>469</v>
      </c>
      <c r="G119" t="s">
        <v>471</v>
      </c>
      <c r="H119" s="139">
        <v>46150</v>
      </c>
      <c r="I119" t="s">
        <v>472</v>
      </c>
      <c r="J119" t="s">
        <v>161</v>
      </c>
      <c r="M119" t="s">
        <v>486</v>
      </c>
      <c r="N119" t="s">
        <v>486</v>
      </c>
      <c r="O119" t="s">
        <v>135</v>
      </c>
      <c r="P119" t="s">
        <v>108</v>
      </c>
      <c r="Q119" t="s">
        <v>109</v>
      </c>
      <c r="R119" t="s">
        <v>22</v>
      </c>
      <c r="S119" t="s">
        <v>149</v>
      </c>
      <c r="T119" t="s">
        <v>144</v>
      </c>
      <c r="U119" t="s">
        <v>576</v>
      </c>
      <c r="V119" t="s">
        <v>151</v>
      </c>
      <c r="W119" t="s">
        <v>117</v>
      </c>
      <c r="X119" t="s">
        <v>124</v>
      </c>
      <c r="Y119" t="s">
        <v>1042</v>
      </c>
      <c r="Z119">
        <v>2</v>
      </c>
      <c r="AA119" t="s">
        <v>1126</v>
      </c>
    </row>
    <row r="120" spans="1:27" ht="15" customHeight="1">
      <c r="A120">
        <v>79</v>
      </c>
      <c r="B120" s="139">
        <v>46176.627997685187</v>
      </c>
      <c r="C120" s="139">
        <v>46176.636736111112</v>
      </c>
      <c r="D120" t="s">
        <v>468</v>
      </c>
      <c r="E120" t="s">
        <v>469</v>
      </c>
      <c r="F120" t="s">
        <v>469</v>
      </c>
      <c r="G120" t="s">
        <v>471</v>
      </c>
      <c r="H120" s="139">
        <v>46150</v>
      </c>
      <c r="I120" t="s">
        <v>472</v>
      </c>
      <c r="J120" t="s">
        <v>161</v>
      </c>
      <c r="M120" t="s">
        <v>486</v>
      </c>
      <c r="N120" t="s">
        <v>486</v>
      </c>
      <c r="O120" t="s">
        <v>135</v>
      </c>
      <c r="P120" t="s">
        <v>108</v>
      </c>
      <c r="Q120" t="s">
        <v>109</v>
      </c>
      <c r="R120" t="s">
        <v>22</v>
      </c>
      <c r="S120" t="s">
        <v>149</v>
      </c>
      <c r="T120" t="s">
        <v>144</v>
      </c>
      <c r="U120" t="s">
        <v>576</v>
      </c>
      <c r="V120" t="s">
        <v>151</v>
      </c>
      <c r="W120" t="s">
        <v>117</v>
      </c>
      <c r="X120" t="s">
        <v>124</v>
      </c>
      <c r="Y120" t="s">
        <v>1042</v>
      </c>
      <c r="Z120">
        <v>3</v>
      </c>
      <c r="AA120" t="s">
        <v>1059</v>
      </c>
    </row>
    <row r="121" spans="1:27" ht="15" customHeight="1">
      <c r="A121">
        <v>79</v>
      </c>
      <c r="B121" s="139">
        <v>46176.627997685187</v>
      </c>
      <c r="C121" s="139">
        <v>46176.636736111112</v>
      </c>
      <c r="D121" t="s">
        <v>468</v>
      </c>
      <c r="E121" t="s">
        <v>469</v>
      </c>
      <c r="F121" t="s">
        <v>469</v>
      </c>
      <c r="G121" t="s">
        <v>471</v>
      </c>
      <c r="H121" s="139">
        <v>46150</v>
      </c>
      <c r="I121" t="s">
        <v>472</v>
      </c>
      <c r="J121" t="s">
        <v>161</v>
      </c>
      <c r="M121" t="s">
        <v>486</v>
      </c>
      <c r="N121" t="s">
        <v>486</v>
      </c>
      <c r="O121" t="s">
        <v>135</v>
      </c>
      <c r="P121" t="s">
        <v>108</v>
      </c>
      <c r="Q121" t="s">
        <v>109</v>
      </c>
      <c r="R121" t="s">
        <v>22</v>
      </c>
      <c r="S121" t="s">
        <v>149</v>
      </c>
      <c r="T121" t="s">
        <v>144</v>
      </c>
      <c r="U121" t="s">
        <v>576</v>
      </c>
      <c r="V121" t="s">
        <v>151</v>
      </c>
      <c r="W121" t="s">
        <v>117</v>
      </c>
      <c r="X121" t="s">
        <v>124</v>
      </c>
      <c r="Y121" t="s">
        <v>1042</v>
      </c>
      <c r="Z121">
        <v>4</v>
      </c>
      <c r="AA121" t="s">
        <v>1127</v>
      </c>
    </row>
    <row r="122" spans="1:27" ht="15" customHeight="1">
      <c r="A122">
        <v>79</v>
      </c>
      <c r="B122" s="139">
        <v>46176.627997685187</v>
      </c>
      <c r="C122" s="139">
        <v>46176.636736111112</v>
      </c>
      <c r="D122" t="s">
        <v>468</v>
      </c>
      <c r="E122" t="s">
        <v>469</v>
      </c>
      <c r="F122" t="s">
        <v>469</v>
      </c>
      <c r="G122" t="s">
        <v>471</v>
      </c>
      <c r="H122" s="139">
        <v>46150</v>
      </c>
      <c r="I122" t="s">
        <v>472</v>
      </c>
      <c r="J122" t="s">
        <v>161</v>
      </c>
      <c r="M122" t="s">
        <v>486</v>
      </c>
      <c r="N122" t="s">
        <v>486</v>
      </c>
      <c r="O122" t="s">
        <v>135</v>
      </c>
      <c r="P122" t="s">
        <v>108</v>
      </c>
      <c r="Q122" t="s">
        <v>109</v>
      </c>
      <c r="R122" t="s">
        <v>22</v>
      </c>
      <c r="S122" t="s">
        <v>149</v>
      </c>
      <c r="T122" t="s">
        <v>144</v>
      </c>
      <c r="U122" t="s">
        <v>576</v>
      </c>
      <c r="V122" t="s">
        <v>151</v>
      </c>
      <c r="W122" t="s">
        <v>117</v>
      </c>
      <c r="X122" t="s">
        <v>124</v>
      </c>
      <c r="Y122" t="s">
        <v>1042</v>
      </c>
      <c r="Z122">
        <v>5</v>
      </c>
      <c r="AA122" t="s">
        <v>1128</v>
      </c>
    </row>
    <row r="123" spans="1:27" ht="15" customHeight="1">
      <c r="A123">
        <v>79</v>
      </c>
      <c r="B123" s="139">
        <v>46176.627997685187</v>
      </c>
      <c r="C123" s="139">
        <v>46176.636736111112</v>
      </c>
      <c r="D123" t="s">
        <v>468</v>
      </c>
      <c r="E123" t="s">
        <v>469</v>
      </c>
      <c r="F123" t="s">
        <v>469</v>
      </c>
      <c r="G123" t="s">
        <v>471</v>
      </c>
      <c r="H123" s="139">
        <v>46150</v>
      </c>
      <c r="I123" t="s">
        <v>472</v>
      </c>
      <c r="J123" t="s">
        <v>161</v>
      </c>
      <c r="M123" t="s">
        <v>486</v>
      </c>
      <c r="N123" t="s">
        <v>486</v>
      </c>
      <c r="O123" t="s">
        <v>135</v>
      </c>
      <c r="P123" t="s">
        <v>108</v>
      </c>
      <c r="Q123" t="s">
        <v>109</v>
      </c>
      <c r="R123" t="s">
        <v>22</v>
      </c>
      <c r="S123" t="s">
        <v>149</v>
      </c>
      <c r="T123" t="s">
        <v>144</v>
      </c>
      <c r="U123" t="s">
        <v>576</v>
      </c>
      <c r="V123" t="s">
        <v>151</v>
      </c>
      <c r="W123" t="s">
        <v>117</v>
      </c>
      <c r="X123" t="s">
        <v>124</v>
      </c>
      <c r="Y123" t="s">
        <v>1044</v>
      </c>
      <c r="Z123">
        <v>1</v>
      </c>
      <c r="AA123" t="s">
        <v>1129</v>
      </c>
    </row>
    <row r="124" spans="1:27" ht="15" customHeight="1">
      <c r="A124">
        <v>79</v>
      </c>
      <c r="B124" s="139">
        <v>46176.627997685187</v>
      </c>
      <c r="C124" s="139">
        <v>46176.636736111112</v>
      </c>
      <c r="D124" t="s">
        <v>468</v>
      </c>
      <c r="E124" t="s">
        <v>469</v>
      </c>
      <c r="F124" t="s">
        <v>469</v>
      </c>
      <c r="G124" t="s">
        <v>471</v>
      </c>
      <c r="H124" s="139">
        <v>46150</v>
      </c>
      <c r="I124" t="s">
        <v>472</v>
      </c>
      <c r="J124" t="s">
        <v>161</v>
      </c>
      <c r="M124" t="s">
        <v>486</v>
      </c>
      <c r="N124" t="s">
        <v>486</v>
      </c>
      <c r="O124" t="s">
        <v>135</v>
      </c>
      <c r="P124" t="s">
        <v>108</v>
      </c>
      <c r="Q124" t="s">
        <v>109</v>
      </c>
      <c r="R124" t="s">
        <v>22</v>
      </c>
      <c r="S124" t="s">
        <v>149</v>
      </c>
      <c r="T124" t="s">
        <v>144</v>
      </c>
      <c r="U124" t="s">
        <v>576</v>
      </c>
      <c r="V124" t="s">
        <v>151</v>
      </c>
      <c r="W124" t="s">
        <v>117</v>
      </c>
      <c r="X124" t="s">
        <v>124</v>
      </c>
      <c r="Y124" t="s">
        <v>1044</v>
      </c>
      <c r="Z124">
        <v>2</v>
      </c>
      <c r="AA124" t="s">
        <v>1130</v>
      </c>
    </row>
    <row r="125" spans="1:27" ht="15" customHeight="1">
      <c r="A125">
        <v>80</v>
      </c>
      <c r="B125" s="139">
        <v>46176.636793981481</v>
      </c>
      <c r="C125" s="139">
        <v>46176.638032407413</v>
      </c>
      <c r="D125" t="s">
        <v>468</v>
      </c>
      <c r="E125" t="s">
        <v>469</v>
      </c>
      <c r="F125" t="s">
        <v>469</v>
      </c>
      <c r="G125" t="s">
        <v>471</v>
      </c>
      <c r="H125" s="139">
        <v>46150</v>
      </c>
      <c r="I125" t="s">
        <v>472</v>
      </c>
      <c r="J125" t="s">
        <v>161</v>
      </c>
      <c r="M125" t="s">
        <v>577</v>
      </c>
      <c r="N125" t="s">
        <v>578</v>
      </c>
      <c r="O125" t="s">
        <v>135</v>
      </c>
      <c r="P125" t="s">
        <v>108</v>
      </c>
      <c r="Q125" t="s">
        <v>109</v>
      </c>
      <c r="R125" t="s">
        <v>25</v>
      </c>
      <c r="S125" t="s">
        <v>149</v>
      </c>
      <c r="T125" t="s">
        <v>181</v>
      </c>
      <c r="V125" t="s">
        <v>116</v>
      </c>
      <c r="W125" t="s">
        <v>117</v>
      </c>
      <c r="X125" t="s">
        <v>256</v>
      </c>
      <c r="Y125" t="s">
        <v>1040</v>
      </c>
      <c r="Z125">
        <v>1</v>
      </c>
      <c r="AA125" t="s">
        <v>1131</v>
      </c>
    </row>
    <row r="126" spans="1:27" ht="15" customHeight="1">
      <c r="A126">
        <v>80</v>
      </c>
      <c r="B126" s="139">
        <v>46176.636793981481</v>
      </c>
      <c r="C126" s="139">
        <v>46176.638032407413</v>
      </c>
      <c r="D126" t="s">
        <v>468</v>
      </c>
      <c r="E126" t="s">
        <v>469</v>
      </c>
      <c r="F126" t="s">
        <v>469</v>
      </c>
      <c r="G126" t="s">
        <v>471</v>
      </c>
      <c r="H126" s="139">
        <v>46150</v>
      </c>
      <c r="I126" t="s">
        <v>472</v>
      </c>
      <c r="J126" t="s">
        <v>161</v>
      </c>
      <c r="M126" t="s">
        <v>577</v>
      </c>
      <c r="N126" t="s">
        <v>578</v>
      </c>
      <c r="O126" t="s">
        <v>135</v>
      </c>
      <c r="P126" t="s">
        <v>108</v>
      </c>
      <c r="Q126" t="s">
        <v>109</v>
      </c>
      <c r="R126" t="s">
        <v>25</v>
      </c>
      <c r="S126" t="s">
        <v>149</v>
      </c>
      <c r="T126" t="s">
        <v>181</v>
      </c>
      <c r="V126" t="s">
        <v>116</v>
      </c>
      <c r="W126" t="s">
        <v>117</v>
      </c>
      <c r="X126" t="s">
        <v>256</v>
      </c>
      <c r="Y126" t="s">
        <v>1042</v>
      </c>
      <c r="Z126">
        <v>1</v>
      </c>
      <c r="AA126" t="s">
        <v>1132</v>
      </c>
    </row>
    <row r="127" spans="1:27" ht="15" customHeight="1">
      <c r="A127">
        <v>80</v>
      </c>
      <c r="B127" s="139">
        <v>46176.636793981481</v>
      </c>
      <c r="C127" s="139">
        <v>46176.638032407413</v>
      </c>
      <c r="D127" t="s">
        <v>468</v>
      </c>
      <c r="E127" t="s">
        <v>469</v>
      </c>
      <c r="F127" t="s">
        <v>469</v>
      </c>
      <c r="G127" t="s">
        <v>471</v>
      </c>
      <c r="H127" s="139">
        <v>46150</v>
      </c>
      <c r="I127" t="s">
        <v>472</v>
      </c>
      <c r="J127" t="s">
        <v>161</v>
      </c>
      <c r="M127" t="s">
        <v>577</v>
      </c>
      <c r="N127" t="s">
        <v>578</v>
      </c>
      <c r="O127" t="s">
        <v>135</v>
      </c>
      <c r="P127" t="s">
        <v>108</v>
      </c>
      <c r="Q127" t="s">
        <v>109</v>
      </c>
      <c r="R127" t="s">
        <v>25</v>
      </c>
      <c r="S127" t="s">
        <v>149</v>
      </c>
      <c r="T127" t="s">
        <v>181</v>
      </c>
      <c r="V127" t="s">
        <v>116</v>
      </c>
      <c r="W127" t="s">
        <v>117</v>
      </c>
      <c r="X127" t="s">
        <v>256</v>
      </c>
      <c r="Y127" t="s">
        <v>1042</v>
      </c>
      <c r="Z127">
        <v>2</v>
      </c>
      <c r="AA127" t="s">
        <v>1133</v>
      </c>
    </row>
    <row r="128" spans="1:27" ht="15" customHeight="1">
      <c r="A128">
        <v>80</v>
      </c>
      <c r="B128" s="139">
        <v>46176.636793981481</v>
      </c>
      <c r="C128" s="139">
        <v>46176.638032407413</v>
      </c>
      <c r="D128" t="s">
        <v>468</v>
      </c>
      <c r="E128" t="s">
        <v>469</v>
      </c>
      <c r="F128" t="s">
        <v>469</v>
      </c>
      <c r="G128" t="s">
        <v>471</v>
      </c>
      <c r="H128" s="139">
        <v>46150</v>
      </c>
      <c r="I128" t="s">
        <v>472</v>
      </c>
      <c r="J128" t="s">
        <v>161</v>
      </c>
      <c r="M128" t="s">
        <v>577</v>
      </c>
      <c r="N128" t="s">
        <v>578</v>
      </c>
      <c r="O128" t="s">
        <v>135</v>
      </c>
      <c r="P128" t="s">
        <v>108</v>
      </c>
      <c r="Q128" t="s">
        <v>109</v>
      </c>
      <c r="R128" t="s">
        <v>25</v>
      </c>
      <c r="S128" t="s">
        <v>149</v>
      </c>
      <c r="T128" t="s">
        <v>181</v>
      </c>
      <c r="V128" t="s">
        <v>116</v>
      </c>
      <c r="W128" t="s">
        <v>117</v>
      </c>
      <c r="X128" t="s">
        <v>256</v>
      </c>
      <c r="Y128" t="s">
        <v>1042</v>
      </c>
      <c r="Z128">
        <v>3</v>
      </c>
      <c r="AA128" t="s">
        <v>1134</v>
      </c>
    </row>
    <row r="129" spans="1:27" ht="15" customHeight="1">
      <c r="A129">
        <v>80</v>
      </c>
      <c r="B129" s="139">
        <v>46176.636793981481</v>
      </c>
      <c r="C129" s="139">
        <v>46176.638032407413</v>
      </c>
      <c r="D129" t="s">
        <v>468</v>
      </c>
      <c r="E129" t="s">
        <v>469</v>
      </c>
      <c r="F129" t="s">
        <v>469</v>
      </c>
      <c r="G129" t="s">
        <v>471</v>
      </c>
      <c r="H129" s="139">
        <v>46150</v>
      </c>
      <c r="I129" t="s">
        <v>472</v>
      </c>
      <c r="J129" t="s">
        <v>161</v>
      </c>
      <c r="M129" t="s">
        <v>577</v>
      </c>
      <c r="N129" t="s">
        <v>578</v>
      </c>
      <c r="O129" t="s">
        <v>135</v>
      </c>
      <c r="P129" t="s">
        <v>108</v>
      </c>
      <c r="Q129" t="s">
        <v>109</v>
      </c>
      <c r="R129" t="s">
        <v>25</v>
      </c>
      <c r="S129" t="s">
        <v>149</v>
      </c>
      <c r="T129" t="s">
        <v>181</v>
      </c>
      <c r="V129" t="s">
        <v>116</v>
      </c>
      <c r="W129" t="s">
        <v>117</v>
      </c>
      <c r="X129" t="s">
        <v>256</v>
      </c>
      <c r="Y129" t="s">
        <v>1044</v>
      </c>
      <c r="Z129">
        <v>1</v>
      </c>
      <c r="AA129" t="s">
        <v>1135</v>
      </c>
    </row>
    <row r="130" spans="1:27" ht="15" customHeight="1">
      <c r="A130">
        <v>80</v>
      </c>
      <c r="B130" s="139">
        <v>46176.636793981481</v>
      </c>
      <c r="C130" s="139">
        <v>46176.638032407413</v>
      </c>
      <c r="D130" t="s">
        <v>468</v>
      </c>
      <c r="E130" t="s">
        <v>469</v>
      </c>
      <c r="F130" t="s">
        <v>469</v>
      </c>
      <c r="G130" t="s">
        <v>471</v>
      </c>
      <c r="H130" s="139">
        <v>46150</v>
      </c>
      <c r="I130" t="s">
        <v>472</v>
      </c>
      <c r="J130" t="s">
        <v>161</v>
      </c>
      <c r="M130" t="s">
        <v>577</v>
      </c>
      <c r="N130" t="s">
        <v>578</v>
      </c>
      <c r="O130" t="s">
        <v>135</v>
      </c>
      <c r="P130" t="s">
        <v>108</v>
      </c>
      <c r="Q130" t="s">
        <v>109</v>
      </c>
      <c r="R130" t="s">
        <v>25</v>
      </c>
      <c r="S130" t="s">
        <v>149</v>
      </c>
      <c r="T130" t="s">
        <v>181</v>
      </c>
      <c r="V130" t="s">
        <v>116</v>
      </c>
      <c r="W130" t="s">
        <v>117</v>
      </c>
      <c r="X130" t="s">
        <v>256</v>
      </c>
      <c r="Y130" t="s">
        <v>1044</v>
      </c>
      <c r="Z130">
        <v>2</v>
      </c>
      <c r="AA130" t="s">
        <v>1136</v>
      </c>
    </row>
    <row r="131" spans="1:27" ht="15" customHeight="1">
      <c r="A131">
        <v>80</v>
      </c>
      <c r="B131" s="139">
        <v>46176.636793981481</v>
      </c>
      <c r="C131" s="139">
        <v>46176.638032407413</v>
      </c>
      <c r="D131" t="s">
        <v>468</v>
      </c>
      <c r="E131" t="s">
        <v>469</v>
      </c>
      <c r="F131" t="s">
        <v>469</v>
      </c>
      <c r="G131" t="s">
        <v>471</v>
      </c>
      <c r="H131" s="139">
        <v>46150</v>
      </c>
      <c r="I131" t="s">
        <v>472</v>
      </c>
      <c r="J131" t="s">
        <v>161</v>
      </c>
      <c r="M131" t="s">
        <v>577</v>
      </c>
      <c r="N131" t="s">
        <v>578</v>
      </c>
      <c r="O131" t="s">
        <v>135</v>
      </c>
      <c r="P131" t="s">
        <v>108</v>
      </c>
      <c r="Q131" t="s">
        <v>109</v>
      </c>
      <c r="R131" t="s">
        <v>25</v>
      </c>
      <c r="S131" t="s">
        <v>149</v>
      </c>
      <c r="T131" t="s">
        <v>181</v>
      </c>
      <c r="V131" t="s">
        <v>116</v>
      </c>
      <c r="W131" t="s">
        <v>117</v>
      </c>
      <c r="X131" t="s">
        <v>256</v>
      </c>
      <c r="Y131" t="s">
        <v>1044</v>
      </c>
      <c r="Z131">
        <v>3</v>
      </c>
      <c r="AA131" t="s">
        <v>1137</v>
      </c>
    </row>
    <row r="132" spans="1:27" ht="15" customHeight="1">
      <c r="A132">
        <v>8</v>
      </c>
      <c r="B132" s="139">
        <v>46167.606423611112</v>
      </c>
      <c r="C132" s="139">
        <v>46167.614386574067</v>
      </c>
      <c r="D132" t="s">
        <v>131</v>
      </c>
      <c r="E132" t="s">
        <v>132</v>
      </c>
      <c r="F132" t="s">
        <v>133</v>
      </c>
      <c r="G132" t="s">
        <v>134</v>
      </c>
      <c r="H132" s="139">
        <v>46153</v>
      </c>
      <c r="I132" t="s">
        <v>136</v>
      </c>
      <c r="J132" t="s">
        <v>161</v>
      </c>
      <c r="M132" t="s">
        <v>162</v>
      </c>
      <c r="O132" t="s">
        <v>107</v>
      </c>
      <c r="P132" t="s">
        <v>108</v>
      </c>
      <c r="Q132" t="s">
        <v>109</v>
      </c>
      <c r="R132" t="s">
        <v>22</v>
      </c>
      <c r="S132" t="s">
        <v>114</v>
      </c>
      <c r="T132" t="s">
        <v>150</v>
      </c>
      <c r="V132" t="s">
        <v>116</v>
      </c>
      <c r="W132" t="s">
        <v>130</v>
      </c>
      <c r="X132" t="s">
        <v>146</v>
      </c>
      <c r="Y132" t="s">
        <v>1040</v>
      </c>
      <c r="Z132">
        <v>1</v>
      </c>
      <c r="AA132" t="s">
        <v>1138</v>
      </c>
    </row>
    <row r="133" spans="1:27" ht="15" customHeight="1">
      <c r="A133">
        <v>8</v>
      </c>
      <c r="B133" s="139">
        <v>46167.606423611112</v>
      </c>
      <c r="C133" s="139">
        <v>46167.614386574067</v>
      </c>
      <c r="D133" t="s">
        <v>131</v>
      </c>
      <c r="E133" t="s">
        <v>132</v>
      </c>
      <c r="F133" t="s">
        <v>133</v>
      </c>
      <c r="G133" t="s">
        <v>134</v>
      </c>
      <c r="H133" s="139">
        <v>46153</v>
      </c>
      <c r="I133" t="s">
        <v>136</v>
      </c>
      <c r="J133" t="s">
        <v>161</v>
      </c>
      <c r="M133" t="s">
        <v>162</v>
      </c>
      <c r="O133" t="s">
        <v>107</v>
      </c>
      <c r="P133" t="s">
        <v>108</v>
      </c>
      <c r="Q133" t="s">
        <v>109</v>
      </c>
      <c r="R133" t="s">
        <v>22</v>
      </c>
      <c r="S133" t="s">
        <v>114</v>
      </c>
      <c r="T133" t="s">
        <v>150</v>
      </c>
      <c r="V133" t="s">
        <v>116</v>
      </c>
      <c r="W133" t="s">
        <v>130</v>
      </c>
      <c r="X133" t="s">
        <v>146</v>
      </c>
      <c r="Y133" t="s">
        <v>1042</v>
      </c>
      <c r="Z133">
        <v>1</v>
      </c>
      <c r="AA133" t="s">
        <v>1139</v>
      </c>
    </row>
    <row r="134" spans="1:27" ht="15" customHeight="1">
      <c r="A134">
        <v>8</v>
      </c>
      <c r="B134" s="139">
        <v>46167.606423611112</v>
      </c>
      <c r="C134" s="139">
        <v>46167.614386574067</v>
      </c>
      <c r="D134" t="s">
        <v>131</v>
      </c>
      <c r="E134" t="s">
        <v>132</v>
      </c>
      <c r="F134" t="s">
        <v>133</v>
      </c>
      <c r="G134" t="s">
        <v>134</v>
      </c>
      <c r="H134" s="139">
        <v>46153</v>
      </c>
      <c r="I134" t="s">
        <v>136</v>
      </c>
      <c r="J134" t="s">
        <v>161</v>
      </c>
      <c r="M134" t="s">
        <v>162</v>
      </c>
      <c r="O134" t="s">
        <v>107</v>
      </c>
      <c r="P134" t="s">
        <v>108</v>
      </c>
      <c r="Q134" t="s">
        <v>109</v>
      </c>
      <c r="R134" t="s">
        <v>22</v>
      </c>
      <c r="S134" t="s">
        <v>114</v>
      </c>
      <c r="T134" t="s">
        <v>150</v>
      </c>
      <c r="V134" t="s">
        <v>116</v>
      </c>
      <c r="W134" t="s">
        <v>130</v>
      </c>
      <c r="X134" t="s">
        <v>146</v>
      </c>
      <c r="Y134" t="s">
        <v>1042</v>
      </c>
      <c r="Z134">
        <v>2</v>
      </c>
      <c r="AA134" t="s">
        <v>1140</v>
      </c>
    </row>
    <row r="135" spans="1:27" ht="15" customHeight="1">
      <c r="A135">
        <v>8</v>
      </c>
      <c r="B135" s="139">
        <v>46167.606423611112</v>
      </c>
      <c r="C135" s="139">
        <v>46167.614386574067</v>
      </c>
      <c r="D135" t="s">
        <v>131</v>
      </c>
      <c r="E135" t="s">
        <v>132</v>
      </c>
      <c r="F135" t="s">
        <v>133</v>
      </c>
      <c r="G135" t="s">
        <v>134</v>
      </c>
      <c r="H135" s="139">
        <v>46153</v>
      </c>
      <c r="I135" t="s">
        <v>136</v>
      </c>
      <c r="J135" t="s">
        <v>161</v>
      </c>
      <c r="M135" t="s">
        <v>162</v>
      </c>
      <c r="O135" t="s">
        <v>107</v>
      </c>
      <c r="P135" t="s">
        <v>108</v>
      </c>
      <c r="Q135" t="s">
        <v>109</v>
      </c>
      <c r="R135" t="s">
        <v>22</v>
      </c>
      <c r="S135" t="s">
        <v>114</v>
      </c>
      <c r="T135" t="s">
        <v>150</v>
      </c>
      <c r="V135" t="s">
        <v>116</v>
      </c>
      <c r="W135" t="s">
        <v>130</v>
      </c>
      <c r="X135" t="s">
        <v>146</v>
      </c>
      <c r="Y135" t="s">
        <v>1044</v>
      </c>
      <c r="Z135">
        <v>1</v>
      </c>
      <c r="AA135" t="s">
        <v>1141</v>
      </c>
    </row>
    <row r="136" spans="1:27" ht="15" customHeight="1">
      <c r="A136">
        <v>8</v>
      </c>
      <c r="B136" s="139">
        <v>46167.606423611112</v>
      </c>
      <c r="C136" s="139">
        <v>46167.614386574067</v>
      </c>
      <c r="D136" t="s">
        <v>131</v>
      </c>
      <c r="E136" t="s">
        <v>132</v>
      </c>
      <c r="F136" t="s">
        <v>133</v>
      </c>
      <c r="G136" t="s">
        <v>134</v>
      </c>
      <c r="H136" s="139">
        <v>46153</v>
      </c>
      <c r="I136" t="s">
        <v>136</v>
      </c>
      <c r="J136" t="s">
        <v>161</v>
      </c>
      <c r="M136" t="s">
        <v>162</v>
      </c>
      <c r="O136" t="s">
        <v>107</v>
      </c>
      <c r="P136" t="s">
        <v>108</v>
      </c>
      <c r="Q136" t="s">
        <v>109</v>
      </c>
      <c r="R136" t="s">
        <v>22</v>
      </c>
      <c r="S136" t="s">
        <v>114</v>
      </c>
      <c r="T136" t="s">
        <v>150</v>
      </c>
      <c r="V136" t="s">
        <v>116</v>
      </c>
      <c r="W136" t="s">
        <v>130</v>
      </c>
      <c r="X136" t="s">
        <v>146</v>
      </c>
      <c r="Y136" t="s">
        <v>1044</v>
      </c>
      <c r="Z136">
        <v>2</v>
      </c>
      <c r="AA136" t="s">
        <v>1142</v>
      </c>
    </row>
    <row r="137" spans="1:27" ht="15" customHeight="1">
      <c r="A137">
        <v>13</v>
      </c>
      <c r="B137" s="139">
        <v>46167.497291666667</v>
      </c>
      <c r="C137" s="139">
        <v>46167.642962962957</v>
      </c>
      <c r="D137" t="s">
        <v>152</v>
      </c>
      <c r="E137" t="s">
        <v>153</v>
      </c>
      <c r="F137" t="s">
        <v>216</v>
      </c>
      <c r="G137" t="s">
        <v>154</v>
      </c>
      <c r="H137" s="139">
        <v>46153</v>
      </c>
      <c r="I137" t="s">
        <v>136</v>
      </c>
      <c r="M137" t="s">
        <v>217</v>
      </c>
      <c r="N137" t="s">
        <v>218</v>
      </c>
      <c r="O137" t="s">
        <v>135</v>
      </c>
      <c r="P137" t="s">
        <v>108</v>
      </c>
      <c r="Q137" t="s">
        <v>109</v>
      </c>
      <c r="R137" t="s">
        <v>22</v>
      </c>
      <c r="S137" t="s">
        <v>149</v>
      </c>
      <c r="T137" t="s">
        <v>150</v>
      </c>
      <c r="V137" t="s">
        <v>116</v>
      </c>
      <c r="W137" t="s">
        <v>130</v>
      </c>
      <c r="X137" t="s">
        <v>139</v>
      </c>
      <c r="Y137" t="s">
        <v>1040</v>
      </c>
      <c r="Z137">
        <v>1</v>
      </c>
      <c r="AA137" t="s">
        <v>1143</v>
      </c>
    </row>
    <row r="138" spans="1:27" ht="15" customHeight="1">
      <c r="A138">
        <v>13</v>
      </c>
      <c r="B138" s="139">
        <v>46167.497291666667</v>
      </c>
      <c r="C138" s="139">
        <v>46167.642962962957</v>
      </c>
      <c r="D138" t="s">
        <v>152</v>
      </c>
      <c r="E138" t="s">
        <v>153</v>
      </c>
      <c r="F138" t="s">
        <v>216</v>
      </c>
      <c r="G138" t="s">
        <v>154</v>
      </c>
      <c r="H138" s="139">
        <v>46153</v>
      </c>
      <c r="I138" t="s">
        <v>136</v>
      </c>
      <c r="M138" t="s">
        <v>217</v>
      </c>
      <c r="N138" t="s">
        <v>218</v>
      </c>
      <c r="O138" t="s">
        <v>135</v>
      </c>
      <c r="P138" t="s">
        <v>108</v>
      </c>
      <c r="Q138" t="s">
        <v>109</v>
      </c>
      <c r="R138" t="s">
        <v>22</v>
      </c>
      <c r="S138" t="s">
        <v>149</v>
      </c>
      <c r="T138" t="s">
        <v>150</v>
      </c>
      <c r="V138" t="s">
        <v>116</v>
      </c>
      <c r="W138" t="s">
        <v>130</v>
      </c>
      <c r="X138" t="s">
        <v>139</v>
      </c>
      <c r="Y138" t="s">
        <v>1042</v>
      </c>
      <c r="Z138">
        <v>1</v>
      </c>
      <c r="AA138" t="s">
        <v>1043</v>
      </c>
    </row>
    <row r="139" spans="1:27" ht="15" customHeight="1">
      <c r="A139">
        <v>13</v>
      </c>
      <c r="B139" s="139">
        <v>46167.497291666667</v>
      </c>
      <c r="C139" s="139">
        <v>46167.642962962957</v>
      </c>
      <c r="D139" t="s">
        <v>152</v>
      </c>
      <c r="E139" t="s">
        <v>153</v>
      </c>
      <c r="F139" t="s">
        <v>216</v>
      </c>
      <c r="G139" t="s">
        <v>154</v>
      </c>
      <c r="H139" s="139">
        <v>46153</v>
      </c>
      <c r="I139" t="s">
        <v>136</v>
      </c>
      <c r="M139" t="s">
        <v>217</v>
      </c>
      <c r="N139" t="s">
        <v>218</v>
      </c>
      <c r="O139" t="s">
        <v>135</v>
      </c>
      <c r="P139" t="s">
        <v>108</v>
      </c>
      <c r="Q139" t="s">
        <v>109</v>
      </c>
      <c r="R139" t="s">
        <v>22</v>
      </c>
      <c r="S139" t="s">
        <v>149</v>
      </c>
      <c r="T139" t="s">
        <v>150</v>
      </c>
      <c r="V139" t="s">
        <v>116</v>
      </c>
      <c r="W139" t="s">
        <v>130</v>
      </c>
      <c r="X139" t="s">
        <v>139</v>
      </c>
      <c r="Y139" t="s">
        <v>1042</v>
      </c>
      <c r="Z139">
        <v>2</v>
      </c>
      <c r="AA139" t="s">
        <v>1070</v>
      </c>
    </row>
    <row r="140" spans="1:27" s="118" customFormat="1" ht="15" customHeight="1">
      <c r="A140">
        <v>13</v>
      </c>
      <c r="B140" s="139">
        <v>46167.497291666667</v>
      </c>
      <c r="C140" s="139">
        <v>46167.642962962957</v>
      </c>
      <c r="D140" t="s">
        <v>152</v>
      </c>
      <c r="E140" t="s">
        <v>153</v>
      </c>
      <c r="F140" t="s">
        <v>216</v>
      </c>
      <c r="G140" t="s">
        <v>154</v>
      </c>
      <c r="H140" s="139">
        <v>46153</v>
      </c>
      <c r="I140" t="s">
        <v>136</v>
      </c>
      <c r="J140"/>
      <c r="K140"/>
      <c r="L140"/>
      <c r="M140" t="s">
        <v>217</v>
      </c>
      <c r="N140" t="s">
        <v>218</v>
      </c>
      <c r="O140" t="s">
        <v>135</v>
      </c>
      <c r="P140" t="s">
        <v>108</v>
      </c>
      <c r="Q140" t="s">
        <v>109</v>
      </c>
      <c r="R140" t="s">
        <v>22</v>
      </c>
      <c r="S140" t="s">
        <v>149</v>
      </c>
      <c r="T140" t="s">
        <v>150</v>
      </c>
      <c r="U140"/>
      <c r="V140" t="s">
        <v>116</v>
      </c>
      <c r="W140" t="s">
        <v>130</v>
      </c>
      <c r="X140" t="s">
        <v>139</v>
      </c>
      <c r="Y140" t="s">
        <v>1042</v>
      </c>
      <c r="Z140">
        <v>3</v>
      </c>
      <c r="AA140" t="s">
        <v>1071</v>
      </c>
    </row>
    <row r="141" spans="1:27" s="118" customFormat="1" ht="15" customHeight="1">
      <c r="A141">
        <v>13</v>
      </c>
      <c r="B141" s="139">
        <v>46167.497291666667</v>
      </c>
      <c r="C141" s="139">
        <v>46167.642962962957</v>
      </c>
      <c r="D141" t="s">
        <v>152</v>
      </c>
      <c r="E141" t="s">
        <v>153</v>
      </c>
      <c r="F141" t="s">
        <v>216</v>
      </c>
      <c r="G141" t="s">
        <v>154</v>
      </c>
      <c r="H141" s="139">
        <v>46153</v>
      </c>
      <c r="I141" t="s">
        <v>136</v>
      </c>
      <c r="J141"/>
      <c r="K141"/>
      <c r="L141"/>
      <c r="M141" t="s">
        <v>217</v>
      </c>
      <c r="N141" t="s">
        <v>218</v>
      </c>
      <c r="O141" t="s">
        <v>135</v>
      </c>
      <c r="P141" t="s">
        <v>108</v>
      </c>
      <c r="Q141" t="s">
        <v>109</v>
      </c>
      <c r="R141" t="s">
        <v>22</v>
      </c>
      <c r="S141" t="s">
        <v>149</v>
      </c>
      <c r="T141" t="s">
        <v>150</v>
      </c>
      <c r="U141"/>
      <c r="V141" t="s">
        <v>116</v>
      </c>
      <c r="W141" t="s">
        <v>130</v>
      </c>
      <c r="X141" t="s">
        <v>139</v>
      </c>
      <c r="Y141" t="s">
        <v>1044</v>
      </c>
      <c r="Z141">
        <v>1</v>
      </c>
      <c r="AA141" t="s">
        <v>1098</v>
      </c>
    </row>
    <row r="142" spans="1:27" s="118" customFormat="1" ht="15" customHeight="1">
      <c r="A142">
        <v>13</v>
      </c>
      <c r="B142" s="139">
        <v>46167.497291666667</v>
      </c>
      <c r="C142" s="139">
        <v>46167.642962962957</v>
      </c>
      <c r="D142" t="s">
        <v>152</v>
      </c>
      <c r="E142" t="s">
        <v>153</v>
      </c>
      <c r="F142" t="s">
        <v>216</v>
      </c>
      <c r="G142" t="s">
        <v>154</v>
      </c>
      <c r="H142" s="139">
        <v>46153</v>
      </c>
      <c r="I142" t="s">
        <v>136</v>
      </c>
      <c r="J142"/>
      <c r="K142"/>
      <c r="L142"/>
      <c r="M142" t="s">
        <v>217</v>
      </c>
      <c r="N142" t="s">
        <v>218</v>
      </c>
      <c r="O142" t="s">
        <v>135</v>
      </c>
      <c r="P142" t="s">
        <v>108</v>
      </c>
      <c r="Q142" t="s">
        <v>109</v>
      </c>
      <c r="R142" t="s">
        <v>22</v>
      </c>
      <c r="S142" t="s">
        <v>149</v>
      </c>
      <c r="T142" t="s">
        <v>150</v>
      </c>
      <c r="U142"/>
      <c r="V142" t="s">
        <v>116</v>
      </c>
      <c r="W142" t="s">
        <v>130</v>
      </c>
      <c r="X142" t="s">
        <v>139</v>
      </c>
      <c r="Y142" t="s">
        <v>1044</v>
      </c>
      <c r="Z142">
        <v>2</v>
      </c>
      <c r="AA142" t="s">
        <v>1099</v>
      </c>
    </row>
    <row r="143" spans="1:27" s="118" customFormat="1" ht="15" customHeight="1">
      <c r="A143">
        <v>34</v>
      </c>
      <c r="B143" s="139">
        <v>46168.685567129629</v>
      </c>
      <c r="C143" s="139">
        <v>46168.688159722216</v>
      </c>
      <c r="D143" t="s">
        <v>296</v>
      </c>
      <c r="E143" t="s">
        <v>297</v>
      </c>
      <c r="F143" t="s">
        <v>297</v>
      </c>
      <c r="G143" t="s">
        <v>298</v>
      </c>
      <c r="H143" s="139">
        <v>46153</v>
      </c>
      <c r="I143" t="s">
        <v>136</v>
      </c>
      <c r="J143" t="s">
        <v>161</v>
      </c>
      <c r="K143"/>
      <c r="L143"/>
      <c r="M143" t="s">
        <v>327</v>
      </c>
      <c r="N143" t="s">
        <v>328</v>
      </c>
      <c r="O143" t="s">
        <v>195</v>
      </c>
      <c r="P143" t="s">
        <v>305</v>
      </c>
      <c r="Q143" t="s">
        <v>123</v>
      </c>
      <c r="R143" t="s">
        <v>22</v>
      </c>
      <c r="S143" t="s">
        <v>143</v>
      </c>
      <c r="T143" t="s">
        <v>181</v>
      </c>
      <c r="U143"/>
      <c r="V143" t="s">
        <v>129</v>
      </c>
      <c r="W143" t="s">
        <v>130</v>
      </c>
      <c r="X143" t="s">
        <v>124</v>
      </c>
      <c r="Y143" t="s">
        <v>1040</v>
      </c>
      <c r="Z143">
        <v>1</v>
      </c>
      <c r="AA143" t="s">
        <v>1058</v>
      </c>
    </row>
    <row r="144" spans="1:27" s="118" customFormat="1" ht="15" customHeight="1">
      <c r="A144">
        <v>34</v>
      </c>
      <c r="B144" s="139">
        <v>46168.685567129629</v>
      </c>
      <c r="C144" s="139">
        <v>46168.688159722216</v>
      </c>
      <c r="D144" t="s">
        <v>296</v>
      </c>
      <c r="E144" t="s">
        <v>297</v>
      </c>
      <c r="F144" t="s">
        <v>297</v>
      </c>
      <c r="G144" t="s">
        <v>298</v>
      </c>
      <c r="H144" s="139">
        <v>46153</v>
      </c>
      <c r="I144" t="s">
        <v>136</v>
      </c>
      <c r="J144" t="s">
        <v>161</v>
      </c>
      <c r="K144"/>
      <c r="L144"/>
      <c r="M144" t="s">
        <v>327</v>
      </c>
      <c r="N144" t="s">
        <v>328</v>
      </c>
      <c r="O144" t="s">
        <v>195</v>
      </c>
      <c r="P144" t="s">
        <v>305</v>
      </c>
      <c r="Q144" t="s">
        <v>123</v>
      </c>
      <c r="R144" t="s">
        <v>22</v>
      </c>
      <c r="S144" t="s">
        <v>143</v>
      </c>
      <c r="T144" t="s">
        <v>181</v>
      </c>
      <c r="U144"/>
      <c r="V144" t="s">
        <v>129</v>
      </c>
      <c r="W144" t="s">
        <v>130</v>
      </c>
      <c r="X144" t="s">
        <v>124</v>
      </c>
      <c r="Y144" t="s">
        <v>1040</v>
      </c>
      <c r="Z144">
        <v>2</v>
      </c>
      <c r="AA144" t="s">
        <v>1144</v>
      </c>
    </row>
    <row r="145" spans="1:27" s="118" customFormat="1" ht="15" customHeight="1">
      <c r="A145">
        <v>34</v>
      </c>
      <c r="B145" s="139">
        <v>46168.685567129629</v>
      </c>
      <c r="C145" s="139">
        <v>46168.688159722216</v>
      </c>
      <c r="D145" t="s">
        <v>296</v>
      </c>
      <c r="E145" t="s">
        <v>297</v>
      </c>
      <c r="F145" t="s">
        <v>297</v>
      </c>
      <c r="G145" t="s">
        <v>298</v>
      </c>
      <c r="H145" s="139">
        <v>46153</v>
      </c>
      <c r="I145" t="s">
        <v>136</v>
      </c>
      <c r="J145" t="s">
        <v>161</v>
      </c>
      <c r="K145"/>
      <c r="L145"/>
      <c r="M145" t="s">
        <v>327</v>
      </c>
      <c r="N145" t="s">
        <v>328</v>
      </c>
      <c r="O145" t="s">
        <v>195</v>
      </c>
      <c r="P145" t="s">
        <v>305</v>
      </c>
      <c r="Q145" t="s">
        <v>123</v>
      </c>
      <c r="R145" t="s">
        <v>22</v>
      </c>
      <c r="S145" t="s">
        <v>143</v>
      </c>
      <c r="T145" t="s">
        <v>181</v>
      </c>
      <c r="U145"/>
      <c r="V145" t="s">
        <v>129</v>
      </c>
      <c r="W145" t="s">
        <v>130</v>
      </c>
      <c r="X145" t="s">
        <v>124</v>
      </c>
      <c r="Y145" t="s">
        <v>1040</v>
      </c>
      <c r="Z145">
        <v>3</v>
      </c>
      <c r="AA145" t="s">
        <v>1145</v>
      </c>
    </row>
    <row r="146" spans="1:27" s="118" customFormat="1" ht="15" customHeight="1">
      <c r="A146">
        <v>34</v>
      </c>
      <c r="B146" s="139">
        <v>46168.685567129629</v>
      </c>
      <c r="C146" s="139">
        <v>46168.688159722216</v>
      </c>
      <c r="D146" t="s">
        <v>296</v>
      </c>
      <c r="E146" t="s">
        <v>297</v>
      </c>
      <c r="F146" t="s">
        <v>297</v>
      </c>
      <c r="G146" t="s">
        <v>298</v>
      </c>
      <c r="H146" s="139">
        <v>46153</v>
      </c>
      <c r="I146" t="s">
        <v>136</v>
      </c>
      <c r="J146" t="s">
        <v>161</v>
      </c>
      <c r="K146"/>
      <c r="L146"/>
      <c r="M146" t="s">
        <v>327</v>
      </c>
      <c r="N146" t="s">
        <v>328</v>
      </c>
      <c r="O146" t="s">
        <v>195</v>
      </c>
      <c r="P146" t="s">
        <v>305</v>
      </c>
      <c r="Q146" t="s">
        <v>123</v>
      </c>
      <c r="R146" t="s">
        <v>22</v>
      </c>
      <c r="S146" t="s">
        <v>143</v>
      </c>
      <c r="T146" t="s">
        <v>181</v>
      </c>
      <c r="U146"/>
      <c r="V146" t="s">
        <v>129</v>
      </c>
      <c r="W146" t="s">
        <v>130</v>
      </c>
      <c r="X146" t="s">
        <v>124</v>
      </c>
      <c r="Y146" t="s">
        <v>1042</v>
      </c>
      <c r="Z146">
        <v>1</v>
      </c>
      <c r="AA146" t="s">
        <v>1146</v>
      </c>
    </row>
    <row r="147" spans="1:27" s="118" customFormat="1" ht="15" customHeight="1">
      <c r="A147">
        <v>34</v>
      </c>
      <c r="B147" s="139">
        <v>46168.685567129629</v>
      </c>
      <c r="C147" s="139">
        <v>46168.688159722216</v>
      </c>
      <c r="D147" t="s">
        <v>296</v>
      </c>
      <c r="E147" t="s">
        <v>297</v>
      </c>
      <c r="F147" t="s">
        <v>297</v>
      </c>
      <c r="G147" t="s">
        <v>298</v>
      </c>
      <c r="H147" s="139">
        <v>46153</v>
      </c>
      <c r="I147" t="s">
        <v>136</v>
      </c>
      <c r="J147" t="s">
        <v>161</v>
      </c>
      <c r="K147"/>
      <c r="L147"/>
      <c r="M147" t="s">
        <v>327</v>
      </c>
      <c r="N147" t="s">
        <v>328</v>
      </c>
      <c r="O147" t="s">
        <v>195</v>
      </c>
      <c r="P147" t="s">
        <v>305</v>
      </c>
      <c r="Q147" t="s">
        <v>123</v>
      </c>
      <c r="R147" t="s">
        <v>22</v>
      </c>
      <c r="S147" t="s">
        <v>143</v>
      </c>
      <c r="T147" t="s">
        <v>181</v>
      </c>
      <c r="U147"/>
      <c r="V147" t="s">
        <v>129</v>
      </c>
      <c r="W147" t="s">
        <v>130</v>
      </c>
      <c r="X147" t="s">
        <v>124</v>
      </c>
      <c r="Y147" t="s">
        <v>1044</v>
      </c>
      <c r="Z147">
        <v>1</v>
      </c>
      <c r="AA147" t="s">
        <v>186</v>
      </c>
    </row>
    <row r="148" spans="1:27" s="118" customFormat="1" ht="15" customHeight="1">
      <c r="A148">
        <v>35</v>
      </c>
      <c r="B148" s="139">
        <v>46168.688530092593</v>
      </c>
      <c r="C148" s="139">
        <v>46168.689699074072</v>
      </c>
      <c r="D148" t="s">
        <v>296</v>
      </c>
      <c r="E148" t="s">
        <v>297</v>
      </c>
      <c r="F148" t="s">
        <v>297</v>
      </c>
      <c r="G148" t="s">
        <v>298</v>
      </c>
      <c r="H148" s="139">
        <v>46153</v>
      </c>
      <c r="I148" t="s">
        <v>136</v>
      </c>
      <c r="J148" t="s">
        <v>161</v>
      </c>
      <c r="K148"/>
      <c r="L148"/>
      <c r="M148" t="s">
        <v>327</v>
      </c>
      <c r="N148" t="s">
        <v>328</v>
      </c>
      <c r="O148" t="s">
        <v>195</v>
      </c>
      <c r="P148" t="s">
        <v>196</v>
      </c>
      <c r="Q148" t="s">
        <v>123</v>
      </c>
      <c r="R148" t="s">
        <v>22</v>
      </c>
      <c r="S148" t="s">
        <v>143</v>
      </c>
      <c r="T148" t="s">
        <v>181</v>
      </c>
      <c r="U148"/>
      <c r="V148" t="s">
        <v>151</v>
      </c>
      <c r="W148" t="s">
        <v>130</v>
      </c>
      <c r="X148" t="s">
        <v>124</v>
      </c>
      <c r="Y148" t="s">
        <v>1040</v>
      </c>
      <c r="Z148">
        <v>1</v>
      </c>
      <c r="AA148" t="s">
        <v>1124</v>
      </c>
    </row>
    <row r="149" spans="1:27" s="118" customFormat="1" ht="15" customHeight="1">
      <c r="A149">
        <v>35</v>
      </c>
      <c r="B149" s="139">
        <v>46168.688530092593</v>
      </c>
      <c r="C149" s="139">
        <v>46168.689699074072</v>
      </c>
      <c r="D149" t="s">
        <v>296</v>
      </c>
      <c r="E149" t="s">
        <v>297</v>
      </c>
      <c r="F149" t="s">
        <v>297</v>
      </c>
      <c r="G149" t="s">
        <v>298</v>
      </c>
      <c r="H149" s="139">
        <v>46153</v>
      </c>
      <c r="I149" t="s">
        <v>136</v>
      </c>
      <c r="J149" t="s">
        <v>161</v>
      </c>
      <c r="K149"/>
      <c r="L149"/>
      <c r="M149" t="s">
        <v>327</v>
      </c>
      <c r="N149" t="s">
        <v>328</v>
      </c>
      <c r="O149" t="s">
        <v>195</v>
      </c>
      <c r="P149" t="s">
        <v>196</v>
      </c>
      <c r="Q149" t="s">
        <v>123</v>
      </c>
      <c r="R149" t="s">
        <v>22</v>
      </c>
      <c r="S149" t="s">
        <v>143</v>
      </c>
      <c r="T149" t="s">
        <v>181</v>
      </c>
      <c r="U149"/>
      <c r="V149" t="s">
        <v>151</v>
      </c>
      <c r="W149" t="s">
        <v>130</v>
      </c>
      <c r="X149" t="s">
        <v>124</v>
      </c>
      <c r="Y149" t="s">
        <v>1042</v>
      </c>
      <c r="Z149">
        <v>1</v>
      </c>
      <c r="AA149" t="s">
        <v>1128</v>
      </c>
    </row>
    <row r="150" spans="1:27" s="118" customFormat="1" ht="15" customHeight="1">
      <c r="A150">
        <v>35</v>
      </c>
      <c r="B150" s="139">
        <v>46168.688530092593</v>
      </c>
      <c r="C150" s="139">
        <v>46168.689699074072</v>
      </c>
      <c r="D150" t="s">
        <v>296</v>
      </c>
      <c r="E150" t="s">
        <v>297</v>
      </c>
      <c r="F150" t="s">
        <v>297</v>
      </c>
      <c r="G150" t="s">
        <v>298</v>
      </c>
      <c r="H150" s="139">
        <v>46153</v>
      </c>
      <c r="I150" t="s">
        <v>136</v>
      </c>
      <c r="J150" t="s">
        <v>161</v>
      </c>
      <c r="K150"/>
      <c r="L150"/>
      <c r="M150" t="s">
        <v>327</v>
      </c>
      <c r="N150" t="s">
        <v>328</v>
      </c>
      <c r="O150" t="s">
        <v>195</v>
      </c>
      <c r="P150" t="s">
        <v>196</v>
      </c>
      <c r="Q150" t="s">
        <v>123</v>
      </c>
      <c r="R150" t="s">
        <v>22</v>
      </c>
      <c r="S150" t="s">
        <v>143</v>
      </c>
      <c r="T150" t="s">
        <v>181</v>
      </c>
      <c r="U150"/>
      <c r="V150" t="s">
        <v>151</v>
      </c>
      <c r="W150" t="s">
        <v>130</v>
      </c>
      <c r="X150" t="s">
        <v>124</v>
      </c>
      <c r="Y150" t="s">
        <v>1044</v>
      </c>
      <c r="Z150">
        <v>1</v>
      </c>
      <c r="AA150" t="s">
        <v>1147</v>
      </c>
    </row>
    <row r="151" spans="1:27" s="118" customFormat="1" ht="15" customHeight="1">
      <c r="A151">
        <v>55</v>
      </c>
      <c r="B151" s="139">
        <v>46168.843090277784</v>
      </c>
      <c r="C151" s="139">
        <v>46168.846134259264</v>
      </c>
      <c r="D151" t="s">
        <v>432</v>
      </c>
      <c r="E151" t="s">
        <v>433</v>
      </c>
      <c r="F151" t="s">
        <v>434</v>
      </c>
      <c r="G151" t="s">
        <v>435</v>
      </c>
      <c r="H151" s="139">
        <v>46153</v>
      </c>
      <c r="I151" t="s">
        <v>136</v>
      </c>
      <c r="J151" t="s">
        <v>161</v>
      </c>
      <c r="K151"/>
      <c r="L151"/>
      <c r="M151" t="s">
        <v>437</v>
      </c>
      <c r="N151" t="s">
        <v>438</v>
      </c>
      <c r="O151" t="s">
        <v>436</v>
      </c>
      <c r="P151" t="s">
        <v>108</v>
      </c>
      <c r="Q151" t="s">
        <v>109</v>
      </c>
      <c r="R151" t="s">
        <v>22</v>
      </c>
      <c r="S151" t="s">
        <v>149</v>
      </c>
      <c r="T151" t="s">
        <v>442</v>
      </c>
      <c r="U151"/>
      <c r="V151" t="s">
        <v>116</v>
      </c>
      <c r="W151" t="s">
        <v>130</v>
      </c>
      <c r="X151" t="s">
        <v>139</v>
      </c>
      <c r="Y151" t="s">
        <v>1040</v>
      </c>
      <c r="Z151">
        <v>1</v>
      </c>
      <c r="AA151" t="s">
        <v>1148</v>
      </c>
    </row>
    <row r="152" spans="1:27" s="118" customFormat="1" ht="15" customHeight="1">
      <c r="A152">
        <v>55</v>
      </c>
      <c r="B152" s="139">
        <v>46168.843090277784</v>
      </c>
      <c r="C152" s="139">
        <v>46168.846134259264</v>
      </c>
      <c r="D152" t="s">
        <v>432</v>
      </c>
      <c r="E152" t="s">
        <v>433</v>
      </c>
      <c r="F152" t="s">
        <v>434</v>
      </c>
      <c r="G152" t="s">
        <v>435</v>
      </c>
      <c r="H152" s="139">
        <v>46153</v>
      </c>
      <c r="I152" t="s">
        <v>136</v>
      </c>
      <c r="J152" t="s">
        <v>161</v>
      </c>
      <c r="K152"/>
      <c r="L152"/>
      <c r="M152" t="s">
        <v>437</v>
      </c>
      <c r="N152" t="s">
        <v>438</v>
      </c>
      <c r="O152" t="s">
        <v>436</v>
      </c>
      <c r="P152" t="s">
        <v>108</v>
      </c>
      <c r="Q152" t="s">
        <v>109</v>
      </c>
      <c r="R152" t="s">
        <v>22</v>
      </c>
      <c r="S152" t="s">
        <v>149</v>
      </c>
      <c r="T152" t="s">
        <v>442</v>
      </c>
      <c r="U152"/>
      <c r="V152" t="s">
        <v>116</v>
      </c>
      <c r="W152" t="s">
        <v>130</v>
      </c>
      <c r="X152" t="s">
        <v>139</v>
      </c>
      <c r="Y152" t="s">
        <v>1040</v>
      </c>
      <c r="Z152">
        <v>2</v>
      </c>
      <c r="AA152" t="s">
        <v>1149</v>
      </c>
    </row>
    <row r="153" spans="1:27" s="118" customFormat="1" ht="15" customHeight="1">
      <c r="A153">
        <v>55</v>
      </c>
      <c r="B153" s="139">
        <v>46168.843090277784</v>
      </c>
      <c r="C153" s="139">
        <v>46168.846134259264</v>
      </c>
      <c r="D153" t="s">
        <v>432</v>
      </c>
      <c r="E153" t="s">
        <v>433</v>
      </c>
      <c r="F153" t="s">
        <v>434</v>
      </c>
      <c r="G153" t="s">
        <v>435</v>
      </c>
      <c r="H153" s="139">
        <v>46153</v>
      </c>
      <c r="I153" t="s">
        <v>136</v>
      </c>
      <c r="J153" t="s">
        <v>161</v>
      </c>
      <c r="K153"/>
      <c r="L153"/>
      <c r="M153" t="s">
        <v>437</v>
      </c>
      <c r="N153" t="s">
        <v>438</v>
      </c>
      <c r="O153" t="s">
        <v>436</v>
      </c>
      <c r="P153" t="s">
        <v>108</v>
      </c>
      <c r="Q153" t="s">
        <v>109</v>
      </c>
      <c r="R153" t="s">
        <v>22</v>
      </c>
      <c r="S153" t="s">
        <v>149</v>
      </c>
      <c r="T153" t="s">
        <v>442</v>
      </c>
      <c r="U153"/>
      <c r="V153" t="s">
        <v>116</v>
      </c>
      <c r="W153" t="s">
        <v>130</v>
      </c>
      <c r="X153" t="s">
        <v>139</v>
      </c>
      <c r="Y153" t="s">
        <v>1042</v>
      </c>
      <c r="Z153">
        <v>1</v>
      </c>
      <c r="AA153" t="s">
        <v>1043</v>
      </c>
    </row>
    <row r="154" spans="1:27" s="118" customFormat="1" ht="15" customHeight="1">
      <c r="A154">
        <v>55</v>
      </c>
      <c r="B154" s="139">
        <v>46168.843090277784</v>
      </c>
      <c r="C154" s="139">
        <v>46168.846134259264</v>
      </c>
      <c r="D154" t="s">
        <v>432</v>
      </c>
      <c r="E154" t="s">
        <v>433</v>
      </c>
      <c r="F154" t="s">
        <v>434</v>
      </c>
      <c r="G154" t="s">
        <v>435</v>
      </c>
      <c r="H154" s="139">
        <v>46153</v>
      </c>
      <c r="I154" t="s">
        <v>136</v>
      </c>
      <c r="J154" t="s">
        <v>161</v>
      </c>
      <c r="K154"/>
      <c r="L154"/>
      <c r="M154" t="s">
        <v>437</v>
      </c>
      <c r="N154" t="s">
        <v>438</v>
      </c>
      <c r="O154" t="s">
        <v>436</v>
      </c>
      <c r="P154" t="s">
        <v>108</v>
      </c>
      <c r="Q154" t="s">
        <v>109</v>
      </c>
      <c r="R154" t="s">
        <v>22</v>
      </c>
      <c r="S154" t="s">
        <v>149</v>
      </c>
      <c r="T154" t="s">
        <v>442</v>
      </c>
      <c r="U154"/>
      <c r="V154" t="s">
        <v>116</v>
      </c>
      <c r="W154" t="s">
        <v>130</v>
      </c>
      <c r="X154" t="s">
        <v>139</v>
      </c>
      <c r="Y154" t="s">
        <v>1042</v>
      </c>
      <c r="Z154">
        <v>2</v>
      </c>
      <c r="AA154" t="s">
        <v>1096</v>
      </c>
    </row>
    <row r="155" spans="1:27" s="118" customFormat="1" ht="54.75" customHeight="1">
      <c r="A155">
        <v>55</v>
      </c>
      <c r="B155" s="139">
        <v>46168.843090277784</v>
      </c>
      <c r="C155" s="139">
        <v>46168.846134259264</v>
      </c>
      <c r="D155" t="s">
        <v>432</v>
      </c>
      <c r="E155" t="s">
        <v>433</v>
      </c>
      <c r="F155" t="s">
        <v>434</v>
      </c>
      <c r="G155" t="s">
        <v>435</v>
      </c>
      <c r="H155" s="139">
        <v>46153</v>
      </c>
      <c r="I155" t="s">
        <v>136</v>
      </c>
      <c r="J155" t="s">
        <v>161</v>
      </c>
      <c r="K155"/>
      <c r="L155"/>
      <c r="M155" t="s">
        <v>437</v>
      </c>
      <c r="N155" t="s">
        <v>438</v>
      </c>
      <c r="O155" t="s">
        <v>436</v>
      </c>
      <c r="P155" t="s">
        <v>108</v>
      </c>
      <c r="Q155" t="s">
        <v>109</v>
      </c>
      <c r="R155" t="s">
        <v>22</v>
      </c>
      <c r="S155" t="s">
        <v>149</v>
      </c>
      <c r="T155" t="s">
        <v>442</v>
      </c>
      <c r="U155"/>
      <c r="V155" t="s">
        <v>116</v>
      </c>
      <c r="W155" t="s">
        <v>130</v>
      </c>
      <c r="X155" t="s">
        <v>139</v>
      </c>
      <c r="Y155" t="s">
        <v>1042</v>
      </c>
      <c r="Z155">
        <v>3</v>
      </c>
      <c r="AA155" t="s">
        <v>1097</v>
      </c>
    </row>
    <row r="156" spans="1:27" s="118" customFormat="1" ht="54.75" customHeight="1">
      <c r="A156">
        <v>55</v>
      </c>
      <c r="B156" s="139">
        <v>46168.843090277784</v>
      </c>
      <c r="C156" s="139">
        <v>46168.846134259264</v>
      </c>
      <c r="D156" t="s">
        <v>432</v>
      </c>
      <c r="E156" t="s">
        <v>433</v>
      </c>
      <c r="F156" t="s">
        <v>434</v>
      </c>
      <c r="G156" t="s">
        <v>435</v>
      </c>
      <c r="H156" s="139">
        <v>46153</v>
      </c>
      <c r="I156" t="s">
        <v>136</v>
      </c>
      <c r="J156" t="s">
        <v>161</v>
      </c>
      <c r="K156"/>
      <c r="L156"/>
      <c r="M156" t="s">
        <v>437</v>
      </c>
      <c r="N156" t="s">
        <v>438</v>
      </c>
      <c r="O156" t="s">
        <v>436</v>
      </c>
      <c r="P156" t="s">
        <v>108</v>
      </c>
      <c r="Q156" t="s">
        <v>109</v>
      </c>
      <c r="R156" t="s">
        <v>22</v>
      </c>
      <c r="S156" t="s">
        <v>149</v>
      </c>
      <c r="T156" t="s">
        <v>442</v>
      </c>
      <c r="U156"/>
      <c r="V156" t="s">
        <v>116</v>
      </c>
      <c r="W156" t="s">
        <v>130</v>
      </c>
      <c r="X156" t="s">
        <v>139</v>
      </c>
      <c r="Y156" t="s">
        <v>1042</v>
      </c>
      <c r="Z156">
        <v>4</v>
      </c>
      <c r="AA156" t="s">
        <v>1070</v>
      </c>
    </row>
    <row r="157" spans="1:27" s="118" customFormat="1" ht="54.75" customHeight="1">
      <c r="A157">
        <v>55</v>
      </c>
      <c r="B157" s="139">
        <v>46168.843090277784</v>
      </c>
      <c r="C157" s="139">
        <v>46168.846134259264</v>
      </c>
      <c r="D157" t="s">
        <v>432</v>
      </c>
      <c r="E157" t="s">
        <v>433</v>
      </c>
      <c r="F157" t="s">
        <v>434</v>
      </c>
      <c r="G157" t="s">
        <v>435</v>
      </c>
      <c r="H157" s="139">
        <v>46153</v>
      </c>
      <c r="I157" t="s">
        <v>136</v>
      </c>
      <c r="J157" t="s">
        <v>161</v>
      </c>
      <c r="K157"/>
      <c r="L157"/>
      <c r="M157" t="s">
        <v>437</v>
      </c>
      <c r="N157" t="s">
        <v>438</v>
      </c>
      <c r="O157" t="s">
        <v>436</v>
      </c>
      <c r="P157" t="s">
        <v>108</v>
      </c>
      <c r="Q157" t="s">
        <v>109</v>
      </c>
      <c r="R157" t="s">
        <v>22</v>
      </c>
      <c r="S157" t="s">
        <v>149</v>
      </c>
      <c r="T157" t="s">
        <v>442</v>
      </c>
      <c r="U157"/>
      <c r="V157" t="s">
        <v>116</v>
      </c>
      <c r="W157" t="s">
        <v>130</v>
      </c>
      <c r="X157" t="s">
        <v>139</v>
      </c>
      <c r="Y157" t="s">
        <v>1044</v>
      </c>
      <c r="Z157">
        <v>1</v>
      </c>
      <c r="AA157" t="s">
        <v>1098</v>
      </c>
    </row>
    <row r="158" spans="1:27" s="118" customFormat="1" ht="15" customHeight="1">
      <c r="A158">
        <v>55</v>
      </c>
      <c r="B158" s="139">
        <v>46168.843090277784</v>
      </c>
      <c r="C158" s="139">
        <v>46168.846134259264</v>
      </c>
      <c r="D158" t="s">
        <v>432</v>
      </c>
      <c r="E158" t="s">
        <v>433</v>
      </c>
      <c r="F158" t="s">
        <v>434</v>
      </c>
      <c r="G158" t="s">
        <v>435</v>
      </c>
      <c r="H158" s="139">
        <v>46153</v>
      </c>
      <c r="I158" t="s">
        <v>136</v>
      </c>
      <c r="J158" t="s">
        <v>161</v>
      </c>
      <c r="K158"/>
      <c r="L158"/>
      <c r="M158" t="s">
        <v>437</v>
      </c>
      <c r="N158" t="s">
        <v>438</v>
      </c>
      <c r="O158" t="s">
        <v>436</v>
      </c>
      <c r="P158" t="s">
        <v>108</v>
      </c>
      <c r="Q158" t="s">
        <v>109</v>
      </c>
      <c r="R158" t="s">
        <v>22</v>
      </c>
      <c r="S158" t="s">
        <v>149</v>
      </c>
      <c r="T158" t="s">
        <v>442</v>
      </c>
      <c r="U158"/>
      <c r="V158" t="s">
        <v>116</v>
      </c>
      <c r="W158" t="s">
        <v>130</v>
      </c>
      <c r="X158" t="s">
        <v>139</v>
      </c>
      <c r="Y158" t="s">
        <v>1044</v>
      </c>
      <c r="Z158">
        <v>2</v>
      </c>
      <c r="AA158" t="s">
        <v>1150</v>
      </c>
    </row>
    <row r="159" spans="1:27" s="118" customFormat="1" ht="15" customHeight="1">
      <c r="A159">
        <v>55</v>
      </c>
      <c r="B159" s="139">
        <v>46168.843090277784</v>
      </c>
      <c r="C159" s="139">
        <v>46168.846134259264</v>
      </c>
      <c r="D159" t="s">
        <v>432</v>
      </c>
      <c r="E159" t="s">
        <v>433</v>
      </c>
      <c r="F159" t="s">
        <v>434</v>
      </c>
      <c r="G159" t="s">
        <v>435</v>
      </c>
      <c r="H159" s="139">
        <v>46153</v>
      </c>
      <c r="I159" t="s">
        <v>136</v>
      </c>
      <c r="J159" t="s">
        <v>161</v>
      </c>
      <c r="K159"/>
      <c r="L159"/>
      <c r="M159" t="s">
        <v>437</v>
      </c>
      <c r="N159" t="s">
        <v>438</v>
      </c>
      <c r="O159" t="s">
        <v>436</v>
      </c>
      <c r="P159" t="s">
        <v>108</v>
      </c>
      <c r="Q159" t="s">
        <v>109</v>
      </c>
      <c r="R159" t="s">
        <v>22</v>
      </c>
      <c r="S159" t="s">
        <v>149</v>
      </c>
      <c r="T159" t="s">
        <v>442</v>
      </c>
      <c r="U159"/>
      <c r="V159" t="s">
        <v>116</v>
      </c>
      <c r="W159" t="s">
        <v>130</v>
      </c>
      <c r="X159" t="s">
        <v>139</v>
      </c>
      <c r="Y159" t="s">
        <v>1044</v>
      </c>
      <c r="Z159">
        <v>3</v>
      </c>
      <c r="AA159" t="s">
        <v>1099</v>
      </c>
    </row>
    <row r="160" spans="1:27" s="118" customFormat="1" ht="15" customHeight="1">
      <c r="A160">
        <v>120</v>
      </c>
      <c r="B160" s="139">
        <v>46178.835462962961</v>
      </c>
      <c r="C160" s="139">
        <v>46178.84</v>
      </c>
      <c r="D160" t="s">
        <v>270</v>
      </c>
      <c r="E160" t="s">
        <v>271</v>
      </c>
      <c r="F160" t="s">
        <v>272</v>
      </c>
      <c r="G160" t="s">
        <v>273</v>
      </c>
      <c r="H160" s="139">
        <v>46153</v>
      </c>
      <c r="I160" t="s">
        <v>136</v>
      </c>
      <c r="J160" t="s">
        <v>187</v>
      </c>
      <c r="K160" t="s">
        <v>188</v>
      </c>
      <c r="L160"/>
      <c r="M160"/>
      <c r="N160" t="s">
        <v>738</v>
      </c>
      <c r="O160" t="s">
        <v>107</v>
      </c>
      <c r="P160" t="s">
        <v>108</v>
      </c>
      <c r="Q160" t="s">
        <v>248</v>
      </c>
      <c r="R160" t="s">
        <v>23</v>
      </c>
      <c r="S160" t="s">
        <v>149</v>
      </c>
      <c r="T160" t="s">
        <v>181</v>
      </c>
      <c r="U160"/>
      <c r="V160" t="s">
        <v>129</v>
      </c>
      <c r="W160" t="s">
        <v>130</v>
      </c>
      <c r="X160" t="s">
        <v>252</v>
      </c>
      <c r="Y160" t="s">
        <v>1039</v>
      </c>
      <c r="Z160">
        <v>1</v>
      </c>
      <c r="AA160" t="s">
        <v>739</v>
      </c>
    </row>
    <row r="161" spans="1:27" s="118" customFormat="1" ht="81.75" customHeight="1">
      <c r="A161">
        <v>17</v>
      </c>
      <c r="B161" s="139">
        <v>46167.661666666667</v>
      </c>
      <c r="C161" s="139">
        <v>46167.667870370373</v>
      </c>
      <c r="D161" t="s">
        <v>227</v>
      </c>
      <c r="E161" t="s">
        <v>228</v>
      </c>
      <c r="F161" t="s">
        <v>228</v>
      </c>
      <c r="G161" t="s">
        <v>229</v>
      </c>
      <c r="H161" s="139">
        <v>46154</v>
      </c>
      <c r="I161" t="s">
        <v>136</v>
      </c>
      <c r="J161" t="s">
        <v>174</v>
      </c>
      <c r="K161"/>
      <c r="L161" t="s">
        <v>217</v>
      </c>
      <c r="M161"/>
      <c r="N161" t="s">
        <v>114</v>
      </c>
      <c r="O161" t="s">
        <v>135</v>
      </c>
      <c r="P161" t="s">
        <v>108</v>
      </c>
      <c r="Q161" t="s">
        <v>109</v>
      </c>
      <c r="R161" t="s">
        <v>22</v>
      </c>
      <c r="S161" t="s">
        <v>149</v>
      </c>
      <c r="T161" t="s">
        <v>181</v>
      </c>
      <c r="U161"/>
      <c r="V161" t="s">
        <v>151</v>
      </c>
      <c r="W161" t="s">
        <v>130</v>
      </c>
      <c r="X161" t="s">
        <v>110</v>
      </c>
      <c r="Y161" t="s">
        <v>1040</v>
      </c>
      <c r="Z161">
        <v>1</v>
      </c>
      <c r="AA161" t="s">
        <v>186</v>
      </c>
    </row>
    <row r="162" spans="1:27" s="118" customFormat="1" ht="15" customHeight="1">
      <c r="A162">
        <v>17</v>
      </c>
      <c r="B162" s="139">
        <v>46167.661666666667</v>
      </c>
      <c r="C162" s="139">
        <v>46167.667870370373</v>
      </c>
      <c r="D162" t="s">
        <v>227</v>
      </c>
      <c r="E162" t="s">
        <v>228</v>
      </c>
      <c r="F162" t="s">
        <v>228</v>
      </c>
      <c r="G162" t="s">
        <v>229</v>
      </c>
      <c r="H162" s="139">
        <v>46154</v>
      </c>
      <c r="I162" t="s">
        <v>136</v>
      </c>
      <c r="J162" t="s">
        <v>174</v>
      </c>
      <c r="K162"/>
      <c r="L162" t="s">
        <v>217</v>
      </c>
      <c r="M162"/>
      <c r="N162" t="s">
        <v>114</v>
      </c>
      <c r="O162" t="s">
        <v>135</v>
      </c>
      <c r="P162" t="s">
        <v>108</v>
      </c>
      <c r="Q162" t="s">
        <v>109</v>
      </c>
      <c r="R162" t="s">
        <v>22</v>
      </c>
      <c r="S162" t="s">
        <v>149</v>
      </c>
      <c r="T162" t="s">
        <v>181</v>
      </c>
      <c r="U162"/>
      <c r="V162" t="s">
        <v>151</v>
      </c>
      <c r="W162" t="s">
        <v>130</v>
      </c>
      <c r="X162" t="s">
        <v>110</v>
      </c>
      <c r="Y162" t="s">
        <v>1042</v>
      </c>
      <c r="Z162">
        <v>1</v>
      </c>
      <c r="AA162" t="s">
        <v>1151</v>
      </c>
    </row>
    <row r="163" spans="1:27" s="118" customFormat="1" ht="15" customHeight="1">
      <c r="A163">
        <v>17</v>
      </c>
      <c r="B163" s="139">
        <v>46167.661666666667</v>
      </c>
      <c r="C163" s="139">
        <v>46167.667870370373</v>
      </c>
      <c r="D163" t="s">
        <v>227</v>
      </c>
      <c r="E163" t="s">
        <v>228</v>
      </c>
      <c r="F163" t="s">
        <v>228</v>
      </c>
      <c r="G163" t="s">
        <v>229</v>
      </c>
      <c r="H163" s="139">
        <v>46154</v>
      </c>
      <c r="I163" t="s">
        <v>136</v>
      </c>
      <c r="J163" t="s">
        <v>174</v>
      </c>
      <c r="K163"/>
      <c r="L163" t="s">
        <v>217</v>
      </c>
      <c r="M163"/>
      <c r="N163" t="s">
        <v>114</v>
      </c>
      <c r="O163" t="s">
        <v>135</v>
      </c>
      <c r="P163" t="s">
        <v>108</v>
      </c>
      <c r="Q163" t="s">
        <v>109</v>
      </c>
      <c r="R163" t="s">
        <v>22</v>
      </c>
      <c r="S163" t="s">
        <v>149</v>
      </c>
      <c r="T163" t="s">
        <v>181</v>
      </c>
      <c r="U163"/>
      <c r="V163" t="s">
        <v>151</v>
      </c>
      <c r="W163" t="s">
        <v>130</v>
      </c>
      <c r="X163" t="s">
        <v>110</v>
      </c>
      <c r="Y163" t="s">
        <v>1042</v>
      </c>
      <c r="Z163">
        <v>2</v>
      </c>
      <c r="AA163" t="s">
        <v>1152</v>
      </c>
    </row>
    <row r="164" spans="1:27" s="118" customFormat="1" ht="15" customHeight="1">
      <c r="A164">
        <v>17</v>
      </c>
      <c r="B164" s="139">
        <v>46167.661666666667</v>
      </c>
      <c r="C164" s="139">
        <v>46167.667870370373</v>
      </c>
      <c r="D164" t="s">
        <v>227</v>
      </c>
      <c r="E164" t="s">
        <v>228</v>
      </c>
      <c r="F164" t="s">
        <v>228</v>
      </c>
      <c r="G164" t="s">
        <v>229</v>
      </c>
      <c r="H164" s="139">
        <v>46154</v>
      </c>
      <c r="I164" t="s">
        <v>136</v>
      </c>
      <c r="J164" t="s">
        <v>174</v>
      </c>
      <c r="K164"/>
      <c r="L164" t="s">
        <v>217</v>
      </c>
      <c r="M164"/>
      <c r="N164" t="s">
        <v>114</v>
      </c>
      <c r="O164" t="s">
        <v>135</v>
      </c>
      <c r="P164" t="s">
        <v>108</v>
      </c>
      <c r="Q164" t="s">
        <v>109</v>
      </c>
      <c r="R164" t="s">
        <v>22</v>
      </c>
      <c r="S164" t="s">
        <v>149</v>
      </c>
      <c r="T164" t="s">
        <v>181</v>
      </c>
      <c r="U164"/>
      <c r="V164" t="s">
        <v>151</v>
      </c>
      <c r="W164" t="s">
        <v>130</v>
      </c>
      <c r="X164" t="s">
        <v>110</v>
      </c>
      <c r="Y164" t="s">
        <v>1042</v>
      </c>
      <c r="Z164">
        <v>3</v>
      </c>
      <c r="AA164" t="s">
        <v>1153</v>
      </c>
    </row>
    <row r="165" spans="1:27" ht="15" customHeight="1">
      <c r="A165">
        <v>17</v>
      </c>
      <c r="B165" s="139">
        <v>46167.661666666667</v>
      </c>
      <c r="C165" s="139">
        <v>46167.667870370373</v>
      </c>
      <c r="D165" t="s">
        <v>227</v>
      </c>
      <c r="E165" t="s">
        <v>228</v>
      </c>
      <c r="F165" t="s">
        <v>228</v>
      </c>
      <c r="G165" t="s">
        <v>229</v>
      </c>
      <c r="H165" s="139">
        <v>46154</v>
      </c>
      <c r="I165" t="s">
        <v>136</v>
      </c>
      <c r="J165" t="s">
        <v>174</v>
      </c>
      <c r="L165" t="s">
        <v>217</v>
      </c>
      <c r="N165" t="s">
        <v>114</v>
      </c>
      <c r="O165" t="s">
        <v>135</v>
      </c>
      <c r="P165" t="s">
        <v>108</v>
      </c>
      <c r="Q165" t="s">
        <v>109</v>
      </c>
      <c r="R165" t="s">
        <v>22</v>
      </c>
      <c r="S165" t="s">
        <v>149</v>
      </c>
      <c r="T165" t="s">
        <v>181</v>
      </c>
      <c r="V165" t="s">
        <v>151</v>
      </c>
      <c r="W165" t="s">
        <v>130</v>
      </c>
      <c r="X165" t="s">
        <v>110</v>
      </c>
      <c r="Y165" t="s">
        <v>1044</v>
      </c>
      <c r="Z165">
        <v>1</v>
      </c>
      <c r="AA165" t="s">
        <v>186</v>
      </c>
    </row>
    <row r="166" spans="1:27" ht="15" customHeight="1">
      <c r="A166">
        <v>40</v>
      </c>
      <c r="B166" s="139">
        <v>46168.701469907413</v>
      </c>
      <c r="C166" s="139">
        <v>46168.707939814813</v>
      </c>
      <c r="D166" t="s">
        <v>351</v>
      </c>
      <c r="E166" t="s">
        <v>352</v>
      </c>
      <c r="F166" t="s">
        <v>353</v>
      </c>
      <c r="G166" t="s">
        <v>354</v>
      </c>
      <c r="H166" s="139">
        <v>46154</v>
      </c>
      <c r="I166" t="s">
        <v>136</v>
      </c>
      <c r="J166" t="s">
        <v>161</v>
      </c>
      <c r="M166" t="s">
        <v>355</v>
      </c>
      <c r="N166" t="s">
        <v>356</v>
      </c>
      <c r="O166" t="s">
        <v>122</v>
      </c>
      <c r="P166" t="s">
        <v>108</v>
      </c>
      <c r="Q166" t="s">
        <v>123</v>
      </c>
      <c r="R166" t="s">
        <v>21</v>
      </c>
      <c r="S166" t="s">
        <v>143</v>
      </c>
      <c r="T166" t="s">
        <v>233</v>
      </c>
      <c r="U166" t="s">
        <v>360</v>
      </c>
      <c r="V166" t="s">
        <v>151</v>
      </c>
      <c r="W166" t="s">
        <v>130</v>
      </c>
      <c r="X166" t="s">
        <v>177</v>
      </c>
      <c r="Y166" t="s">
        <v>1040</v>
      </c>
      <c r="Z166">
        <v>1</v>
      </c>
      <c r="AA166" t="s">
        <v>1101</v>
      </c>
    </row>
    <row r="167" spans="1:27" ht="15" customHeight="1">
      <c r="A167">
        <v>40</v>
      </c>
      <c r="B167" s="139">
        <v>46168.701469907413</v>
      </c>
      <c r="C167" s="139">
        <v>46168.707939814813</v>
      </c>
      <c r="D167" t="s">
        <v>351</v>
      </c>
      <c r="E167" t="s">
        <v>352</v>
      </c>
      <c r="F167" t="s">
        <v>353</v>
      </c>
      <c r="G167" t="s">
        <v>354</v>
      </c>
      <c r="H167" s="139">
        <v>46154</v>
      </c>
      <c r="I167" t="s">
        <v>136</v>
      </c>
      <c r="J167" t="s">
        <v>161</v>
      </c>
      <c r="M167" t="s">
        <v>355</v>
      </c>
      <c r="N167" t="s">
        <v>356</v>
      </c>
      <c r="O167" t="s">
        <v>122</v>
      </c>
      <c r="P167" t="s">
        <v>108</v>
      </c>
      <c r="Q167" t="s">
        <v>123</v>
      </c>
      <c r="R167" t="s">
        <v>21</v>
      </c>
      <c r="S167" t="s">
        <v>143</v>
      </c>
      <c r="T167" t="s">
        <v>233</v>
      </c>
      <c r="U167" t="s">
        <v>360</v>
      </c>
      <c r="V167" t="s">
        <v>151</v>
      </c>
      <c r="W167" t="s">
        <v>130</v>
      </c>
      <c r="X167" t="s">
        <v>177</v>
      </c>
      <c r="Y167" t="s">
        <v>1040</v>
      </c>
      <c r="Z167">
        <v>2</v>
      </c>
      <c r="AA167" t="s">
        <v>1154</v>
      </c>
    </row>
    <row r="168" spans="1:27" ht="15" customHeight="1">
      <c r="A168">
        <v>40</v>
      </c>
      <c r="B168" s="139">
        <v>46168.701469907413</v>
      </c>
      <c r="C168" s="139">
        <v>46168.707939814813</v>
      </c>
      <c r="D168" t="s">
        <v>351</v>
      </c>
      <c r="E168" t="s">
        <v>352</v>
      </c>
      <c r="F168" t="s">
        <v>353</v>
      </c>
      <c r="G168" t="s">
        <v>354</v>
      </c>
      <c r="H168" s="139">
        <v>46154</v>
      </c>
      <c r="I168" t="s">
        <v>136</v>
      </c>
      <c r="J168" t="s">
        <v>161</v>
      </c>
      <c r="M168" t="s">
        <v>355</v>
      </c>
      <c r="N168" t="s">
        <v>356</v>
      </c>
      <c r="O168" t="s">
        <v>122</v>
      </c>
      <c r="P168" t="s">
        <v>108</v>
      </c>
      <c r="Q168" t="s">
        <v>123</v>
      </c>
      <c r="R168" t="s">
        <v>21</v>
      </c>
      <c r="S168" t="s">
        <v>143</v>
      </c>
      <c r="T168" t="s">
        <v>233</v>
      </c>
      <c r="U168" t="s">
        <v>360</v>
      </c>
      <c r="V168" t="s">
        <v>151</v>
      </c>
      <c r="W168" t="s">
        <v>130</v>
      </c>
      <c r="X168" t="s">
        <v>177</v>
      </c>
      <c r="Y168" t="s">
        <v>1042</v>
      </c>
      <c r="Z168">
        <v>1</v>
      </c>
      <c r="AA168" t="s">
        <v>1104</v>
      </c>
    </row>
    <row r="169" spans="1:27" ht="15" customHeight="1">
      <c r="A169">
        <v>40</v>
      </c>
      <c r="B169" s="139">
        <v>46168.701469907413</v>
      </c>
      <c r="C169" s="139">
        <v>46168.707939814813</v>
      </c>
      <c r="D169" t="s">
        <v>351</v>
      </c>
      <c r="E169" t="s">
        <v>352</v>
      </c>
      <c r="F169" t="s">
        <v>353</v>
      </c>
      <c r="G169" t="s">
        <v>354</v>
      </c>
      <c r="H169" s="139">
        <v>46154</v>
      </c>
      <c r="I169" t="s">
        <v>136</v>
      </c>
      <c r="J169" t="s">
        <v>161</v>
      </c>
      <c r="M169" t="s">
        <v>355</v>
      </c>
      <c r="N169" t="s">
        <v>356</v>
      </c>
      <c r="O169" t="s">
        <v>122</v>
      </c>
      <c r="P169" t="s">
        <v>108</v>
      </c>
      <c r="Q169" t="s">
        <v>123</v>
      </c>
      <c r="R169" t="s">
        <v>21</v>
      </c>
      <c r="S169" t="s">
        <v>143</v>
      </c>
      <c r="T169" t="s">
        <v>233</v>
      </c>
      <c r="U169" t="s">
        <v>360</v>
      </c>
      <c r="V169" t="s">
        <v>151</v>
      </c>
      <c r="W169" t="s">
        <v>130</v>
      </c>
      <c r="X169" t="s">
        <v>177</v>
      </c>
      <c r="Y169" t="s">
        <v>1042</v>
      </c>
      <c r="Z169">
        <v>2</v>
      </c>
      <c r="AA169" t="s">
        <v>1155</v>
      </c>
    </row>
    <row r="170" spans="1:27" ht="15" customHeight="1">
      <c r="A170">
        <v>40</v>
      </c>
      <c r="B170" s="139">
        <v>46168.701469907413</v>
      </c>
      <c r="C170" s="139">
        <v>46168.707939814813</v>
      </c>
      <c r="D170" t="s">
        <v>351</v>
      </c>
      <c r="E170" t="s">
        <v>352</v>
      </c>
      <c r="F170" t="s">
        <v>353</v>
      </c>
      <c r="G170" t="s">
        <v>354</v>
      </c>
      <c r="H170" s="139">
        <v>46154</v>
      </c>
      <c r="I170" t="s">
        <v>136</v>
      </c>
      <c r="J170" t="s">
        <v>161</v>
      </c>
      <c r="M170" t="s">
        <v>355</v>
      </c>
      <c r="N170" t="s">
        <v>356</v>
      </c>
      <c r="O170" t="s">
        <v>122</v>
      </c>
      <c r="P170" t="s">
        <v>108</v>
      </c>
      <c r="Q170" t="s">
        <v>123</v>
      </c>
      <c r="R170" t="s">
        <v>21</v>
      </c>
      <c r="S170" t="s">
        <v>143</v>
      </c>
      <c r="T170" t="s">
        <v>233</v>
      </c>
      <c r="U170" t="s">
        <v>360</v>
      </c>
      <c r="V170" t="s">
        <v>151</v>
      </c>
      <c r="W170" t="s">
        <v>130</v>
      </c>
      <c r="X170" t="s">
        <v>177</v>
      </c>
      <c r="Y170" t="s">
        <v>1044</v>
      </c>
      <c r="Z170">
        <v>1</v>
      </c>
      <c r="AA170" t="s">
        <v>1109</v>
      </c>
    </row>
    <row r="171" spans="1:27" ht="15" customHeight="1">
      <c r="A171">
        <v>40</v>
      </c>
      <c r="B171" s="139">
        <v>46168.701469907413</v>
      </c>
      <c r="C171" s="139">
        <v>46168.707939814813</v>
      </c>
      <c r="D171" t="s">
        <v>351</v>
      </c>
      <c r="E171" t="s">
        <v>352</v>
      </c>
      <c r="F171" t="s">
        <v>353</v>
      </c>
      <c r="G171" t="s">
        <v>354</v>
      </c>
      <c r="H171" s="139">
        <v>46154</v>
      </c>
      <c r="I171" t="s">
        <v>136</v>
      </c>
      <c r="J171" t="s">
        <v>161</v>
      </c>
      <c r="M171" t="s">
        <v>355</v>
      </c>
      <c r="N171" t="s">
        <v>356</v>
      </c>
      <c r="O171" t="s">
        <v>122</v>
      </c>
      <c r="P171" t="s">
        <v>108</v>
      </c>
      <c r="Q171" t="s">
        <v>123</v>
      </c>
      <c r="R171" t="s">
        <v>21</v>
      </c>
      <c r="S171" t="s">
        <v>143</v>
      </c>
      <c r="T171" t="s">
        <v>233</v>
      </c>
      <c r="U171" t="s">
        <v>360</v>
      </c>
      <c r="V171" t="s">
        <v>151</v>
      </c>
      <c r="W171" t="s">
        <v>130</v>
      </c>
      <c r="X171" t="s">
        <v>177</v>
      </c>
      <c r="Y171" t="s">
        <v>1044</v>
      </c>
      <c r="Z171">
        <v>2</v>
      </c>
      <c r="AA171" t="s">
        <v>909</v>
      </c>
    </row>
    <row r="172" spans="1:27" ht="15" customHeight="1">
      <c r="A172">
        <v>40</v>
      </c>
      <c r="B172" s="139">
        <v>46168.701469907413</v>
      </c>
      <c r="C172" s="139">
        <v>46168.707939814813</v>
      </c>
      <c r="D172" t="s">
        <v>351</v>
      </c>
      <c r="E172" t="s">
        <v>352</v>
      </c>
      <c r="F172" t="s">
        <v>353</v>
      </c>
      <c r="G172" t="s">
        <v>354</v>
      </c>
      <c r="H172" s="139">
        <v>46154</v>
      </c>
      <c r="I172" t="s">
        <v>136</v>
      </c>
      <c r="J172" t="s">
        <v>161</v>
      </c>
      <c r="M172" t="s">
        <v>355</v>
      </c>
      <c r="N172" t="s">
        <v>356</v>
      </c>
      <c r="O172" t="s">
        <v>122</v>
      </c>
      <c r="P172" t="s">
        <v>108</v>
      </c>
      <c r="Q172" t="s">
        <v>123</v>
      </c>
      <c r="R172" t="s">
        <v>21</v>
      </c>
      <c r="S172" t="s">
        <v>143</v>
      </c>
      <c r="T172" t="s">
        <v>233</v>
      </c>
      <c r="U172" t="s">
        <v>360</v>
      </c>
      <c r="V172" t="s">
        <v>151</v>
      </c>
      <c r="W172" t="s">
        <v>130</v>
      </c>
      <c r="X172" t="s">
        <v>177</v>
      </c>
      <c r="Y172" t="s">
        <v>1044</v>
      </c>
      <c r="Z172">
        <v>3</v>
      </c>
      <c r="AA172" t="s">
        <v>1156</v>
      </c>
    </row>
    <row r="173" spans="1:27" ht="15" customHeight="1">
      <c r="A173">
        <v>40</v>
      </c>
      <c r="B173" s="139">
        <v>46168.701469907413</v>
      </c>
      <c r="C173" s="139">
        <v>46168.707939814813</v>
      </c>
      <c r="D173" t="s">
        <v>351</v>
      </c>
      <c r="E173" t="s">
        <v>352</v>
      </c>
      <c r="F173" t="s">
        <v>353</v>
      </c>
      <c r="G173" t="s">
        <v>354</v>
      </c>
      <c r="H173" s="139">
        <v>46154</v>
      </c>
      <c r="I173" t="s">
        <v>136</v>
      </c>
      <c r="J173" t="s">
        <v>161</v>
      </c>
      <c r="M173" t="s">
        <v>355</v>
      </c>
      <c r="N173" t="s">
        <v>356</v>
      </c>
      <c r="O173" t="s">
        <v>122</v>
      </c>
      <c r="P173" t="s">
        <v>108</v>
      </c>
      <c r="Q173" t="s">
        <v>123</v>
      </c>
      <c r="R173" t="s">
        <v>21</v>
      </c>
      <c r="S173" t="s">
        <v>143</v>
      </c>
      <c r="T173" t="s">
        <v>233</v>
      </c>
      <c r="U173" t="s">
        <v>360</v>
      </c>
      <c r="V173" t="s">
        <v>151</v>
      </c>
      <c r="W173" t="s">
        <v>130</v>
      </c>
      <c r="X173" t="s">
        <v>177</v>
      </c>
      <c r="Y173" t="s">
        <v>1044</v>
      </c>
      <c r="Z173">
        <v>4</v>
      </c>
      <c r="AA173" t="s">
        <v>1110</v>
      </c>
    </row>
    <row r="174" spans="1:27" ht="15" customHeight="1">
      <c r="A174">
        <v>54</v>
      </c>
      <c r="B174" s="139">
        <v>46168.770219907397</v>
      </c>
      <c r="C174" s="139">
        <v>46168.780312499999</v>
      </c>
      <c r="D174" t="s">
        <v>424</v>
      </c>
      <c r="E174" t="s">
        <v>425</v>
      </c>
      <c r="F174" t="s">
        <v>425</v>
      </c>
      <c r="G174" t="s">
        <v>426</v>
      </c>
      <c r="H174" s="139">
        <v>46154</v>
      </c>
      <c r="I174" t="s">
        <v>427</v>
      </c>
      <c r="J174" t="s">
        <v>161</v>
      </c>
      <c r="M174" t="s">
        <v>428</v>
      </c>
      <c r="O174" t="s">
        <v>135</v>
      </c>
      <c r="P174" t="s">
        <v>108</v>
      </c>
      <c r="Q174" t="s">
        <v>109</v>
      </c>
      <c r="R174" t="s">
        <v>22</v>
      </c>
      <c r="S174" t="s">
        <v>114</v>
      </c>
      <c r="T174" t="s">
        <v>150</v>
      </c>
      <c r="V174" t="s">
        <v>129</v>
      </c>
      <c r="W174" t="s">
        <v>130</v>
      </c>
      <c r="X174" t="s">
        <v>302</v>
      </c>
      <c r="Y174" t="s">
        <v>1040</v>
      </c>
      <c r="Z174">
        <v>1</v>
      </c>
      <c r="AA174" t="s">
        <v>1157</v>
      </c>
    </row>
    <row r="175" spans="1:27" s="118" customFormat="1" ht="15" customHeight="1">
      <c r="A175">
        <v>54</v>
      </c>
      <c r="B175" s="139">
        <v>46168.770219907397</v>
      </c>
      <c r="C175" s="139">
        <v>46168.780312499999</v>
      </c>
      <c r="D175" t="s">
        <v>424</v>
      </c>
      <c r="E175" t="s">
        <v>425</v>
      </c>
      <c r="F175" t="s">
        <v>425</v>
      </c>
      <c r="G175" t="s">
        <v>426</v>
      </c>
      <c r="H175" s="139">
        <v>46154</v>
      </c>
      <c r="I175" t="s">
        <v>427</v>
      </c>
      <c r="J175" t="s">
        <v>161</v>
      </c>
      <c r="K175"/>
      <c r="L175"/>
      <c r="M175" t="s">
        <v>428</v>
      </c>
      <c r="N175"/>
      <c r="O175" t="s">
        <v>135</v>
      </c>
      <c r="P175" t="s">
        <v>108</v>
      </c>
      <c r="Q175" t="s">
        <v>109</v>
      </c>
      <c r="R175" t="s">
        <v>22</v>
      </c>
      <c r="S175" t="s">
        <v>114</v>
      </c>
      <c r="T175" t="s">
        <v>150</v>
      </c>
      <c r="U175"/>
      <c r="V175" t="s">
        <v>129</v>
      </c>
      <c r="W175" t="s">
        <v>130</v>
      </c>
      <c r="X175" t="s">
        <v>302</v>
      </c>
      <c r="Y175" t="s">
        <v>1042</v>
      </c>
      <c r="Z175">
        <v>1</v>
      </c>
      <c r="AA175" t="s">
        <v>1092</v>
      </c>
    </row>
    <row r="176" spans="1:27" s="118" customFormat="1" ht="95.25" customHeight="1">
      <c r="A176">
        <v>54</v>
      </c>
      <c r="B176" s="139">
        <v>46168.770219907397</v>
      </c>
      <c r="C176" s="139">
        <v>46168.780312499999</v>
      </c>
      <c r="D176" t="s">
        <v>424</v>
      </c>
      <c r="E176" t="s">
        <v>425</v>
      </c>
      <c r="F176" t="s">
        <v>425</v>
      </c>
      <c r="G176" t="s">
        <v>426</v>
      </c>
      <c r="H176" s="139">
        <v>46154</v>
      </c>
      <c r="I176" t="s">
        <v>427</v>
      </c>
      <c r="J176" t="s">
        <v>161</v>
      </c>
      <c r="K176"/>
      <c r="L176"/>
      <c r="M176" t="s">
        <v>428</v>
      </c>
      <c r="N176"/>
      <c r="O176" t="s">
        <v>135</v>
      </c>
      <c r="P176" t="s">
        <v>108</v>
      </c>
      <c r="Q176" t="s">
        <v>109</v>
      </c>
      <c r="R176" t="s">
        <v>22</v>
      </c>
      <c r="S176" t="s">
        <v>114</v>
      </c>
      <c r="T176" t="s">
        <v>150</v>
      </c>
      <c r="U176"/>
      <c r="V176" t="s">
        <v>129</v>
      </c>
      <c r="W176" t="s">
        <v>130</v>
      </c>
      <c r="X176" t="s">
        <v>302</v>
      </c>
      <c r="Y176" t="s">
        <v>1044</v>
      </c>
      <c r="Z176">
        <v>1</v>
      </c>
      <c r="AA176" t="s">
        <v>1158</v>
      </c>
    </row>
    <row r="177" spans="1:27" s="118" customFormat="1" ht="15" customHeight="1">
      <c r="A177">
        <v>71</v>
      </c>
      <c r="B177" s="139">
        <v>46175.818877314807</v>
      </c>
      <c r="C177" s="139">
        <v>46175.820590277777</v>
      </c>
      <c r="D177" t="s">
        <v>513</v>
      </c>
      <c r="E177" t="s">
        <v>514</v>
      </c>
      <c r="F177" t="s">
        <v>515</v>
      </c>
      <c r="G177" t="s">
        <v>516</v>
      </c>
      <c r="H177" s="139">
        <v>46154</v>
      </c>
      <c r="I177" t="s">
        <v>472</v>
      </c>
      <c r="J177" t="s">
        <v>161</v>
      </c>
      <c r="K177"/>
      <c r="L177"/>
      <c r="M177" t="s">
        <v>517</v>
      </c>
      <c r="N177" t="s">
        <v>518</v>
      </c>
      <c r="O177" t="s">
        <v>135</v>
      </c>
      <c r="P177" t="s">
        <v>108</v>
      </c>
      <c r="Q177" t="s">
        <v>109</v>
      </c>
      <c r="R177" t="s">
        <v>22</v>
      </c>
      <c r="S177" t="s">
        <v>149</v>
      </c>
      <c r="T177" t="s">
        <v>144</v>
      </c>
      <c r="U177"/>
      <c r="V177" t="s">
        <v>151</v>
      </c>
      <c r="W177" t="s">
        <v>130</v>
      </c>
      <c r="X177" t="s">
        <v>199</v>
      </c>
      <c r="Y177" t="s">
        <v>1040</v>
      </c>
      <c r="Z177">
        <v>1</v>
      </c>
      <c r="AA177" t="s">
        <v>1088</v>
      </c>
    </row>
    <row r="178" spans="1:27" s="118" customFormat="1" ht="15" customHeight="1">
      <c r="A178">
        <v>71</v>
      </c>
      <c r="B178" s="139">
        <v>46175.818877314807</v>
      </c>
      <c r="C178" s="139">
        <v>46175.820590277777</v>
      </c>
      <c r="D178" t="s">
        <v>513</v>
      </c>
      <c r="E178" t="s">
        <v>514</v>
      </c>
      <c r="F178" t="s">
        <v>515</v>
      </c>
      <c r="G178" t="s">
        <v>516</v>
      </c>
      <c r="H178" s="139">
        <v>46154</v>
      </c>
      <c r="I178" t="s">
        <v>472</v>
      </c>
      <c r="J178" t="s">
        <v>161</v>
      </c>
      <c r="K178"/>
      <c r="L178"/>
      <c r="M178" t="s">
        <v>517</v>
      </c>
      <c r="N178" t="s">
        <v>518</v>
      </c>
      <c r="O178" t="s">
        <v>135</v>
      </c>
      <c r="P178" t="s">
        <v>108</v>
      </c>
      <c r="Q178" t="s">
        <v>109</v>
      </c>
      <c r="R178" t="s">
        <v>22</v>
      </c>
      <c r="S178" t="s">
        <v>149</v>
      </c>
      <c r="T178" t="s">
        <v>144</v>
      </c>
      <c r="U178"/>
      <c r="V178" t="s">
        <v>151</v>
      </c>
      <c r="W178" t="s">
        <v>130</v>
      </c>
      <c r="X178" t="s">
        <v>199</v>
      </c>
      <c r="Y178" t="s">
        <v>1040</v>
      </c>
      <c r="Z178">
        <v>2</v>
      </c>
      <c r="AA178" t="s">
        <v>1119</v>
      </c>
    </row>
    <row r="179" spans="1:27" s="118" customFormat="1" ht="15" customHeight="1">
      <c r="A179">
        <v>71</v>
      </c>
      <c r="B179" s="139">
        <v>46175.818877314807</v>
      </c>
      <c r="C179" s="139">
        <v>46175.820590277777</v>
      </c>
      <c r="D179" t="s">
        <v>513</v>
      </c>
      <c r="E179" t="s">
        <v>514</v>
      </c>
      <c r="F179" t="s">
        <v>515</v>
      </c>
      <c r="G179" t="s">
        <v>516</v>
      </c>
      <c r="H179" s="139">
        <v>46154</v>
      </c>
      <c r="I179" t="s">
        <v>472</v>
      </c>
      <c r="J179" t="s">
        <v>161</v>
      </c>
      <c r="K179"/>
      <c r="L179"/>
      <c r="M179" t="s">
        <v>517</v>
      </c>
      <c r="N179" t="s">
        <v>518</v>
      </c>
      <c r="O179" t="s">
        <v>135</v>
      </c>
      <c r="P179" t="s">
        <v>108</v>
      </c>
      <c r="Q179" t="s">
        <v>109</v>
      </c>
      <c r="R179" t="s">
        <v>22</v>
      </c>
      <c r="S179" t="s">
        <v>149</v>
      </c>
      <c r="T179" t="s">
        <v>144</v>
      </c>
      <c r="U179"/>
      <c r="V179" t="s">
        <v>151</v>
      </c>
      <c r="W179" t="s">
        <v>130</v>
      </c>
      <c r="X179" t="s">
        <v>199</v>
      </c>
      <c r="Y179" t="s">
        <v>1040</v>
      </c>
      <c r="Z179">
        <v>3</v>
      </c>
      <c r="AA179" t="s">
        <v>1117</v>
      </c>
    </row>
    <row r="180" spans="1:27" s="118" customFormat="1" ht="95.25" customHeight="1">
      <c r="A180">
        <v>71</v>
      </c>
      <c r="B180" s="139">
        <v>46175.818877314807</v>
      </c>
      <c r="C180" s="139">
        <v>46175.820590277777</v>
      </c>
      <c r="D180" t="s">
        <v>513</v>
      </c>
      <c r="E180" t="s">
        <v>514</v>
      </c>
      <c r="F180" t="s">
        <v>515</v>
      </c>
      <c r="G180" t="s">
        <v>516</v>
      </c>
      <c r="H180" s="139">
        <v>46154</v>
      </c>
      <c r="I180" t="s">
        <v>472</v>
      </c>
      <c r="J180" t="s">
        <v>161</v>
      </c>
      <c r="K180"/>
      <c r="L180"/>
      <c r="M180" t="s">
        <v>517</v>
      </c>
      <c r="N180" t="s">
        <v>518</v>
      </c>
      <c r="O180" t="s">
        <v>135</v>
      </c>
      <c r="P180" t="s">
        <v>108</v>
      </c>
      <c r="Q180" t="s">
        <v>109</v>
      </c>
      <c r="R180" t="s">
        <v>22</v>
      </c>
      <c r="S180" t="s">
        <v>149</v>
      </c>
      <c r="T180" t="s">
        <v>144</v>
      </c>
      <c r="U180"/>
      <c r="V180" t="s">
        <v>151</v>
      </c>
      <c r="W180" t="s">
        <v>130</v>
      </c>
      <c r="X180" t="s">
        <v>199</v>
      </c>
      <c r="Y180" t="s">
        <v>1042</v>
      </c>
      <c r="Z180">
        <v>1</v>
      </c>
      <c r="AA180" t="s">
        <v>1120</v>
      </c>
    </row>
    <row r="181" spans="1:27" s="118" customFormat="1" ht="15" customHeight="1">
      <c r="A181">
        <v>71</v>
      </c>
      <c r="B181" s="139">
        <v>46175.818877314807</v>
      </c>
      <c r="C181" s="139">
        <v>46175.820590277777</v>
      </c>
      <c r="D181" t="s">
        <v>513</v>
      </c>
      <c r="E181" t="s">
        <v>514</v>
      </c>
      <c r="F181" t="s">
        <v>515</v>
      </c>
      <c r="G181" t="s">
        <v>516</v>
      </c>
      <c r="H181" s="139">
        <v>46154</v>
      </c>
      <c r="I181" t="s">
        <v>472</v>
      </c>
      <c r="J181" t="s">
        <v>161</v>
      </c>
      <c r="K181"/>
      <c r="L181"/>
      <c r="M181" t="s">
        <v>517</v>
      </c>
      <c r="N181" t="s">
        <v>518</v>
      </c>
      <c r="O181" t="s">
        <v>135</v>
      </c>
      <c r="P181" t="s">
        <v>108</v>
      </c>
      <c r="Q181" t="s">
        <v>109</v>
      </c>
      <c r="R181" t="s">
        <v>22</v>
      </c>
      <c r="S181" t="s">
        <v>149</v>
      </c>
      <c r="T181" t="s">
        <v>144</v>
      </c>
      <c r="U181"/>
      <c r="V181" t="s">
        <v>151</v>
      </c>
      <c r="W181" t="s">
        <v>130</v>
      </c>
      <c r="X181" t="s">
        <v>199</v>
      </c>
      <c r="Y181" t="s">
        <v>1042</v>
      </c>
      <c r="Z181">
        <v>2</v>
      </c>
      <c r="AA181" t="s">
        <v>1091</v>
      </c>
    </row>
    <row r="182" spans="1:27" ht="15" customHeight="1">
      <c r="A182">
        <v>71</v>
      </c>
      <c r="B182" s="139">
        <v>46175.818877314807</v>
      </c>
      <c r="C182" s="139">
        <v>46175.820590277777</v>
      </c>
      <c r="D182" t="s">
        <v>513</v>
      </c>
      <c r="E182" t="s">
        <v>514</v>
      </c>
      <c r="F182" t="s">
        <v>515</v>
      </c>
      <c r="G182" t="s">
        <v>516</v>
      </c>
      <c r="H182" s="139">
        <v>46154</v>
      </c>
      <c r="I182" t="s">
        <v>472</v>
      </c>
      <c r="J182" t="s">
        <v>161</v>
      </c>
      <c r="M182" t="s">
        <v>517</v>
      </c>
      <c r="N182" t="s">
        <v>518</v>
      </c>
      <c r="O182" t="s">
        <v>135</v>
      </c>
      <c r="P182" t="s">
        <v>108</v>
      </c>
      <c r="Q182" t="s">
        <v>109</v>
      </c>
      <c r="R182" t="s">
        <v>22</v>
      </c>
      <c r="S182" t="s">
        <v>149</v>
      </c>
      <c r="T182" t="s">
        <v>144</v>
      </c>
      <c r="V182" t="s">
        <v>151</v>
      </c>
      <c r="W182" t="s">
        <v>130</v>
      </c>
      <c r="X182" t="s">
        <v>199</v>
      </c>
      <c r="Y182" t="s">
        <v>1042</v>
      </c>
      <c r="Z182">
        <v>3</v>
      </c>
      <c r="AA182" t="s">
        <v>1090</v>
      </c>
    </row>
    <row r="183" spans="1:27" ht="15" customHeight="1">
      <c r="A183">
        <v>71</v>
      </c>
      <c r="B183" s="139">
        <v>46175.818877314807</v>
      </c>
      <c r="C183" s="139">
        <v>46175.820590277777</v>
      </c>
      <c r="D183" t="s">
        <v>513</v>
      </c>
      <c r="E183" t="s">
        <v>514</v>
      </c>
      <c r="F183" t="s">
        <v>515</v>
      </c>
      <c r="G183" t="s">
        <v>516</v>
      </c>
      <c r="H183" s="139">
        <v>46154</v>
      </c>
      <c r="I183" t="s">
        <v>472</v>
      </c>
      <c r="J183" t="s">
        <v>161</v>
      </c>
      <c r="M183" t="s">
        <v>517</v>
      </c>
      <c r="N183" t="s">
        <v>518</v>
      </c>
      <c r="O183" t="s">
        <v>135</v>
      </c>
      <c r="P183" t="s">
        <v>108</v>
      </c>
      <c r="Q183" t="s">
        <v>109</v>
      </c>
      <c r="R183" t="s">
        <v>22</v>
      </c>
      <c r="S183" t="s">
        <v>149</v>
      </c>
      <c r="T183" t="s">
        <v>144</v>
      </c>
      <c r="V183" t="s">
        <v>151</v>
      </c>
      <c r="W183" t="s">
        <v>130</v>
      </c>
      <c r="X183" t="s">
        <v>199</v>
      </c>
      <c r="Y183" t="s">
        <v>1042</v>
      </c>
      <c r="Z183">
        <v>4</v>
      </c>
      <c r="AA183" t="s">
        <v>1089</v>
      </c>
    </row>
    <row r="184" spans="1:27" ht="15" customHeight="1">
      <c r="A184">
        <v>71</v>
      </c>
      <c r="B184" s="139">
        <v>46175.818877314807</v>
      </c>
      <c r="C184" s="139">
        <v>46175.820590277777</v>
      </c>
      <c r="D184" t="s">
        <v>513</v>
      </c>
      <c r="E184" t="s">
        <v>514</v>
      </c>
      <c r="F184" t="s">
        <v>515</v>
      </c>
      <c r="G184" t="s">
        <v>516</v>
      </c>
      <c r="H184" s="139">
        <v>46154</v>
      </c>
      <c r="I184" t="s">
        <v>472</v>
      </c>
      <c r="J184" t="s">
        <v>161</v>
      </c>
      <c r="M184" t="s">
        <v>517</v>
      </c>
      <c r="N184" t="s">
        <v>518</v>
      </c>
      <c r="O184" t="s">
        <v>135</v>
      </c>
      <c r="P184" t="s">
        <v>108</v>
      </c>
      <c r="Q184" t="s">
        <v>109</v>
      </c>
      <c r="R184" t="s">
        <v>22</v>
      </c>
      <c r="S184" t="s">
        <v>149</v>
      </c>
      <c r="T184" t="s">
        <v>144</v>
      </c>
      <c r="V184" t="s">
        <v>151</v>
      </c>
      <c r="W184" t="s">
        <v>130</v>
      </c>
      <c r="X184" t="s">
        <v>199</v>
      </c>
      <c r="Y184" t="s">
        <v>1044</v>
      </c>
      <c r="Z184">
        <v>1</v>
      </c>
      <c r="AA184" t="s">
        <v>1122</v>
      </c>
    </row>
    <row r="185" spans="1:27" ht="15" customHeight="1">
      <c r="A185">
        <v>71</v>
      </c>
      <c r="B185" s="139">
        <v>46175.818877314807</v>
      </c>
      <c r="C185" s="139">
        <v>46175.820590277777</v>
      </c>
      <c r="D185" t="s">
        <v>513</v>
      </c>
      <c r="E185" t="s">
        <v>514</v>
      </c>
      <c r="F185" t="s">
        <v>515</v>
      </c>
      <c r="G185" t="s">
        <v>516</v>
      </c>
      <c r="H185" s="139">
        <v>46154</v>
      </c>
      <c r="I185" t="s">
        <v>472</v>
      </c>
      <c r="J185" t="s">
        <v>161</v>
      </c>
      <c r="M185" t="s">
        <v>517</v>
      </c>
      <c r="N185" t="s">
        <v>518</v>
      </c>
      <c r="O185" t="s">
        <v>135</v>
      </c>
      <c r="P185" t="s">
        <v>108</v>
      </c>
      <c r="Q185" t="s">
        <v>109</v>
      </c>
      <c r="R185" t="s">
        <v>22</v>
      </c>
      <c r="S185" t="s">
        <v>149</v>
      </c>
      <c r="T185" t="s">
        <v>144</v>
      </c>
      <c r="V185" t="s">
        <v>151</v>
      </c>
      <c r="W185" t="s">
        <v>130</v>
      </c>
      <c r="X185" t="s">
        <v>199</v>
      </c>
      <c r="Y185" t="s">
        <v>1044</v>
      </c>
      <c r="Z185">
        <v>2</v>
      </c>
      <c r="AA185" t="s">
        <v>1118</v>
      </c>
    </row>
    <row r="186" spans="1:27" ht="15" customHeight="1">
      <c r="A186">
        <v>112</v>
      </c>
      <c r="B186" s="139">
        <v>46178.671412037038</v>
      </c>
      <c r="C186" s="139">
        <v>46178.675196759257</v>
      </c>
      <c r="D186" t="s">
        <v>296</v>
      </c>
      <c r="E186" t="s">
        <v>297</v>
      </c>
      <c r="F186" t="s">
        <v>297</v>
      </c>
      <c r="G186" t="s">
        <v>298</v>
      </c>
      <c r="H186" s="139">
        <v>46154</v>
      </c>
      <c r="I186" t="s">
        <v>136</v>
      </c>
      <c r="J186" t="s">
        <v>161</v>
      </c>
      <c r="M186" t="s">
        <v>327</v>
      </c>
      <c r="O186" t="s">
        <v>107</v>
      </c>
      <c r="P186" t="s">
        <v>108</v>
      </c>
      <c r="Q186" t="s">
        <v>109</v>
      </c>
      <c r="R186" t="s">
        <v>24</v>
      </c>
      <c r="S186" t="s">
        <v>143</v>
      </c>
      <c r="T186" t="s">
        <v>709</v>
      </c>
      <c r="U186" t="s">
        <v>710</v>
      </c>
      <c r="V186" t="s">
        <v>151</v>
      </c>
      <c r="W186" t="s">
        <v>130</v>
      </c>
      <c r="X186" t="s">
        <v>705</v>
      </c>
      <c r="Y186" t="s">
        <v>1040</v>
      </c>
      <c r="Z186">
        <v>1</v>
      </c>
      <c r="AA186" t="s">
        <v>1159</v>
      </c>
    </row>
    <row r="187" spans="1:27" ht="15" customHeight="1">
      <c r="A187">
        <v>112</v>
      </c>
      <c r="B187" s="139">
        <v>46178.671412037038</v>
      </c>
      <c r="C187" s="139">
        <v>46178.675196759257</v>
      </c>
      <c r="D187" t="s">
        <v>296</v>
      </c>
      <c r="E187" t="s">
        <v>297</v>
      </c>
      <c r="F187" t="s">
        <v>297</v>
      </c>
      <c r="G187" t="s">
        <v>298</v>
      </c>
      <c r="H187" s="139">
        <v>46154</v>
      </c>
      <c r="I187" t="s">
        <v>136</v>
      </c>
      <c r="J187" t="s">
        <v>161</v>
      </c>
      <c r="M187" t="s">
        <v>327</v>
      </c>
      <c r="O187" t="s">
        <v>107</v>
      </c>
      <c r="P187" t="s">
        <v>108</v>
      </c>
      <c r="Q187" t="s">
        <v>109</v>
      </c>
      <c r="R187" t="s">
        <v>24</v>
      </c>
      <c r="S187" t="s">
        <v>143</v>
      </c>
      <c r="T187" t="s">
        <v>709</v>
      </c>
      <c r="U187" t="s">
        <v>710</v>
      </c>
      <c r="V187" t="s">
        <v>151</v>
      </c>
      <c r="W187" t="s">
        <v>130</v>
      </c>
      <c r="X187" t="s">
        <v>705</v>
      </c>
      <c r="Y187" t="s">
        <v>1040</v>
      </c>
      <c r="Z187">
        <v>2</v>
      </c>
      <c r="AA187" t="s">
        <v>1160</v>
      </c>
    </row>
    <row r="188" spans="1:27" ht="15" customHeight="1">
      <c r="A188">
        <v>112</v>
      </c>
      <c r="B188" s="139">
        <v>46178.671412037038</v>
      </c>
      <c r="C188" s="139">
        <v>46178.675196759257</v>
      </c>
      <c r="D188" t="s">
        <v>296</v>
      </c>
      <c r="E188" t="s">
        <v>297</v>
      </c>
      <c r="F188" t="s">
        <v>297</v>
      </c>
      <c r="G188" t="s">
        <v>298</v>
      </c>
      <c r="H188" s="139">
        <v>46154</v>
      </c>
      <c r="I188" t="s">
        <v>136</v>
      </c>
      <c r="J188" t="s">
        <v>161</v>
      </c>
      <c r="M188" t="s">
        <v>327</v>
      </c>
      <c r="O188" t="s">
        <v>107</v>
      </c>
      <c r="P188" t="s">
        <v>108</v>
      </c>
      <c r="Q188" t="s">
        <v>109</v>
      </c>
      <c r="R188" t="s">
        <v>24</v>
      </c>
      <c r="S188" t="s">
        <v>143</v>
      </c>
      <c r="T188" t="s">
        <v>709</v>
      </c>
      <c r="U188" t="s">
        <v>710</v>
      </c>
      <c r="V188" t="s">
        <v>151</v>
      </c>
      <c r="W188" t="s">
        <v>130</v>
      </c>
      <c r="X188" t="s">
        <v>705</v>
      </c>
      <c r="Y188" t="s">
        <v>1042</v>
      </c>
      <c r="Z188">
        <v>1</v>
      </c>
      <c r="AA188" t="s">
        <v>1161</v>
      </c>
    </row>
    <row r="189" spans="1:27" ht="15" customHeight="1">
      <c r="A189">
        <v>112</v>
      </c>
      <c r="B189" s="139">
        <v>46178.671412037038</v>
      </c>
      <c r="C189" s="139">
        <v>46178.675196759257</v>
      </c>
      <c r="D189" t="s">
        <v>296</v>
      </c>
      <c r="E189" t="s">
        <v>297</v>
      </c>
      <c r="F189" t="s">
        <v>297</v>
      </c>
      <c r="G189" t="s">
        <v>298</v>
      </c>
      <c r="H189" s="139">
        <v>46154</v>
      </c>
      <c r="I189" t="s">
        <v>136</v>
      </c>
      <c r="J189" t="s">
        <v>161</v>
      </c>
      <c r="M189" t="s">
        <v>327</v>
      </c>
      <c r="O189" t="s">
        <v>107</v>
      </c>
      <c r="P189" t="s">
        <v>108</v>
      </c>
      <c r="Q189" t="s">
        <v>109</v>
      </c>
      <c r="R189" t="s">
        <v>24</v>
      </c>
      <c r="S189" t="s">
        <v>143</v>
      </c>
      <c r="T189" t="s">
        <v>709</v>
      </c>
      <c r="U189" t="s">
        <v>710</v>
      </c>
      <c r="V189" t="s">
        <v>151</v>
      </c>
      <c r="W189" t="s">
        <v>130</v>
      </c>
      <c r="X189" t="s">
        <v>705</v>
      </c>
      <c r="Y189" t="s">
        <v>1044</v>
      </c>
      <c r="Z189">
        <v>1</v>
      </c>
      <c r="AA189" t="s">
        <v>1162</v>
      </c>
    </row>
    <row r="190" spans="1:27" ht="15" customHeight="1">
      <c r="A190">
        <v>112</v>
      </c>
      <c r="B190" s="139">
        <v>46178.671412037038</v>
      </c>
      <c r="C190" s="139">
        <v>46178.675196759257</v>
      </c>
      <c r="D190" t="s">
        <v>296</v>
      </c>
      <c r="E190" t="s">
        <v>297</v>
      </c>
      <c r="F190" t="s">
        <v>297</v>
      </c>
      <c r="G190" t="s">
        <v>298</v>
      </c>
      <c r="H190" s="139">
        <v>46154</v>
      </c>
      <c r="I190" t="s">
        <v>136</v>
      </c>
      <c r="J190" t="s">
        <v>161</v>
      </c>
      <c r="M190" t="s">
        <v>327</v>
      </c>
      <c r="O190" t="s">
        <v>107</v>
      </c>
      <c r="P190" t="s">
        <v>108</v>
      </c>
      <c r="Q190" t="s">
        <v>109</v>
      </c>
      <c r="R190" t="s">
        <v>24</v>
      </c>
      <c r="S190" t="s">
        <v>143</v>
      </c>
      <c r="T190" t="s">
        <v>709</v>
      </c>
      <c r="U190" t="s">
        <v>710</v>
      </c>
      <c r="V190" t="s">
        <v>151</v>
      </c>
      <c r="W190" t="s">
        <v>130</v>
      </c>
      <c r="X190" t="s">
        <v>705</v>
      </c>
      <c r="Y190" t="s">
        <v>1044</v>
      </c>
      <c r="Z190">
        <v>2</v>
      </c>
      <c r="AA190" t="s">
        <v>1163</v>
      </c>
    </row>
    <row r="191" spans="1:27" ht="15" customHeight="1">
      <c r="A191">
        <v>137</v>
      </c>
      <c r="B191" s="139">
        <v>46181.40896990741</v>
      </c>
      <c r="C191" s="139">
        <v>46181.49386574074</v>
      </c>
      <c r="D191" t="s">
        <v>817</v>
      </c>
      <c r="E191" t="s">
        <v>818</v>
      </c>
      <c r="F191" t="s">
        <v>818</v>
      </c>
      <c r="G191" t="s">
        <v>819</v>
      </c>
      <c r="H191" s="139">
        <v>46154</v>
      </c>
      <c r="I191" t="s">
        <v>772</v>
      </c>
      <c r="J191" t="s">
        <v>161</v>
      </c>
      <c r="M191" t="s">
        <v>820</v>
      </c>
      <c r="N191" t="s">
        <v>821</v>
      </c>
      <c r="O191" t="s">
        <v>122</v>
      </c>
      <c r="P191" t="s">
        <v>196</v>
      </c>
      <c r="Q191" t="s">
        <v>123</v>
      </c>
      <c r="R191" t="s">
        <v>22</v>
      </c>
      <c r="S191" t="s">
        <v>143</v>
      </c>
      <c r="T191" t="s">
        <v>144</v>
      </c>
      <c r="V191" t="s">
        <v>151</v>
      </c>
      <c r="W191" t="s">
        <v>169</v>
      </c>
      <c r="X191" t="s">
        <v>302</v>
      </c>
      <c r="Y191" t="s">
        <v>1040</v>
      </c>
      <c r="Z191">
        <v>1</v>
      </c>
      <c r="AA191" t="s">
        <v>1164</v>
      </c>
    </row>
    <row r="192" spans="1:27" ht="15" customHeight="1">
      <c r="A192">
        <v>137</v>
      </c>
      <c r="B192" s="139">
        <v>46181.40896990741</v>
      </c>
      <c r="C192" s="139">
        <v>46181.49386574074</v>
      </c>
      <c r="D192" t="s">
        <v>817</v>
      </c>
      <c r="E192" t="s">
        <v>818</v>
      </c>
      <c r="F192" t="s">
        <v>818</v>
      </c>
      <c r="G192" t="s">
        <v>819</v>
      </c>
      <c r="H192" s="139">
        <v>46154</v>
      </c>
      <c r="I192" t="s">
        <v>772</v>
      </c>
      <c r="J192" t="s">
        <v>161</v>
      </c>
      <c r="M192" t="s">
        <v>820</v>
      </c>
      <c r="N192" t="s">
        <v>821</v>
      </c>
      <c r="O192" t="s">
        <v>122</v>
      </c>
      <c r="P192" t="s">
        <v>196</v>
      </c>
      <c r="Q192" t="s">
        <v>123</v>
      </c>
      <c r="R192" t="s">
        <v>22</v>
      </c>
      <c r="S192" t="s">
        <v>143</v>
      </c>
      <c r="T192" t="s">
        <v>144</v>
      </c>
      <c r="V192" t="s">
        <v>151</v>
      </c>
      <c r="W192" t="s">
        <v>169</v>
      </c>
      <c r="X192" t="s">
        <v>302</v>
      </c>
      <c r="Y192" t="s">
        <v>1042</v>
      </c>
      <c r="Z192">
        <v>1</v>
      </c>
      <c r="AA192" t="s">
        <v>1093</v>
      </c>
    </row>
    <row r="193" spans="1:27" ht="15" customHeight="1">
      <c r="A193">
        <v>137</v>
      </c>
      <c r="B193" s="139">
        <v>46181.40896990741</v>
      </c>
      <c r="C193" s="139">
        <v>46181.49386574074</v>
      </c>
      <c r="D193" t="s">
        <v>817</v>
      </c>
      <c r="E193" t="s">
        <v>818</v>
      </c>
      <c r="F193" t="s">
        <v>818</v>
      </c>
      <c r="G193" t="s">
        <v>819</v>
      </c>
      <c r="H193" s="139">
        <v>46154</v>
      </c>
      <c r="I193" t="s">
        <v>772</v>
      </c>
      <c r="J193" t="s">
        <v>161</v>
      </c>
      <c r="M193" t="s">
        <v>820</v>
      </c>
      <c r="N193" t="s">
        <v>821</v>
      </c>
      <c r="O193" t="s">
        <v>122</v>
      </c>
      <c r="P193" t="s">
        <v>196</v>
      </c>
      <c r="Q193" t="s">
        <v>123</v>
      </c>
      <c r="R193" t="s">
        <v>22</v>
      </c>
      <c r="S193" t="s">
        <v>143</v>
      </c>
      <c r="T193" t="s">
        <v>144</v>
      </c>
      <c r="V193" t="s">
        <v>151</v>
      </c>
      <c r="W193" t="s">
        <v>169</v>
      </c>
      <c r="X193" t="s">
        <v>302</v>
      </c>
      <c r="Y193" t="s">
        <v>1044</v>
      </c>
      <c r="Z193">
        <v>1</v>
      </c>
      <c r="AA193" t="s">
        <v>1165</v>
      </c>
    </row>
    <row r="194" spans="1:27" ht="15" customHeight="1">
      <c r="A194">
        <v>137</v>
      </c>
      <c r="B194" s="139">
        <v>46181.40896990741</v>
      </c>
      <c r="C194" s="139">
        <v>46181.49386574074</v>
      </c>
      <c r="D194" t="s">
        <v>817</v>
      </c>
      <c r="E194" t="s">
        <v>818</v>
      </c>
      <c r="F194" t="s">
        <v>818</v>
      </c>
      <c r="G194" t="s">
        <v>819</v>
      </c>
      <c r="H194" s="139">
        <v>46154</v>
      </c>
      <c r="I194" t="s">
        <v>772</v>
      </c>
      <c r="J194" t="s">
        <v>161</v>
      </c>
      <c r="M194" t="s">
        <v>820</v>
      </c>
      <c r="N194" t="s">
        <v>821</v>
      </c>
      <c r="O194" t="s">
        <v>122</v>
      </c>
      <c r="P194" t="s">
        <v>196</v>
      </c>
      <c r="Q194" t="s">
        <v>123</v>
      </c>
      <c r="R194" t="s">
        <v>22</v>
      </c>
      <c r="S194" t="s">
        <v>143</v>
      </c>
      <c r="T194" t="s">
        <v>144</v>
      </c>
      <c r="V194" t="s">
        <v>151</v>
      </c>
      <c r="W194" t="s">
        <v>169</v>
      </c>
      <c r="X194" t="s">
        <v>302</v>
      </c>
      <c r="Y194" t="s">
        <v>1044</v>
      </c>
      <c r="Z194">
        <v>2</v>
      </c>
      <c r="AA194" t="s">
        <v>1166</v>
      </c>
    </row>
    <row r="195" spans="1:27" ht="15" customHeight="1">
      <c r="A195">
        <v>6</v>
      </c>
      <c r="B195" s="139">
        <v>46167.588576388887</v>
      </c>
      <c r="C195" s="139">
        <v>46167.593819444453</v>
      </c>
      <c r="D195" t="s">
        <v>131</v>
      </c>
      <c r="E195" t="s">
        <v>132</v>
      </c>
      <c r="F195" t="s">
        <v>133</v>
      </c>
      <c r="G195" t="s">
        <v>134</v>
      </c>
      <c r="H195" s="139">
        <v>46155</v>
      </c>
      <c r="I195" t="s">
        <v>136</v>
      </c>
      <c r="J195" t="s">
        <v>161</v>
      </c>
      <c r="M195" t="s">
        <v>162</v>
      </c>
      <c r="N195" t="s">
        <v>163</v>
      </c>
      <c r="O195" t="s">
        <v>160</v>
      </c>
      <c r="P195" t="s">
        <v>108</v>
      </c>
      <c r="Q195" t="s">
        <v>109</v>
      </c>
      <c r="R195" t="s">
        <v>24</v>
      </c>
      <c r="S195" t="s">
        <v>143</v>
      </c>
      <c r="T195" t="s">
        <v>150</v>
      </c>
      <c r="U195" t="s">
        <v>168</v>
      </c>
      <c r="V195" t="s">
        <v>151</v>
      </c>
      <c r="W195" t="s">
        <v>169</v>
      </c>
      <c r="X195" t="s">
        <v>164</v>
      </c>
      <c r="Y195" t="s">
        <v>1040</v>
      </c>
      <c r="Z195">
        <v>1</v>
      </c>
      <c r="AA195" t="s">
        <v>1167</v>
      </c>
    </row>
    <row r="196" spans="1:27" ht="15" customHeight="1">
      <c r="A196">
        <v>6</v>
      </c>
      <c r="B196" s="139">
        <v>46167.588576388887</v>
      </c>
      <c r="C196" s="139">
        <v>46167.593819444453</v>
      </c>
      <c r="D196" t="s">
        <v>131</v>
      </c>
      <c r="E196" t="s">
        <v>132</v>
      </c>
      <c r="F196" t="s">
        <v>133</v>
      </c>
      <c r="G196" t="s">
        <v>134</v>
      </c>
      <c r="H196" s="139">
        <v>46155</v>
      </c>
      <c r="I196" t="s">
        <v>136</v>
      </c>
      <c r="J196" t="s">
        <v>161</v>
      </c>
      <c r="M196" t="s">
        <v>162</v>
      </c>
      <c r="N196" t="s">
        <v>163</v>
      </c>
      <c r="O196" t="s">
        <v>160</v>
      </c>
      <c r="P196" t="s">
        <v>108</v>
      </c>
      <c r="Q196" t="s">
        <v>109</v>
      </c>
      <c r="R196" t="s">
        <v>24</v>
      </c>
      <c r="S196" t="s">
        <v>143</v>
      </c>
      <c r="T196" t="s">
        <v>150</v>
      </c>
      <c r="U196" t="s">
        <v>168</v>
      </c>
      <c r="V196" t="s">
        <v>151</v>
      </c>
      <c r="W196" t="s">
        <v>169</v>
      </c>
      <c r="X196" t="s">
        <v>164</v>
      </c>
      <c r="Y196" t="s">
        <v>1042</v>
      </c>
      <c r="Z196">
        <v>1</v>
      </c>
      <c r="AA196" t="s">
        <v>1168</v>
      </c>
    </row>
    <row r="197" spans="1:27" ht="15" customHeight="1">
      <c r="A197">
        <v>6</v>
      </c>
      <c r="B197" s="139">
        <v>46167.588576388887</v>
      </c>
      <c r="C197" s="139">
        <v>46167.593819444453</v>
      </c>
      <c r="D197" t="s">
        <v>131</v>
      </c>
      <c r="E197" t="s">
        <v>132</v>
      </c>
      <c r="F197" t="s">
        <v>133</v>
      </c>
      <c r="G197" t="s">
        <v>134</v>
      </c>
      <c r="H197" s="139">
        <v>46155</v>
      </c>
      <c r="I197" t="s">
        <v>136</v>
      </c>
      <c r="J197" t="s">
        <v>161</v>
      </c>
      <c r="M197" t="s">
        <v>162</v>
      </c>
      <c r="N197" t="s">
        <v>163</v>
      </c>
      <c r="O197" t="s">
        <v>160</v>
      </c>
      <c r="P197" t="s">
        <v>108</v>
      </c>
      <c r="Q197" t="s">
        <v>109</v>
      </c>
      <c r="R197" t="s">
        <v>24</v>
      </c>
      <c r="S197" t="s">
        <v>143</v>
      </c>
      <c r="T197" t="s">
        <v>150</v>
      </c>
      <c r="U197" t="s">
        <v>168</v>
      </c>
      <c r="V197" t="s">
        <v>151</v>
      </c>
      <c r="W197" t="s">
        <v>169</v>
      </c>
      <c r="X197" t="s">
        <v>164</v>
      </c>
      <c r="Y197" t="s">
        <v>1042</v>
      </c>
      <c r="Z197">
        <v>2</v>
      </c>
      <c r="AA197" t="s">
        <v>1169</v>
      </c>
    </row>
    <row r="198" spans="1:27" ht="15" customHeight="1">
      <c r="A198">
        <v>6</v>
      </c>
      <c r="B198" s="139">
        <v>46167.588576388887</v>
      </c>
      <c r="C198" s="139">
        <v>46167.593819444453</v>
      </c>
      <c r="D198" t="s">
        <v>131</v>
      </c>
      <c r="E198" t="s">
        <v>132</v>
      </c>
      <c r="F198" t="s">
        <v>133</v>
      </c>
      <c r="G198" t="s">
        <v>134</v>
      </c>
      <c r="H198" s="139">
        <v>46155</v>
      </c>
      <c r="I198" t="s">
        <v>136</v>
      </c>
      <c r="J198" t="s">
        <v>161</v>
      </c>
      <c r="M198" t="s">
        <v>162</v>
      </c>
      <c r="N198" t="s">
        <v>163</v>
      </c>
      <c r="O198" t="s">
        <v>160</v>
      </c>
      <c r="P198" t="s">
        <v>108</v>
      </c>
      <c r="Q198" t="s">
        <v>109</v>
      </c>
      <c r="R198" t="s">
        <v>24</v>
      </c>
      <c r="S198" t="s">
        <v>143</v>
      </c>
      <c r="T198" t="s">
        <v>150</v>
      </c>
      <c r="U198" t="s">
        <v>168</v>
      </c>
      <c r="V198" t="s">
        <v>151</v>
      </c>
      <c r="W198" t="s">
        <v>169</v>
      </c>
      <c r="X198" t="s">
        <v>164</v>
      </c>
      <c r="Y198" t="s">
        <v>1042</v>
      </c>
      <c r="Z198">
        <v>3</v>
      </c>
      <c r="AA198" t="s">
        <v>1170</v>
      </c>
    </row>
    <row r="199" spans="1:27" ht="15" customHeight="1">
      <c r="A199">
        <v>6</v>
      </c>
      <c r="B199" s="139">
        <v>46167.588576388887</v>
      </c>
      <c r="C199" s="139">
        <v>46167.593819444453</v>
      </c>
      <c r="D199" t="s">
        <v>131</v>
      </c>
      <c r="E199" t="s">
        <v>132</v>
      </c>
      <c r="F199" t="s">
        <v>133</v>
      </c>
      <c r="G199" t="s">
        <v>134</v>
      </c>
      <c r="H199" s="139">
        <v>46155</v>
      </c>
      <c r="I199" t="s">
        <v>136</v>
      </c>
      <c r="J199" t="s">
        <v>161</v>
      </c>
      <c r="M199" t="s">
        <v>162</v>
      </c>
      <c r="N199" t="s">
        <v>163</v>
      </c>
      <c r="O199" t="s">
        <v>160</v>
      </c>
      <c r="P199" t="s">
        <v>108</v>
      </c>
      <c r="Q199" t="s">
        <v>109</v>
      </c>
      <c r="R199" t="s">
        <v>24</v>
      </c>
      <c r="S199" t="s">
        <v>143</v>
      </c>
      <c r="T199" t="s">
        <v>150</v>
      </c>
      <c r="U199" t="s">
        <v>168</v>
      </c>
      <c r="V199" t="s">
        <v>151</v>
      </c>
      <c r="W199" t="s">
        <v>169</v>
      </c>
      <c r="X199" t="s">
        <v>164</v>
      </c>
      <c r="Y199" t="s">
        <v>1044</v>
      </c>
      <c r="Z199">
        <v>1</v>
      </c>
      <c r="AA199" t="s">
        <v>1171</v>
      </c>
    </row>
    <row r="200" spans="1:27" ht="15" customHeight="1">
      <c r="A200">
        <v>15</v>
      </c>
      <c r="B200" s="139">
        <v>46167.643761574072</v>
      </c>
      <c r="C200" s="139">
        <v>46167.648969907408</v>
      </c>
      <c r="D200" t="s">
        <v>227</v>
      </c>
      <c r="E200" t="s">
        <v>228</v>
      </c>
      <c r="F200" t="s">
        <v>228</v>
      </c>
      <c r="G200" t="s">
        <v>229</v>
      </c>
      <c r="H200" s="139">
        <v>46155</v>
      </c>
      <c r="I200" t="s">
        <v>136</v>
      </c>
      <c r="J200" t="s">
        <v>174</v>
      </c>
      <c r="L200" t="s">
        <v>217</v>
      </c>
      <c r="N200" t="s">
        <v>114</v>
      </c>
      <c r="O200" t="s">
        <v>135</v>
      </c>
      <c r="P200" t="s">
        <v>108</v>
      </c>
      <c r="Q200" t="s">
        <v>109</v>
      </c>
      <c r="R200" t="s">
        <v>21</v>
      </c>
      <c r="S200" t="s">
        <v>149</v>
      </c>
      <c r="T200" t="s">
        <v>233</v>
      </c>
      <c r="V200" t="s">
        <v>116</v>
      </c>
      <c r="W200" t="s">
        <v>130</v>
      </c>
      <c r="X200" t="s">
        <v>177</v>
      </c>
      <c r="Y200" t="s">
        <v>1040</v>
      </c>
      <c r="Z200">
        <v>1</v>
      </c>
      <c r="AA200" t="s">
        <v>1172</v>
      </c>
    </row>
    <row r="201" spans="1:27" ht="15" customHeight="1">
      <c r="A201">
        <v>15</v>
      </c>
      <c r="B201" s="139">
        <v>46167.643761574072</v>
      </c>
      <c r="C201" s="139">
        <v>46167.648969907408</v>
      </c>
      <c r="D201" t="s">
        <v>227</v>
      </c>
      <c r="E201" t="s">
        <v>228</v>
      </c>
      <c r="F201" t="s">
        <v>228</v>
      </c>
      <c r="G201" t="s">
        <v>229</v>
      </c>
      <c r="H201" s="139">
        <v>46155</v>
      </c>
      <c r="I201" t="s">
        <v>136</v>
      </c>
      <c r="J201" t="s">
        <v>174</v>
      </c>
      <c r="L201" t="s">
        <v>217</v>
      </c>
      <c r="N201" t="s">
        <v>114</v>
      </c>
      <c r="O201" t="s">
        <v>135</v>
      </c>
      <c r="P201" t="s">
        <v>108</v>
      </c>
      <c r="Q201" t="s">
        <v>109</v>
      </c>
      <c r="R201" t="s">
        <v>21</v>
      </c>
      <c r="S201" t="s">
        <v>149</v>
      </c>
      <c r="T201" t="s">
        <v>233</v>
      </c>
      <c r="V201" t="s">
        <v>116</v>
      </c>
      <c r="W201" t="s">
        <v>130</v>
      </c>
      <c r="X201" t="s">
        <v>177</v>
      </c>
      <c r="Y201" t="s">
        <v>1042</v>
      </c>
      <c r="Z201">
        <v>1</v>
      </c>
      <c r="AA201" t="s">
        <v>1104</v>
      </c>
    </row>
    <row r="202" spans="1:27" ht="15" customHeight="1">
      <c r="A202">
        <v>15</v>
      </c>
      <c r="B202" s="139">
        <v>46167.643761574072</v>
      </c>
      <c r="C202" s="139">
        <v>46167.648969907408</v>
      </c>
      <c r="D202" t="s">
        <v>227</v>
      </c>
      <c r="E202" t="s">
        <v>228</v>
      </c>
      <c r="F202" t="s">
        <v>228</v>
      </c>
      <c r="G202" t="s">
        <v>229</v>
      </c>
      <c r="H202" s="139">
        <v>46155</v>
      </c>
      <c r="I202" t="s">
        <v>136</v>
      </c>
      <c r="J202" t="s">
        <v>174</v>
      </c>
      <c r="L202" t="s">
        <v>217</v>
      </c>
      <c r="N202" t="s">
        <v>114</v>
      </c>
      <c r="O202" t="s">
        <v>135</v>
      </c>
      <c r="P202" t="s">
        <v>108</v>
      </c>
      <c r="Q202" t="s">
        <v>109</v>
      </c>
      <c r="R202" t="s">
        <v>21</v>
      </c>
      <c r="S202" t="s">
        <v>149</v>
      </c>
      <c r="T202" t="s">
        <v>233</v>
      </c>
      <c r="V202" t="s">
        <v>116</v>
      </c>
      <c r="W202" t="s">
        <v>130</v>
      </c>
      <c r="X202" t="s">
        <v>177</v>
      </c>
      <c r="Y202" t="s">
        <v>1042</v>
      </c>
      <c r="Z202">
        <v>2</v>
      </c>
      <c r="AA202" t="s">
        <v>1105</v>
      </c>
    </row>
    <row r="203" spans="1:27" ht="15" customHeight="1">
      <c r="A203">
        <v>15</v>
      </c>
      <c r="B203" s="139">
        <v>46167.643761574072</v>
      </c>
      <c r="C203" s="139">
        <v>46167.648969907408</v>
      </c>
      <c r="D203" t="s">
        <v>227</v>
      </c>
      <c r="E203" t="s">
        <v>228</v>
      </c>
      <c r="F203" t="s">
        <v>228</v>
      </c>
      <c r="G203" t="s">
        <v>229</v>
      </c>
      <c r="H203" s="139">
        <v>46155</v>
      </c>
      <c r="I203" t="s">
        <v>136</v>
      </c>
      <c r="J203" t="s">
        <v>174</v>
      </c>
      <c r="L203" t="s">
        <v>217</v>
      </c>
      <c r="N203" t="s">
        <v>114</v>
      </c>
      <c r="O203" t="s">
        <v>135</v>
      </c>
      <c r="P203" t="s">
        <v>108</v>
      </c>
      <c r="Q203" t="s">
        <v>109</v>
      </c>
      <c r="R203" t="s">
        <v>21</v>
      </c>
      <c r="S203" t="s">
        <v>149</v>
      </c>
      <c r="T203" t="s">
        <v>233</v>
      </c>
      <c r="V203" t="s">
        <v>116</v>
      </c>
      <c r="W203" t="s">
        <v>130</v>
      </c>
      <c r="X203" t="s">
        <v>177</v>
      </c>
      <c r="Y203" t="s">
        <v>1042</v>
      </c>
      <c r="Z203">
        <v>3</v>
      </c>
      <c r="AA203" t="s">
        <v>1107</v>
      </c>
    </row>
    <row r="204" spans="1:27" ht="15" customHeight="1">
      <c r="A204">
        <v>15</v>
      </c>
      <c r="B204" s="139">
        <v>46167.643761574072</v>
      </c>
      <c r="C204" s="139">
        <v>46167.648969907408</v>
      </c>
      <c r="D204" t="s">
        <v>227</v>
      </c>
      <c r="E204" t="s">
        <v>228</v>
      </c>
      <c r="F204" t="s">
        <v>228</v>
      </c>
      <c r="G204" t="s">
        <v>229</v>
      </c>
      <c r="H204" s="139">
        <v>46155</v>
      </c>
      <c r="I204" t="s">
        <v>136</v>
      </c>
      <c r="J204" t="s">
        <v>174</v>
      </c>
      <c r="L204" t="s">
        <v>217</v>
      </c>
      <c r="N204" t="s">
        <v>114</v>
      </c>
      <c r="O204" t="s">
        <v>135</v>
      </c>
      <c r="P204" t="s">
        <v>108</v>
      </c>
      <c r="Q204" t="s">
        <v>109</v>
      </c>
      <c r="R204" t="s">
        <v>21</v>
      </c>
      <c r="S204" t="s">
        <v>149</v>
      </c>
      <c r="T204" t="s">
        <v>233</v>
      </c>
      <c r="V204" t="s">
        <v>116</v>
      </c>
      <c r="W204" t="s">
        <v>130</v>
      </c>
      <c r="X204" t="s">
        <v>177</v>
      </c>
      <c r="Y204" t="s">
        <v>1042</v>
      </c>
      <c r="Z204">
        <v>4</v>
      </c>
      <c r="AA204" t="s">
        <v>1173</v>
      </c>
    </row>
    <row r="205" spans="1:27" ht="15" customHeight="1">
      <c r="A205">
        <v>15</v>
      </c>
      <c r="B205" s="139">
        <v>46167.643761574072</v>
      </c>
      <c r="C205" s="139">
        <v>46167.648969907408</v>
      </c>
      <c r="D205" t="s">
        <v>227</v>
      </c>
      <c r="E205" t="s">
        <v>228</v>
      </c>
      <c r="F205" t="s">
        <v>228</v>
      </c>
      <c r="G205" t="s">
        <v>229</v>
      </c>
      <c r="H205" s="139">
        <v>46155</v>
      </c>
      <c r="I205" t="s">
        <v>136</v>
      </c>
      <c r="J205" t="s">
        <v>174</v>
      </c>
      <c r="L205" t="s">
        <v>217</v>
      </c>
      <c r="N205" t="s">
        <v>114</v>
      </c>
      <c r="O205" t="s">
        <v>135</v>
      </c>
      <c r="P205" t="s">
        <v>108</v>
      </c>
      <c r="Q205" t="s">
        <v>109</v>
      </c>
      <c r="R205" t="s">
        <v>21</v>
      </c>
      <c r="S205" t="s">
        <v>149</v>
      </c>
      <c r="T205" t="s">
        <v>233</v>
      </c>
      <c r="V205" t="s">
        <v>116</v>
      </c>
      <c r="W205" t="s">
        <v>130</v>
      </c>
      <c r="X205" t="s">
        <v>177</v>
      </c>
      <c r="Y205" t="s">
        <v>1042</v>
      </c>
      <c r="Z205">
        <v>5</v>
      </c>
      <c r="AA205" t="s">
        <v>1155</v>
      </c>
    </row>
    <row r="206" spans="1:27" ht="15" customHeight="1">
      <c r="A206">
        <v>15</v>
      </c>
      <c r="B206" s="139">
        <v>46167.643761574072</v>
      </c>
      <c r="C206" s="139">
        <v>46167.648969907408</v>
      </c>
      <c r="D206" t="s">
        <v>227</v>
      </c>
      <c r="E206" t="s">
        <v>228</v>
      </c>
      <c r="F206" t="s">
        <v>228</v>
      </c>
      <c r="G206" t="s">
        <v>229</v>
      </c>
      <c r="H206" s="139">
        <v>46155</v>
      </c>
      <c r="I206" t="s">
        <v>136</v>
      </c>
      <c r="J206" t="s">
        <v>174</v>
      </c>
      <c r="L206" t="s">
        <v>217</v>
      </c>
      <c r="N206" t="s">
        <v>114</v>
      </c>
      <c r="O206" t="s">
        <v>135</v>
      </c>
      <c r="P206" t="s">
        <v>108</v>
      </c>
      <c r="Q206" t="s">
        <v>109</v>
      </c>
      <c r="R206" t="s">
        <v>21</v>
      </c>
      <c r="S206" t="s">
        <v>149</v>
      </c>
      <c r="T206" t="s">
        <v>233</v>
      </c>
      <c r="V206" t="s">
        <v>116</v>
      </c>
      <c r="W206" t="s">
        <v>130</v>
      </c>
      <c r="X206" t="s">
        <v>177</v>
      </c>
      <c r="Y206" t="s">
        <v>1044</v>
      </c>
      <c r="Z206">
        <v>1</v>
      </c>
      <c r="AA206" t="s">
        <v>909</v>
      </c>
    </row>
    <row r="207" spans="1:27" ht="15" customHeight="1">
      <c r="A207">
        <v>15</v>
      </c>
      <c r="B207" s="139">
        <v>46167.643761574072</v>
      </c>
      <c r="C207" s="139">
        <v>46167.648969907408</v>
      </c>
      <c r="D207" t="s">
        <v>227</v>
      </c>
      <c r="E207" t="s">
        <v>228</v>
      </c>
      <c r="F207" t="s">
        <v>228</v>
      </c>
      <c r="G207" t="s">
        <v>229</v>
      </c>
      <c r="H207" s="139">
        <v>46155</v>
      </c>
      <c r="I207" t="s">
        <v>136</v>
      </c>
      <c r="J207" t="s">
        <v>174</v>
      </c>
      <c r="L207" t="s">
        <v>217</v>
      </c>
      <c r="N207" t="s">
        <v>114</v>
      </c>
      <c r="O207" t="s">
        <v>135</v>
      </c>
      <c r="P207" t="s">
        <v>108</v>
      </c>
      <c r="Q207" t="s">
        <v>109</v>
      </c>
      <c r="R207" t="s">
        <v>21</v>
      </c>
      <c r="S207" t="s">
        <v>149</v>
      </c>
      <c r="T207" t="s">
        <v>233</v>
      </c>
      <c r="V207" t="s">
        <v>116</v>
      </c>
      <c r="W207" t="s">
        <v>130</v>
      </c>
      <c r="X207" t="s">
        <v>177</v>
      </c>
      <c r="Y207" t="s">
        <v>1044</v>
      </c>
      <c r="Z207">
        <v>2</v>
      </c>
      <c r="AA207" t="s">
        <v>1174</v>
      </c>
    </row>
    <row r="208" spans="1:27" ht="15" customHeight="1">
      <c r="A208">
        <v>15</v>
      </c>
      <c r="B208" s="139">
        <v>46167.643761574072</v>
      </c>
      <c r="C208" s="139">
        <v>46167.648969907408</v>
      </c>
      <c r="D208" t="s">
        <v>227</v>
      </c>
      <c r="E208" t="s">
        <v>228</v>
      </c>
      <c r="F208" t="s">
        <v>228</v>
      </c>
      <c r="G208" t="s">
        <v>229</v>
      </c>
      <c r="H208" s="139">
        <v>46155</v>
      </c>
      <c r="I208" t="s">
        <v>136</v>
      </c>
      <c r="J208" t="s">
        <v>174</v>
      </c>
      <c r="L208" t="s">
        <v>217</v>
      </c>
      <c r="N208" t="s">
        <v>114</v>
      </c>
      <c r="O208" t="s">
        <v>135</v>
      </c>
      <c r="P208" t="s">
        <v>108</v>
      </c>
      <c r="Q208" t="s">
        <v>109</v>
      </c>
      <c r="R208" t="s">
        <v>21</v>
      </c>
      <c r="S208" t="s">
        <v>149</v>
      </c>
      <c r="T208" t="s">
        <v>233</v>
      </c>
      <c r="V208" t="s">
        <v>116</v>
      </c>
      <c r="W208" t="s">
        <v>130</v>
      </c>
      <c r="X208" t="s">
        <v>177</v>
      </c>
      <c r="Y208" t="s">
        <v>1044</v>
      </c>
      <c r="Z208">
        <v>3</v>
      </c>
      <c r="AA208" t="s">
        <v>1109</v>
      </c>
    </row>
    <row r="209" spans="1:27" ht="15" customHeight="1">
      <c r="A209">
        <v>16</v>
      </c>
      <c r="B209" s="139">
        <v>46167.650891203702</v>
      </c>
      <c r="C209" s="139">
        <v>46167.661608796298</v>
      </c>
      <c r="D209" t="s">
        <v>227</v>
      </c>
      <c r="E209" t="s">
        <v>228</v>
      </c>
      <c r="F209" t="s">
        <v>234</v>
      </c>
      <c r="G209" t="s">
        <v>229</v>
      </c>
      <c r="H209" s="139">
        <v>46155</v>
      </c>
      <c r="I209" t="s">
        <v>136</v>
      </c>
      <c r="J209" t="s">
        <v>174</v>
      </c>
      <c r="L209" t="s">
        <v>217</v>
      </c>
      <c r="N209" t="s">
        <v>114</v>
      </c>
      <c r="O209" t="s">
        <v>135</v>
      </c>
      <c r="P209" t="s">
        <v>108</v>
      </c>
      <c r="Q209" t="s">
        <v>109</v>
      </c>
      <c r="R209" t="s">
        <v>22</v>
      </c>
      <c r="S209" t="s">
        <v>149</v>
      </c>
      <c r="T209" t="s">
        <v>181</v>
      </c>
      <c r="V209" t="s">
        <v>151</v>
      </c>
      <c r="W209" t="s">
        <v>130</v>
      </c>
      <c r="X209" t="s">
        <v>146</v>
      </c>
      <c r="Y209" t="s">
        <v>1040</v>
      </c>
      <c r="Z209">
        <v>1</v>
      </c>
      <c r="AA209" t="s">
        <v>186</v>
      </c>
    </row>
    <row r="210" spans="1:27" ht="15" customHeight="1">
      <c r="A210">
        <v>16</v>
      </c>
      <c r="B210" s="139">
        <v>46167.650891203702</v>
      </c>
      <c r="C210" s="139">
        <v>46167.661608796298</v>
      </c>
      <c r="D210" t="s">
        <v>227</v>
      </c>
      <c r="E210" t="s">
        <v>228</v>
      </c>
      <c r="F210" t="s">
        <v>234</v>
      </c>
      <c r="G210" t="s">
        <v>229</v>
      </c>
      <c r="H210" s="139">
        <v>46155</v>
      </c>
      <c r="I210" t="s">
        <v>136</v>
      </c>
      <c r="J210" t="s">
        <v>174</v>
      </c>
      <c r="L210" t="s">
        <v>217</v>
      </c>
      <c r="N210" t="s">
        <v>114</v>
      </c>
      <c r="O210" t="s">
        <v>135</v>
      </c>
      <c r="P210" t="s">
        <v>108</v>
      </c>
      <c r="Q210" t="s">
        <v>109</v>
      </c>
      <c r="R210" t="s">
        <v>22</v>
      </c>
      <c r="S210" t="s">
        <v>149</v>
      </c>
      <c r="T210" t="s">
        <v>181</v>
      </c>
      <c r="V210" t="s">
        <v>151</v>
      </c>
      <c r="W210" t="s">
        <v>130</v>
      </c>
      <c r="X210" t="s">
        <v>146</v>
      </c>
      <c r="Y210" t="s">
        <v>1042</v>
      </c>
      <c r="Z210">
        <v>1</v>
      </c>
      <c r="AA210" t="s">
        <v>1139</v>
      </c>
    </row>
    <row r="211" spans="1:27" ht="15" customHeight="1">
      <c r="A211">
        <v>16</v>
      </c>
      <c r="B211" s="139">
        <v>46167.650891203702</v>
      </c>
      <c r="C211" s="139">
        <v>46167.661608796298</v>
      </c>
      <c r="D211" t="s">
        <v>227</v>
      </c>
      <c r="E211" t="s">
        <v>228</v>
      </c>
      <c r="F211" t="s">
        <v>234</v>
      </c>
      <c r="G211" t="s">
        <v>229</v>
      </c>
      <c r="H211" s="139">
        <v>46155</v>
      </c>
      <c r="I211" t="s">
        <v>136</v>
      </c>
      <c r="J211" t="s">
        <v>174</v>
      </c>
      <c r="L211" t="s">
        <v>217</v>
      </c>
      <c r="N211" t="s">
        <v>114</v>
      </c>
      <c r="O211" t="s">
        <v>135</v>
      </c>
      <c r="P211" t="s">
        <v>108</v>
      </c>
      <c r="Q211" t="s">
        <v>109</v>
      </c>
      <c r="R211" t="s">
        <v>22</v>
      </c>
      <c r="S211" t="s">
        <v>149</v>
      </c>
      <c r="T211" t="s">
        <v>181</v>
      </c>
      <c r="V211" t="s">
        <v>151</v>
      </c>
      <c r="W211" t="s">
        <v>130</v>
      </c>
      <c r="X211" t="s">
        <v>146</v>
      </c>
      <c r="Y211" t="s">
        <v>1042</v>
      </c>
      <c r="Z211">
        <v>2</v>
      </c>
      <c r="AA211" t="s">
        <v>1175</v>
      </c>
    </row>
    <row r="212" spans="1:27" ht="15" customHeight="1">
      <c r="A212">
        <v>16</v>
      </c>
      <c r="B212" s="139">
        <v>46167.650891203702</v>
      </c>
      <c r="C212" s="139">
        <v>46167.661608796298</v>
      </c>
      <c r="D212" t="s">
        <v>227</v>
      </c>
      <c r="E212" t="s">
        <v>228</v>
      </c>
      <c r="F212" t="s">
        <v>234</v>
      </c>
      <c r="G212" t="s">
        <v>229</v>
      </c>
      <c r="H212" s="139">
        <v>46155</v>
      </c>
      <c r="I212" t="s">
        <v>136</v>
      </c>
      <c r="J212" t="s">
        <v>174</v>
      </c>
      <c r="L212" t="s">
        <v>217</v>
      </c>
      <c r="N212" t="s">
        <v>114</v>
      </c>
      <c r="O212" t="s">
        <v>135</v>
      </c>
      <c r="P212" t="s">
        <v>108</v>
      </c>
      <c r="Q212" t="s">
        <v>109</v>
      </c>
      <c r="R212" t="s">
        <v>22</v>
      </c>
      <c r="S212" t="s">
        <v>149</v>
      </c>
      <c r="T212" t="s">
        <v>181</v>
      </c>
      <c r="V212" t="s">
        <v>151</v>
      </c>
      <c r="W212" t="s">
        <v>130</v>
      </c>
      <c r="X212" t="s">
        <v>146</v>
      </c>
      <c r="Y212" t="s">
        <v>1044</v>
      </c>
      <c r="Z212">
        <v>1</v>
      </c>
      <c r="AA212" t="s">
        <v>1141</v>
      </c>
    </row>
    <row r="213" spans="1:27" ht="15" customHeight="1">
      <c r="A213">
        <v>30</v>
      </c>
      <c r="B213" s="139">
        <v>46168.660115740742</v>
      </c>
      <c r="C213" s="139">
        <v>46168.661898148152</v>
      </c>
      <c r="D213" t="s">
        <v>270</v>
      </c>
      <c r="E213" t="s">
        <v>271</v>
      </c>
      <c r="F213" t="s">
        <v>272</v>
      </c>
      <c r="G213" t="s">
        <v>273</v>
      </c>
      <c r="H213" s="139">
        <v>46155</v>
      </c>
      <c r="I213" t="s">
        <v>136</v>
      </c>
      <c r="J213" t="s">
        <v>161</v>
      </c>
      <c r="M213" t="s">
        <v>311</v>
      </c>
      <c r="N213" t="s">
        <v>275</v>
      </c>
      <c r="O213" t="s">
        <v>195</v>
      </c>
      <c r="P213" t="s">
        <v>221</v>
      </c>
      <c r="Q213" t="s">
        <v>109</v>
      </c>
      <c r="R213" t="s">
        <v>22</v>
      </c>
      <c r="S213" t="s">
        <v>149</v>
      </c>
      <c r="T213" t="s">
        <v>181</v>
      </c>
      <c r="U213" t="s">
        <v>315</v>
      </c>
      <c r="V213" t="s">
        <v>129</v>
      </c>
      <c r="W213" t="s">
        <v>130</v>
      </c>
      <c r="X213" t="s">
        <v>124</v>
      </c>
      <c r="Y213" t="s">
        <v>1040</v>
      </c>
      <c r="Z213">
        <v>1</v>
      </c>
      <c r="AA213" t="s">
        <v>1176</v>
      </c>
    </row>
    <row r="214" spans="1:27" ht="15" customHeight="1">
      <c r="A214">
        <v>30</v>
      </c>
      <c r="B214" s="139">
        <v>46168.660115740742</v>
      </c>
      <c r="C214" s="139">
        <v>46168.661898148152</v>
      </c>
      <c r="D214" t="s">
        <v>270</v>
      </c>
      <c r="E214" t="s">
        <v>271</v>
      </c>
      <c r="F214" t="s">
        <v>272</v>
      </c>
      <c r="G214" t="s">
        <v>273</v>
      </c>
      <c r="H214" s="139">
        <v>46155</v>
      </c>
      <c r="I214" t="s">
        <v>136</v>
      </c>
      <c r="J214" t="s">
        <v>161</v>
      </c>
      <c r="M214" t="s">
        <v>311</v>
      </c>
      <c r="N214" t="s">
        <v>275</v>
      </c>
      <c r="O214" t="s">
        <v>195</v>
      </c>
      <c r="P214" t="s">
        <v>221</v>
      </c>
      <c r="Q214" t="s">
        <v>109</v>
      </c>
      <c r="R214" t="s">
        <v>22</v>
      </c>
      <c r="S214" t="s">
        <v>149</v>
      </c>
      <c r="T214" t="s">
        <v>181</v>
      </c>
      <c r="U214" t="s">
        <v>315</v>
      </c>
      <c r="V214" t="s">
        <v>129</v>
      </c>
      <c r="W214" t="s">
        <v>130</v>
      </c>
      <c r="X214" t="s">
        <v>124</v>
      </c>
      <c r="Y214" t="s">
        <v>1042</v>
      </c>
      <c r="Z214">
        <v>1</v>
      </c>
      <c r="AA214" t="s">
        <v>1127</v>
      </c>
    </row>
    <row r="215" spans="1:27" ht="15" customHeight="1">
      <c r="A215">
        <v>30</v>
      </c>
      <c r="B215" s="139">
        <v>46168.660115740742</v>
      </c>
      <c r="C215" s="139">
        <v>46168.661898148152</v>
      </c>
      <c r="D215" t="s">
        <v>270</v>
      </c>
      <c r="E215" t="s">
        <v>271</v>
      </c>
      <c r="F215" t="s">
        <v>272</v>
      </c>
      <c r="G215" t="s">
        <v>273</v>
      </c>
      <c r="H215" s="139">
        <v>46155</v>
      </c>
      <c r="I215" t="s">
        <v>136</v>
      </c>
      <c r="J215" t="s">
        <v>161</v>
      </c>
      <c r="M215" t="s">
        <v>311</v>
      </c>
      <c r="N215" t="s">
        <v>275</v>
      </c>
      <c r="O215" t="s">
        <v>195</v>
      </c>
      <c r="P215" t="s">
        <v>221</v>
      </c>
      <c r="Q215" t="s">
        <v>109</v>
      </c>
      <c r="R215" t="s">
        <v>22</v>
      </c>
      <c r="S215" t="s">
        <v>149</v>
      </c>
      <c r="T215" t="s">
        <v>181</v>
      </c>
      <c r="U215" t="s">
        <v>315</v>
      </c>
      <c r="V215" t="s">
        <v>129</v>
      </c>
      <c r="W215" t="s">
        <v>130</v>
      </c>
      <c r="X215" t="s">
        <v>124</v>
      </c>
      <c r="Y215" t="s">
        <v>1044</v>
      </c>
      <c r="Z215">
        <v>1</v>
      </c>
      <c r="AA215" t="s">
        <v>1130</v>
      </c>
    </row>
    <row r="216" spans="1:27" ht="15" customHeight="1">
      <c r="A216">
        <v>47</v>
      </c>
      <c r="B216" s="139">
        <v>46168.718946759262</v>
      </c>
      <c r="C216" s="139">
        <v>46168.720949074072</v>
      </c>
      <c r="D216" t="s">
        <v>351</v>
      </c>
      <c r="E216" t="s">
        <v>352</v>
      </c>
      <c r="F216" t="s">
        <v>353</v>
      </c>
      <c r="G216" t="s">
        <v>354</v>
      </c>
      <c r="H216" s="139">
        <v>46155</v>
      </c>
      <c r="I216" t="s">
        <v>136</v>
      </c>
      <c r="J216" t="s">
        <v>187</v>
      </c>
      <c r="K216" t="s">
        <v>381</v>
      </c>
      <c r="N216" t="s">
        <v>390</v>
      </c>
      <c r="O216" t="s">
        <v>122</v>
      </c>
      <c r="P216" t="s">
        <v>108</v>
      </c>
      <c r="Q216" t="s">
        <v>123</v>
      </c>
      <c r="R216" t="s">
        <v>22</v>
      </c>
      <c r="S216" t="s">
        <v>143</v>
      </c>
      <c r="T216" t="s">
        <v>181</v>
      </c>
      <c r="U216" t="s">
        <v>393</v>
      </c>
      <c r="V216" t="s">
        <v>129</v>
      </c>
      <c r="W216" t="s">
        <v>130</v>
      </c>
      <c r="X216" t="s">
        <v>124</v>
      </c>
      <c r="Y216" t="s">
        <v>1040</v>
      </c>
      <c r="Z216">
        <v>1</v>
      </c>
      <c r="AA216" t="s">
        <v>1177</v>
      </c>
    </row>
    <row r="217" spans="1:27" ht="15" customHeight="1">
      <c r="A217">
        <v>47</v>
      </c>
      <c r="B217" s="139">
        <v>46168.718946759262</v>
      </c>
      <c r="C217" s="139">
        <v>46168.720949074072</v>
      </c>
      <c r="D217" t="s">
        <v>351</v>
      </c>
      <c r="E217" t="s">
        <v>352</v>
      </c>
      <c r="F217" t="s">
        <v>353</v>
      </c>
      <c r="G217" t="s">
        <v>354</v>
      </c>
      <c r="H217" s="139">
        <v>46155</v>
      </c>
      <c r="I217" t="s">
        <v>136</v>
      </c>
      <c r="J217" t="s">
        <v>187</v>
      </c>
      <c r="K217" t="s">
        <v>381</v>
      </c>
      <c r="N217" t="s">
        <v>390</v>
      </c>
      <c r="O217" t="s">
        <v>122</v>
      </c>
      <c r="P217" t="s">
        <v>108</v>
      </c>
      <c r="Q217" t="s">
        <v>123</v>
      </c>
      <c r="R217" t="s">
        <v>22</v>
      </c>
      <c r="S217" t="s">
        <v>143</v>
      </c>
      <c r="T217" t="s">
        <v>181</v>
      </c>
      <c r="U217" t="s">
        <v>393</v>
      </c>
      <c r="V217" t="s">
        <v>129</v>
      </c>
      <c r="W217" t="s">
        <v>130</v>
      </c>
      <c r="X217" t="s">
        <v>124</v>
      </c>
      <c r="Y217" t="s">
        <v>1042</v>
      </c>
      <c r="Z217">
        <v>1</v>
      </c>
      <c r="AA217" t="s">
        <v>1125</v>
      </c>
    </row>
    <row r="218" spans="1:27" ht="15" customHeight="1">
      <c r="A218">
        <v>47</v>
      </c>
      <c r="B218" s="139">
        <v>46168.718946759262</v>
      </c>
      <c r="C218" s="139">
        <v>46168.720949074072</v>
      </c>
      <c r="D218" t="s">
        <v>351</v>
      </c>
      <c r="E218" t="s">
        <v>352</v>
      </c>
      <c r="F218" t="s">
        <v>353</v>
      </c>
      <c r="G218" t="s">
        <v>354</v>
      </c>
      <c r="H218" s="139">
        <v>46155</v>
      </c>
      <c r="I218" t="s">
        <v>136</v>
      </c>
      <c r="J218" t="s">
        <v>187</v>
      </c>
      <c r="K218" t="s">
        <v>381</v>
      </c>
      <c r="N218" t="s">
        <v>390</v>
      </c>
      <c r="O218" t="s">
        <v>122</v>
      </c>
      <c r="P218" t="s">
        <v>108</v>
      </c>
      <c r="Q218" t="s">
        <v>123</v>
      </c>
      <c r="R218" t="s">
        <v>22</v>
      </c>
      <c r="S218" t="s">
        <v>143</v>
      </c>
      <c r="T218" t="s">
        <v>181</v>
      </c>
      <c r="U218" t="s">
        <v>393</v>
      </c>
      <c r="V218" t="s">
        <v>129</v>
      </c>
      <c r="W218" t="s">
        <v>130</v>
      </c>
      <c r="X218" t="s">
        <v>124</v>
      </c>
      <c r="Y218" t="s">
        <v>1042</v>
      </c>
      <c r="Z218">
        <v>2</v>
      </c>
      <c r="AA218" t="s">
        <v>1059</v>
      </c>
    </row>
    <row r="219" spans="1:27" ht="15" customHeight="1">
      <c r="A219">
        <v>47</v>
      </c>
      <c r="B219" s="139">
        <v>46168.718946759262</v>
      </c>
      <c r="C219" s="139">
        <v>46168.720949074072</v>
      </c>
      <c r="D219" t="s">
        <v>351</v>
      </c>
      <c r="E219" t="s">
        <v>352</v>
      </c>
      <c r="F219" t="s">
        <v>353</v>
      </c>
      <c r="G219" t="s">
        <v>354</v>
      </c>
      <c r="H219" s="139">
        <v>46155</v>
      </c>
      <c r="I219" t="s">
        <v>136</v>
      </c>
      <c r="J219" t="s">
        <v>187</v>
      </c>
      <c r="K219" t="s">
        <v>381</v>
      </c>
      <c r="N219" t="s">
        <v>390</v>
      </c>
      <c r="O219" t="s">
        <v>122</v>
      </c>
      <c r="P219" t="s">
        <v>108</v>
      </c>
      <c r="Q219" t="s">
        <v>123</v>
      </c>
      <c r="R219" t="s">
        <v>22</v>
      </c>
      <c r="S219" t="s">
        <v>143</v>
      </c>
      <c r="T219" t="s">
        <v>181</v>
      </c>
      <c r="U219" t="s">
        <v>393</v>
      </c>
      <c r="V219" t="s">
        <v>129</v>
      </c>
      <c r="W219" t="s">
        <v>130</v>
      </c>
      <c r="X219" t="s">
        <v>124</v>
      </c>
      <c r="Y219" t="s">
        <v>1044</v>
      </c>
      <c r="Z219">
        <v>1</v>
      </c>
      <c r="AA219" t="s">
        <v>1178</v>
      </c>
    </row>
    <row r="220" spans="1:27" ht="15" customHeight="1">
      <c r="A220">
        <v>47</v>
      </c>
      <c r="B220" s="139">
        <v>46168.718946759262</v>
      </c>
      <c r="C220" s="139">
        <v>46168.720949074072</v>
      </c>
      <c r="D220" t="s">
        <v>351</v>
      </c>
      <c r="E220" t="s">
        <v>352</v>
      </c>
      <c r="F220" t="s">
        <v>353</v>
      </c>
      <c r="G220" t="s">
        <v>354</v>
      </c>
      <c r="H220" s="139">
        <v>46155</v>
      </c>
      <c r="I220" t="s">
        <v>136</v>
      </c>
      <c r="J220" t="s">
        <v>187</v>
      </c>
      <c r="K220" t="s">
        <v>381</v>
      </c>
      <c r="N220" t="s">
        <v>390</v>
      </c>
      <c r="O220" t="s">
        <v>122</v>
      </c>
      <c r="P220" t="s">
        <v>108</v>
      </c>
      <c r="Q220" t="s">
        <v>123</v>
      </c>
      <c r="R220" t="s">
        <v>22</v>
      </c>
      <c r="S220" t="s">
        <v>143</v>
      </c>
      <c r="T220" t="s">
        <v>181</v>
      </c>
      <c r="U220" t="s">
        <v>393</v>
      </c>
      <c r="V220" t="s">
        <v>129</v>
      </c>
      <c r="W220" t="s">
        <v>130</v>
      </c>
      <c r="X220" t="s">
        <v>124</v>
      </c>
      <c r="Y220" t="s">
        <v>1044</v>
      </c>
      <c r="Z220">
        <v>2</v>
      </c>
      <c r="AA220" t="s">
        <v>1179</v>
      </c>
    </row>
    <row r="221" spans="1:27" ht="15" customHeight="1">
      <c r="A221">
        <v>68</v>
      </c>
      <c r="B221" s="139">
        <v>46175.808611111112</v>
      </c>
      <c r="C221" s="139">
        <v>46175.810937499999</v>
      </c>
      <c r="D221" t="s">
        <v>513</v>
      </c>
      <c r="E221" t="s">
        <v>514</v>
      </c>
      <c r="F221" t="s">
        <v>515</v>
      </c>
      <c r="G221" t="s">
        <v>516</v>
      </c>
      <c r="H221" s="139">
        <v>46155</v>
      </c>
      <c r="I221" t="s">
        <v>472</v>
      </c>
      <c r="J221" t="s">
        <v>161</v>
      </c>
      <c r="M221" t="s">
        <v>517</v>
      </c>
      <c r="N221" t="s">
        <v>518</v>
      </c>
      <c r="O221" t="s">
        <v>135</v>
      </c>
      <c r="P221" t="s">
        <v>108</v>
      </c>
      <c r="Q221" t="s">
        <v>109</v>
      </c>
      <c r="R221" t="s">
        <v>24</v>
      </c>
      <c r="S221" t="s">
        <v>149</v>
      </c>
      <c r="T221" t="s">
        <v>144</v>
      </c>
      <c r="V221" t="s">
        <v>151</v>
      </c>
      <c r="W221" t="s">
        <v>130</v>
      </c>
      <c r="X221" t="s">
        <v>419</v>
      </c>
      <c r="Y221" t="s">
        <v>1040</v>
      </c>
      <c r="Z221">
        <v>1</v>
      </c>
      <c r="AA221" t="s">
        <v>1180</v>
      </c>
    </row>
    <row r="222" spans="1:27" ht="15" customHeight="1">
      <c r="A222">
        <v>68</v>
      </c>
      <c r="B222" s="139">
        <v>46175.808611111112</v>
      </c>
      <c r="C222" s="139">
        <v>46175.810937499999</v>
      </c>
      <c r="D222" t="s">
        <v>513</v>
      </c>
      <c r="E222" t="s">
        <v>514</v>
      </c>
      <c r="F222" t="s">
        <v>515</v>
      </c>
      <c r="G222" t="s">
        <v>516</v>
      </c>
      <c r="H222" s="139">
        <v>46155</v>
      </c>
      <c r="I222" t="s">
        <v>472</v>
      </c>
      <c r="J222" t="s">
        <v>161</v>
      </c>
      <c r="M222" t="s">
        <v>517</v>
      </c>
      <c r="N222" t="s">
        <v>518</v>
      </c>
      <c r="O222" t="s">
        <v>135</v>
      </c>
      <c r="P222" t="s">
        <v>108</v>
      </c>
      <c r="Q222" t="s">
        <v>109</v>
      </c>
      <c r="R222" t="s">
        <v>24</v>
      </c>
      <c r="S222" t="s">
        <v>149</v>
      </c>
      <c r="T222" t="s">
        <v>144</v>
      </c>
      <c r="V222" t="s">
        <v>151</v>
      </c>
      <c r="W222" t="s">
        <v>130</v>
      </c>
      <c r="X222" t="s">
        <v>419</v>
      </c>
      <c r="Y222" t="s">
        <v>1040</v>
      </c>
      <c r="Z222">
        <v>2</v>
      </c>
      <c r="AA222" t="s">
        <v>1181</v>
      </c>
    </row>
    <row r="223" spans="1:27" ht="15" customHeight="1">
      <c r="A223">
        <v>68</v>
      </c>
      <c r="B223" s="139">
        <v>46175.808611111112</v>
      </c>
      <c r="C223" s="139">
        <v>46175.810937499999</v>
      </c>
      <c r="D223" t="s">
        <v>513</v>
      </c>
      <c r="E223" t="s">
        <v>514</v>
      </c>
      <c r="F223" t="s">
        <v>515</v>
      </c>
      <c r="G223" t="s">
        <v>516</v>
      </c>
      <c r="H223" s="139">
        <v>46155</v>
      </c>
      <c r="I223" t="s">
        <v>472</v>
      </c>
      <c r="J223" t="s">
        <v>161</v>
      </c>
      <c r="M223" t="s">
        <v>517</v>
      </c>
      <c r="N223" t="s">
        <v>518</v>
      </c>
      <c r="O223" t="s">
        <v>135</v>
      </c>
      <c r="P223" t="s">
        <v>108</v>
      </c>
      <c r="Q223" t="s">
        <v>109</v>
      </c>
      <c r="R223" t="s">
        <v>24</v>
      </c>
      <c r="S223" t="s">
        <v>149</v>
      </c>
      <c r="T223" t="s">
        <v>144</v>
      </c>
      <c r="V223" t="s">
        <v>151</v>
      </c>
      <c r="W223" t="s">
        <v>130</v>
      </c>
      <c r="X223" t="s">
        <v>419</v>
      </c>
      <c r="Y223" t="s">
        <v>1042</v>
      </c>
      <c r="Z223">
        <v>1</v>
      </c>
      <c r="AA223" t="s">
        <v>1182</v>
      </c>
    </row>
    <row r="224" spans="1:27" ht="15" customHeight="1">
      <c r="A224">
        <v>68</v>
      </c>
      <c r="B224" s="139">
        <v>46175.808611111112</v>
      </c>
      <c r="C224" s="139">
        <v>46175.810937499999</v>
      </c>
      <c r="D224" t="s">
        <v>513</v>
      </c>
      <c r="E224" t="s">
        <v>514</v>
      </c>
      <c r="F224" t="s">
        <v>515</v>
      </c>
      <c r="G224" t="s">
        <v>516</v>
      </c>
      <c r="H224" s="139">
        <v>46155</v>
      </c>
      <c r="I224" t="s">
        <v>472</v>
      </c>
      <c r="J224" t="s">
        <v>161</v>
      </c>
      <c r="M224" t="s">
        <v>517</v>
      </c>
      <c r="N224" t="s">
        <v>518</v>
      </c>
      <c r="O224" t="s">
        <v>135</v>
      </c>
      <c r="P224" t="s">
        <v>108</v>
      </c>
      <c r="Q224" t="s">
        <v>109</v>
      </c>
      <c r="R224" t="s">
        <v>24</v>
      </c>
      <c r="S224" t="s">
        <v>149</v>
      </c>
      <c r="T224" t="s">
        <v>144</v>
      </c>
      <c r="V224" t="s">
        <v>151</v>
      </c>
      <c r="W224" t="s">
        <v>130</v>
      </c>
      <c r="X224" t="s">
        <v>419</v>
      </c>
      <c r="Y224" t="s">
        <v>1044</v>
      </c>
      <c r="Z224">
        <v>1</v>
      </c>
      <c r="AA224" t="s">
        <v>1183</v>
      </c>
    </row>
    <row r="225" spans="1:27" ht="15" customHeight="1">
      <c r="A225">
        <v>68</v>
      </c>
      <c r="B225" s="139">
        <v>46175.808611111112</v>
      </c>
      <c r="C225" s="139">
        <v>46175.810937499999</v>
      </c>
      <c r="D225" t="s">
        <v>513</v>
      </c>
      <c r="E225" t="s">
        <v>514</v>
      </c>
      <c r="F225" t="s">
        <v>515</v>
      </c>
      <c r="G225" t="s">
        <v>516</v>
      </c>
      <c r="H225" s="139">
        <v>46155</v>
      </c>
      <c r="I225" t="s">
        <v>472</v>
      </c>
      <c r="J225" t="s">
        <v>161</v>
      </c>
      <c r="M225" t="s">
        <v>517</v>
      </c>
      <c r="N225" t="s">
        <v>518</v>
      </c>
      <c r="O225" t="s">
        <v>135</v>
      </c>
      <c r="P225" t="s">
        <v>108</v>
      </c>
      <c r="Q225" t="s">
        <v>109</v>
      </c>
      <c r="R225" t="s">
        <v>24</v>
      </c>
      <c r="S225" t="s">
        <v>149</v>
      </c>
      <c r="T225" t="s">
        <v>144</v>
      </c>
      <c r="V225" t="s">
        <v>151</v>
      </c>
      <c r="W225" t="s">
        <v>130</v>
      </c>
      <c r="X225" t="s">
        <v>419</v>
      </c>
      <c r="Y225" t="s">
        <v>1044</v>
      </c>
      <c r="Z225">
        <v>2</v>
      </c>
      <c r="AA225" t="s">
        <v>1184</v>
      </c>
    </row>
    <row r="226" spans="1:27" ht="15" customHeight="1">
      <c r="A226">
        <v>68</v>
      </c>
      <c r="B226" s="139">
        <v>46175.808611111112</v>
      </c>
      <c r="C226" s="139">
        <v>46175.810937499999</v>
      </c>
      <c r="D226" t="s">
        <v>513</v>
      </c>
      <c r="E226" t="s">
        <v>514</v>
      </c>
      <c r="F226" t="s">
        <v>515</v>
      </c>
      <c r="G226" t="s">
        <v>516</v>
      </c>
      <c r="H226" s="139">
        <v>46155</v>
      </c>
      <c r="I226" t="s">
        <v>472</v>
      </c>
      <c r="J226" t="s">
        <v>161</v>
      </c>
      <c r="M226" t="s">
        <v>517</v>
      </c>
      <c r="N226" t="s">
        <v>518</v>
      </c>
      <c r="O226" t="s">
        <v>135</v>
      </c>
      <c r="P226" t="s">
        <v>108</v>
      </c>
      <c r="Q226" t="s">
        <v>109</v>
      </c>
      <c r="R226" t="s">
        <v>24</v>
      </c>
      <c r="S226" t="s">
        <v>149</v>
      </c>
      <c r="T226" t="s">
        <v>144</v>
      </c>
      <c r="V226" t="s">
        <v>151</v>
      </c>
      <c r="W226" t="s">
        <v>130</v>
      </c>
      <c r="X226" t="s">
        <v>419</v>
      </c>
      <c r="Y226" t="s">
        <v>1044</v>
      </c>
      <c r="Z226">
        <v>3</v>
      </c>
      <c r="AA226" t="s">
        <v>1185</v>
      </c>
    </row>
    <row r="227" spans="1:27" ht="15" customHeight="1">
      <c r="A227">
        <v>68</v>
      </c>
      <c r="B227" s="139">
        <v>46175.808611111112</v>
      </c>
      <c r="C227" s="139">
        <v>46175.810937499999</v>
      </c>
      <c r="D227" t="s">
        <v>513</v>
      </c>
      <c r="E227" t="s">
        <v>514</v>
      </c>
      <c r="F227" t="s">
        <v>515</v>
      </c>
      <c r="G227" t="s">
        <v>516</v>
      </c>
      <c r="H227" s="139">
        <v>46155</v>
      </c>
      <c r="I227" t="s">
        <v>472</v>
      </c>
      <c r="J227" t="s">
        <v>161</v>
      </c>
      <c r="M227" t="s">
        <v>517</v>
      </c>
      <c r="N227" t="s">
        <v>518</v>
      </c>
      <c r="O227" t="s">
        <v>135</v>
      </c>
      <c r="P227" t="s">
        <v>108</v>
      </c>
      <c r="Q227" t="s">
        <v>109</v>
      </c>
      <c r="R227" t="s">
        <v>24</v>
      </c>
      <c r="S227" t="s">
        <v>149</v>
      </c>
      <c r="T227" t="s">
        <v>144</v>
      </c>
      <c r="V227" t="s">
        <v>151</v>
      </c>
      <c r="W227" t="s">
        <v>130</v>
      </c>
      <c r="X227" t="s">
        <v>419</v>
      </c>
      <c r="Y227" t="s">
        <v>1044</v>
      </c>
      <c r="Z227">
        <v>4</v>
      </c>
      <c r="AA227" t="s">
        <v>1186</v>
      </c>
    </row>
    <row r="228" spans="1:27" ht="15" customHeight="1">
      <c r="A228">
        <v>78</v>
      </c>
      <c r="B228" s="139">
        <v>46176.527696759258</v>
      </c>
      <c r="C228" s="139">
        <v>46176.546782407408</v>
      </c>
      <c r="D228" t="s">
        <v>565</v>
      </c>
      <c r="E228" t="s">
        <v>566</v>
      </c>
      <c r="F228" t="s">
        <v>567</v>
      </c>
      <c r="G228" t="s">
        <v>568</v>
      </c>
      <c r="H228" s="139">
        <v>46155</v>
      </c>
      <c r="I228" t="s">
        <v>498</v>
      </c>
      <c r="J228" t="s">
        <v>161</v>
      </c>
      <c r="M228" t="s">
        <v>569</v>
      </c>
      <c r="N228" t="s">
        <v>570</v>
      </c>
      <c r="O228" t="s">
        <v>436</v>
      </c>
      <c r="P228" t="s">
        <v>108</v>
      </c>
      <c r="Q228" t="s">
        <v>248</v>
      </c>
      <c r="R228" t="s">
        <v>22</v>
      </c>
      <c r="S228" t="s">
        <v>149</v>
      </c>
      <c r="T228" t="s">
        <v>144</v>
      </c>
      <c r="U228" t="s">
        <v>572</v>
      </c>
      <c r="V228" t="s">
        <v>151</v>
      </c>
      <c r="W228" t="s">
        <v>130</v>
      </c>
      <c r="X228" t="s">
        <v>124</v>
      </c>
      <c r="Y228" t="s">
        <v>1040</v>
      </c>
      <c r="Z228">
        <v>1</v>
      </c>
      <c r="AA228" t="s">
        <v>1187</v>
      </c>
    </row>
    <row r="229" spans="1:27" ht="15" customHeight="1">
      <c r="A229">
        <v>78</v>
      </c>
      <c r="B229" s="139">
        <v>46176.527696759258</v>
      </c>
      <c r="C229" s="139">
        <v>46176.546782407408</v>
      </c>
      <c r="D229" t="s">
        <v>565</v>
      </c>
      <c r="E229" t="s">
        <v>566</v>
      </c>
      <c r="F229" t="s">
        <v>567</v>
      </c>
      <c r="G229" t="s">
        <v>568</v>
      </c>
      <c r="H229" s="139">
        <v>46155</v>
      </c>
      <c r="I229" t="s">
        <v>498</v>
      </c>
      <c r="J229" t="s">
        <v>161</v>
      </c>
      <c r="M229" t="s">
        <v>569</v>
      </c>
      <c r="N229" t="s">
        <v>570</v>
      </c>
      <c r="O229" t="s">
        <v>436</v>
      </c>
      <c r="P229" t="s">
        <v>108</v>
      </c>
      <c r="Q229" t="s">
        <v>248</v>
      </c>
      <c r="R229" t="s">
        <v>22</v>
      </c>
      <c r="S229" t="s">
        <v>149</v>
      </c>
      <c r="T229" t="s">
        <v>144</v>
      </c>
      <c r="U229" t="s">
        <v>572</v>
      </c>
      <c r="V229" t="s">
        <v>151</v>
      </c>
      <c r="W229" t="s">
        <v>130</v>
      </c>
      <c r="X229" t="s">
        <v>124</v>
      </c>
      <c r="Y229" t="s">
        <v>1042</v>
      </c>
      <c r="Z229">
        <v>1</v>
      </c>
      <c r="AA229" t="s">
        <v>1187</v>
      </c>
    </row>
    <row r="230" spans="1:27" ht="15" customHeight="1">
      <c r="A230">
        <v>78</v>
      </c>
      <c r="B230" s="139">
        <v>46176.527696759258</v>
      </c>
      <c r="C230" s="139">
        <v>46176.546782407408</v>
      </c>
      <c r="D230" t="s">
        <v>565</v>
      </c>
      <c r="E230" t="s">
        <v>566</v>
      </c>
      <c r="F230" t="s">
        <v>567</v>
      </c>
      <c r="G230" t="s">
        <v>568</v>
      </c>
      <c r="H230" s="139">
        <v>46155</v>
      </c>
      <c r="I230" t="s">
        <v>498</v>
      </c>
      <c r="J230" t="s">
        <v>161</v>
      </c>
      <c r="M230" t="s">
        <v>569</v>
      </c>
      <c r="N230" t="s">
        <v>570</v>
      </c>
      <c r="O230" t="s">
        <v>436</v>
      </c>
      <c r="P230" t="s">
        <v>108</v>
      </c>
      <c r="Q230" t="s">
        <v>248</v>
      </c>
      <c r="R230" t="s">
        <v>22</v>
      </c>
      <c r="S230" t="s">
        <v>149</v>
      </c>
      <c r="T230" t="s">
        <v>144</v>
      </c>
      <c r="U230" t="s">
        <v>572</v>
      </c>
      <c r="V230" t="s">
        <v>151</v>
      </c>
      <c r="W230" t="s">
        <v>130</v>
      </c>
      <c r="X230" t="s">
        <v>124</v>
      </c>
      <c r="Y230" t="s">
        <v>1044</v>
      </c>
      <c r="Z230">
        <v>1</v>
      </c>
      <c r="AA230" t="s">
        <v>1187</v>
      </c>
    </row>
    <row r="231" spans="1:27" ht="15" customHeight="1">
      <c r="A231">
        <v>108</v>
      </c>
      <c r="B231" s="139">
        <v>46178.63857638889</v>
      </c>
      <c r="C231" s="139">
        <v>46178.641828703701</v>
      </c>
      <c r="D231" t="s">
        <v>131</v>
      </c>
      <c r="E231" t="s">
        <v>132</v>
      </c>
      <c r="F231" t="s">
        <v>133</v>
      </c>
      <c r="G231" t="s">
        <v>134</v>
      </c>
      <c r="H231" s="139">
        <v>46155</v>
      </c>
      <c r="I231" t="s">
        <v>136</v>
      </c>
      <c r="J231" t="s">
        <v>161</v>
      </c>
      <c r="M231" t="s">
        <v>690</v>
      </c>
      <c r="N231" t="s">
        <v>686</v>
      </c>
      <c r="O231" t="s">
        <v>195</v>
      </c>
      <c r="P231" t="s">
        <v>221</v>
      </c>
      <c r="Q231" t="s">
        <v>109</v>
      </c>
      <c r="R231" t="s">
        <v>22</v>
      </c>
      <c r="S231" t="s">
        <v>546</v>
      </c>
      <c r="T231" t="s">
        <v>150</v>
      </c>
      <c r="U231" t="s">
        <v>692</v>
      </c>
      <c r="V231" t="s">
        <v>129</v>
      </c>
      <c r="W231" t="s">
        <v>169</v>
      </c>
      <c r="X231" t="s">
        <v>124</v>
      </c>
      <c r="Y231" t="s">
        <v>1040</v>
      </c>
      <c r="Z231">
        <v>1</v>
      </c>
      <c r="AA231" t="s">
        <v>186</v>
      </c>
    </row>
    <row r="232" spans="1:27" ht="15" customHeight="1">
      <c r="A232">
        <v>108</v>
      </c>
      <c r="B232" s="139">
        <v>46178.63857638889</v>
      </c>
      <c r="C232" s="139">
        <v>46178.641828703701</v>
      </c>
      <c r="D232" t="s">
        <v>131</v>
      </c>
      <c r="E232" t="s">
        <v>132</v>
      </c>
      <c r="F232" t="s">
        <v>133</v>
      </c>
      <c r="G232" t="s">
        <v>134</v>
      </c>
      <c r="H232" s="139">
        <v>46155</v>
      </c>
      <c r="I232" t="s">
        <v>136</v>
      </c>
      <c r="J232" t="s">
        <v>161</v>
      </c>
      <c r="M232" t="s">
        <v>690</v>
      </c>
      <c r="N232" t="s">
        <v>686</v>
      </c>
      <c r="O232" t="s">
        <v>195</v>
      </c>
      <c r="P232" t="s">
        <v>221</v>
      </c>
      <c r="Q232" t="s">
        <v>109</v>
      </c>
      <c r="R232" t="s">
        <v>22</v>
      </c>
      <c r="S232" t="s">
        <v>546</v>
      </c>
      <c r="T232" t="s">
        <v>150</v>
      </c>
      <c r="U232" t="s">
        <v>692</v>
      </c>
      <c r="V232" t="s">
        <v>129</v>
      </c>
      <c r="W232" t="s">
        <v>169</v>
      </c>
      <c r="X232" t="s">
        <v>124</v>
      </c>
      <c r="Y232" t="s">
        <v>1042</v>
      </c>
      <c r="Z232">
        <v>1</v>
      </c>
      <c r="AA232" t="s">
        <v>1146</v>
      </c>
    </row>
    <row r="233" spans="1:27" ht="15" customHeight="1">
      <c r="A233">
        <v>108</v>
      </c>
      <c r="B233" s="139">
        <v>46178.63857638889</v>
      </c>
      <c r="C233" s="139">
        <v>46178.641828703701</v>
      </c>
      <c r="D233" t="s">
        <v>131</v>
      </c>
      <c r="E233" t="s">
        <v>132</v>
      </c>
      <c r="F233" t="s">
        <v>133</v>
      </c>
      <c r="G233" t="s">
        <v>134</v>
      </c>
      <c r="H233" s="139">
        <v>46155</v>
      </c>
      <c r="I233" t="s">
        <v>136</v>
      </c>
      <c r="J233" t="s">
        <v>161</v>
      </c>
      <c r="M233" t="s">
        <v>690</v>
      </c>
      <c r="N233" t="s">
        <v>686</v>
      </c>
      <c r="O233" t="s">
        <v>195</v>
      </c>
      <c r="P233" t="s">
        <v>221</v>
      </c>
      <c r="Q233" t="s">
        <v>109</v>
      </c>
      <c r="R233" t="s">
        <v>22</v>
      </c>
      <c r="S233" t="s">
        <v>546</v>
      </c>
      <c r="T233" t="s">
        <v>150</v>
      </c>
      <c r="U233" t="s">
        <v>692</v>
      </c>
      <c r="V233" t="s">
        <v>129</v>
      </c>
      <c r="W233" t="s">
        <v>169</v>
      </c>
      <c r="X233" t="s">
        <v>124</v>
      </c>
      <c r="Y233" t="s">
        <v>1042</v>
      </c>
      <c r="Z233">
        <v>2</v>
      </c>
      <c r="AA233" t="s">
        <v>1073</v>
      </c>
    </row>
    <row r="234" spans="1:27" ht="15" customHeight="1">
      <c r="A234">
        <v>108</v>
      </c>
      <c r="B234" s="139">
        <v>46178.63857638889</v>
      </c>
      <c r="C234" s="139">
        <v>46178.641828703701</v>
      </c>
      <c r="D234" t="s">
        <v>131</v>
      </c>
      <c r="E234" t="s">
        <v>132</v>
      </c>
      <c r="F234" t="s">
        <v>133</v>
      </c>
      <c r="G234" t="s">
        <v>134</v>
      </c>
      <c r="H234" s="139">
        <v>46155</v>
      </c>
      <c r="I234" t="s">
        <v>136</v>
      </c>
      <c r="J234" t="s">
        <v>161</v>
      </c>
      <c r="M234" t="s">
        <v>690</v>
      </c>
      <c r="N234" t="s">
        <v>686</v>
      </c>
      <c r="O234" t="s">
        <v>195</v>
      </c>
      <c r="P234" t="s">
        <v>221</v>
      </c>
      <c r="Q234" t="s">
        <v>109</v>
      </c>
      <c r="R234" t="s">
        <v>22</v>
      </c>
      <c r="S234" t="s">
        <v>546</v>
      </c>
      <c r="T234" t="s">
        <v>150</v>
      </c>
      <c r="U234" t="s">
        <v>692</v>
      </c>
      <c r="V234" t="s">
        <v>129</v>
      </c>
      <c r="W234" t="s">
        <v>169</v>
      </c>
      <c r="X234" t="s">
        <v>124</v>
      </c>
      <c r="Y234" t="s">
        <v>1042</v>
      </c>
      <c r="Z234">
        <v>3</v>
      </c>
      <c r="AA234" t="s">
        <v>1128</v>
      </c>
    </row>
    <row r="235" spans="1:27" ht="15" customHeight="1">
      <c r="A235">
        <v>108</v>
      </c>
      <c r="B235" s="139">
        <v>46178.63857638889</v>
      </c>
      <c r="C235" s="139">
        <v>46178.641828703701</v>
      </c>
      <c r="D235" t="s">
        <v>131</v>
      </c>
      <c r="E235" t="s">
        <v>132</v>
      </c>
      <c r="F235" t="s">
        <v>133</v>
      </c>
      <c r="G235" t="s">
        <v>134</v>
      </c>
      <c r="H235" s="139">
        <v>46155</v>
      </c>
      <c r="I235" t="s">
        <v>136</v>
      </c>
      <c r="J235" t="s">
        <v>161</v>
      </c>
      <c r="M235" t="s">
        <v>690</v>
      </c>
      <c r="N235" t="s">
        <v>686</v>
      </c>
      <c r="O235" t="s">
        <v>195</v>
      </c>
      <c r="P235" t="s">
        <v>221</v>
      </c>
      <c r="Q235" t="s">
        <v>109</v>
      </c>
      <c r="R235" t="s">
        <v>22</v>
      </c>
      <c r="S235" t="s">
        <v>546</v>
      </c>
      <c r="T235" t="s">
        <v>150</v>
      </c>
      <c r="U235" t="s">
        <v>692</v>
      </c>
      <c r="V235" t="s">
        <v>129</v>
      </c>
      <c r="W235" t="s">
        <v>169</v>
      </c>
      <c r="X235" t="s">
        <v>124</v>
      </c>
      <c r="Y235" t="s">
        <v>1044</v>
      </c>
      <c r="Z235">
        <v>1</v>
      </c>
      <c r="AA235" t="s">
        <v>1147</v>
      </c>
    </row>
    <row r="236" spans="1:27" ht="15" customHeight="1">
      <c r="A236">
        <v>117</v>
      </c>
      <c r="B236" s="139">
        <v>46178.828252314823</v>
      </c>
      <c r="C236" s="139">
        <v>46178.829965277779</v>
      </c>
      <c r="D236" t="s">
        <v>270</v>
      </c>
      <c r="E236" t="s">
        <v>271</v>
      </c>
      <c r="F236" t="s">
        <v>271</v>
      </c>
      <c r="G236" t="s">
        <v>273</v>
      </c>
      <c r="H236" s="139">
        <v>46155</v>
      </c>
      <c r="I236" t="s">
        <v>136</v>
      </c>
      <c r="J236" t="s">
        <v>161</v>
      </c>
      <c r="M236" t="s">
        <v>724</v>
      </c>
      <c r="N236" t="s">
        <v>725</v>
      </c>
      <c r="O236" t="s">
        <v>195</v>
      </c>
      <c r="P236" t="s">
        <v>305</v>
      </c>
      <c r="Q236" t="s">
        <v>109</v>
      </c>
      <c r="R236" t="s">
        <v>22</v>
      </c>
      <c r="S236" t="s">
        <v>149</v>
      </c>
      <c r="T236" t="s">
        <v>181</v>
      </c>
      <c r="U236" t="s">
        <v>728</v>
      </c>
      <c r="V236" t="s">
        <v>129</v>
      </c>
      <c r="W236" t="s">
        <v>130</v>
      </c>
      <c r="X236" t="s">
        <v>124</v>
      </c>
      <c r="Y236" t="s">
        <v>1040</v>
      </c>
      <c r="Z236">
        <v>1</v>
      </c>
      <c r="AA236" t="s">
        <v>1058</v>
      </c>
    </row>
    <row r="237" spans="1:27" ht="15" customHeight="1">
      <c r="A237">
        <v>117</v>
      </c>
      <c r="B237" s="139">
        <v>46178.828252314823</v>
      </c>
      <c r="C237" s="139">
        <v>46178.829965277779</v>
      </c>
      <c r="D237" t="s">
        <v>270</v>
      </c>
      <c r="E237" t="s">
        <v>271</v>
      </c>
      <c r="F237" t="s">
        <v>271</v>
      </c>
      <c r="G237" t="s">
        <v>273</v>
      </c>
      <c r="H237" s="139">
        <v>46155</v>
      </c>
      <c r="I237" t="s">
        <v>136</v>
      </c>
      <c r="J237" t="s">
        <v>161</v>
      </c>
      <c r="M237" t="s">
        <v>724</v>
      </c>
      <c r="N237" t="s">
        <v>725</v>
      </c>
      <c r="O237" t="s">
        <v>195</v>
      </c>
      <c r="P237" t="s">
        <v>305</v>
      </c>
      <c r="Q237" t="s">
        <v>109</v>
      </c>
      <c r="R237" t="s">
        <v>22</v>
      </c>
      <c r="S237" t="s">
        <v>149</v>
      </c>
      <c r="T237" t="s">
        <v>181</v>
      </c>
      <c r="U237" t="s">
        <v>728</v>
      </c>
      <c r="V237" t="s">
        <v>129</v>
      </c>
      <c r="W237" t="s">
        <v>130</v>
      </c>
      <c r="X237" t="s">
        <v>124</v>
      </c>
      <c r="Y237" t="s">
        <v>1042</v>
      </c>
      <c r="Z237">
        <v>1</v>
      </c>
      <c r="AA237" t="s">
        <v>1188</v>
      </c>
    </row>
    <row r="238" spans="1:27" ht="15" customHeight="1">
      <c r="A238">
        <v>117</v>
      </c>
      <c r="B238" s="139">
        <v>46178.828252314823</v>
      </c>
      <c r="C238" s="139">
        <v>46178.829965277779</v>
      </c>
      <c r="D238" t="s">
        <v>270</v>
      </c>
      <c r="E238" t="s">
        <v>271</v>
      </c>
      <c r="F238" t="s">
        <v>271</v>
      </c>
      <c r="G238" t="s">
        <v>273</v>
      </c>
      <c r="H238" s="139">
        <v>46155</v>
      </c>
      <c r="I238" t="s">
        <v>136</v>
      </c>
      <c r="J238" t="s">
        <v>161</v>
      </c>
      <c r="M238" t="s">
        <v>724</v>
      </c>
      <c r="N238" t="s">
        <v>725</v>
      </c>
      <c r="O238" t="s">
        <v>195</v>
      </c>
      <c r="P238" t="s">
        <v>305</v>
      </c>
      <c r="Q238" t="s">
        <v>109</v>
      </c>
      <c r="R238" t="s">
        <v>22</v>
      </c>
      <c r="S238" t="s">
        <v>149</v>
      </c>
      <c r="T238" t="s">
        <v>181</v>
      </c>
      <c r="U238" t="s">
        <v>728</v>
      </c>
      <c r="V238" t="s">
        <v>129</v>
      </c>
      <c r="W238" t="s">
        <v>130</v>
      </c>
      <c r="X238" t="s">
        <v>124</v>
      </c>
      <c r="Y238" t="s">
        <v>1044</v>
      </c>
      <c r="Z238">
        <v>1</v>
      </c>
      <c r="AA238" t="s">
        <v>1189</v>
      </c>
    </row>
    <row r="239" spans="1:27" ht="15" customHeight="1">
      <c r="A239">
        <v>12</v>
      </c>
      <c r="B239" s="139">
        <v>46167.620208333326</v>
      </c>
      <c r="C239" s="139">
        <v>46167.623090277782</v>
      </c>
      <c r="D239" t="s">
        <v>170</v>
      </c>
      <c r="E239" t="s">
        <v>171</v>
      </c>
      <c r="F239" t="s">
        <v>171</v>
      </c>
      <c r="G239" t="s">
        <v>172</v>
      </c>
      <c r="H239" s="139">
        <v>46156</v>
      </c>
      <c r="I239" t="s">
        <v>136</v>
      </c>
      <c r="J239" t="s">
        <v>174</v>
      </c>
      <c r="L239" t="s">
        <v>175</v>
      </c>
      <c r="N239" t="s">
        <v>211</v>
      </c>
      <c r="O239" t="s">
        <v>135</v>
      </c>
      <c r="P239" t="s">
        <v>108</v>
      </c>
      <c r="Q239" t="s">
        <v>109</v>
      </c>
      <c r="R239" t="s">
        <v>22</v>
      </c>
      <c r="S239" t="s">
        <v>149</v>
      </c>
      <c r="T239" t="s">
        <v>181</v>
      </c>
      <c r="U239" t="s">
        <v>215</v>
      </c>
      <c r="V239" t="s">
        <v>129</v>
      </c>
      <c r="W239" t="s">
        <v>130</v>
      </c>
      <c r="X239" t="s">
        <v>139</v>
      </c>
      <c r="Y239" t="s">
        <v>1040</v>
      </c>
      <c r="Z239">
        <v>1</v>
      </c>
      <c r="AA239" t="s">
        <v>1190</v>
      </c>
    </row>
    <row r="240" spans="1:27" ht="15" customHeight="1">
      <c r="A240">
        <v>12</v>
      </c>
      <c r="B240" s="139">
        <v>46167.620208333326</v>
      </c>
      <c r="C240" s="139">
        <v>46167.623090277782</v>
      </c>
      <c r="D240" t="s">
        <v>170</v>
      </c>
      <c r="E240" t="s">
        <v>171</v>
      </c>
      <c r="F240" t="s">
        <v>171</v>
      </c>
      <c r="G240" t="s">
        <v>172</v>
      </c>
      <c r="H240" s="139">
        <v>46156</v>
      </c>
      <c r="I240" t="s">
        <v>136</v>
      </c>
      <c r="J240" t="s">
        <v>174</v>
      </c>
      <c r="L240" t="s">
        <v>175</v>
      </c>
      <c r="N240" t="s">
        <v>211</v>
      </c>
      <c r="O240" t="s">
        <v>135</v>
      </c>
      <c r="P240" t="s">
        <v>108</v>
      </c>
      <c r="Q240" t="s">
        <v>109</v>
      </c>
      <c r="R240" t="s">
        <v>22</v>
      </c>
      <c r="S240" t="s">
        <v>149</v>
      </c>
      <c r="T240" t="s">
        <v>181</v>
      </c>
      <c r="U240" t="s">
        <v>215</v>
      </c>
      <c r="V240" t="s">
        <v>129</v>
      </c>
      <c r="W240" t="s">
        <v>130</v>
      </c>
      <c r="X240" t="s">
        <v>139</v>
      </c>
      <c r="Y240" t="s">
        <v>1042</v>
      </c>
      <c r="Z240">
        <v>1</v>
      </c>
      <c r="AA240" t="s">
        <v>1043</v>
      </c>
    </row>
    <row r="241" spans="1:27" ht="15" customHeight="1">
      <c r="A241">
        <v>12</v>
      </c>
      <c r="B241" s="139">
        <v>46167.620208333326</v>
      </c>
      <c r="C241" s="139">
        <v>46167.623090277782</v>
      </c>
      <c r="D241" t="s">
        <v>170</v>
      </c>
      <c r="E241" t="s">
        <v>171</v>
      </c>
      <c r="F241" t="s">
        <v>171</v>
      </c>
      <c r="G241" t="s">
        <v>172</v>
      </c>
      <c r="H241" s="139">
        <v>46156</v>
      </c>
      <c r="I241" t="s">
        <v>136</v>
      </c>
      <c r="J241" t="s">
        <v>174</v>
      </c>
      <c r="L241" t="s">
        <v>175</v>
      </c>
      <c r="N241" t="s">
        <v>211</v>
      </c>
      <c r="O241" t="s">
        <v>135</v>
      </c>
      <c r="P241" t="s">
        <v>108</v>
      </c>
      <c r="Q241" t="s">
        <v>109</v>
      </c>
      <c r="R241" t="s">
        <v>22</v>
      </c>
      <c r="S241" t="s">
        <v>149</v>
      </c>
      <c r="T241" t="s">
        <v>181</v>
      </c>
      <c r="U241" t="s">
        <v>215</v>
      </c>
      <c r="V241" t="s">
        <v>129</v>
      </c>
      <c r="W241" t="s">
        <v>130</v>
      </c>
      <c r="X241" t="s">
        <v>139</v>
      </c>
      <c r="Y241" t="s">
        <v>1042</v>
      </c>
      <c r="Z241">
        <v>2</v>
      </c>
      <c r="AA241" t="s">
        <v>1096</v>
      </c>
    </row>
    <row r="242" spans="1:27" ht="15" customHeight="1">
      <c r="A242">
        <v>12</v>
      </c>
      <c r="B242" s="139">
        <v>46167.620208333326</v>
      </c>
      <c r="C242" s="139">
        <v>46167.623090277782</v>
      </c>
      <c r="D242" t="s">
        <v>170</v>
      </c>
      <c r="E242" t="s">
        <v>171</v>
      </c>
      <c r="F242" t="s">
        <v>171</v>
      </c>
      <c r="G242" t="s">
        <v>172</v>
      </c>
      <c r="H242" s="139">
        <v>46156</v>
      </c>
      <c r="I242" t="s">
        <v>136</v>
      </c>
      <c r="J242" t="s">
        <v>174</v>
      </c>
      <c r="L242" t="s">
        <v>175</v>
      </c>
      <c r="N242" t="s">
        <v>211</v>
      </c>
      <c r="O242" t="s">
        <v>135</v>
      </c>
      <c r="P242" t="s">
        <v>108</v>
      </c>
      <c r="Q242" t="s">
        <v>109</v>
      </c>
      <c r="R242" t="s">
        <v>22</v>
      </c>
      <c r="S242" t="s">
        <v>149</v>
      </c>
      <c r="T242" t="s">
        <v>181</v>
      </c>
      <c r="U242" t="s">
        <v>215</v>
      </c>
      <c r="V242" t="s">
        <v>129</v>
      </c>
      <c r="W242" t="s">
        <v>130</v>
      </c>
      <c r="X242" t="s">
        <v>139</v>
      </c>
      <c r="Y242" t="s">
        <v>1042</v>
      </c>
      <c r="Z242">
        <v>3</v>
      </c>
      <c r="AA242" t="s">
        <v>1097</v>
      </c>
    </row>
    <row r="243" spans="1:27" ht="15" customHeight="1">
      <c r="A243">
        <v>12</v>
      </c>
      <c r="B243" s="139">
        <v>46167.620208333326</v>
      </c>
      <c r="C243" s="139">
        <v>46167.623090277782</v>
      </c>
      <c r="D243" t="s">
        <v>170</v>
      </c>
      <c r="E243" t="s">
        <v>171</v>
      </c>
      <c r="F243" t="s">
        <v>171</v>
      </c>
      <c r="G243" t="s">
        <v>172</v>
      </c>
      <c r="H243" s="139">
        <v>46156</v>
      </c>
      <c r="I243" t="s">
        <v>136</v>
      </c>
      <c r="J243" t="s">
        <v>174</v>
      </c>
      <c r="L243" t="s">
        <v>175</v>
      </c>
      <c r="N243" t="s">
        <v>211</v>
      </c>
      <c r="O243" t="s">
        <v>135</v>
      </c>
      <c r="P243" t="s">
        <v>108</v>
      </c>
      <c r="Q243" t="s">
        <v>109</v>
      </c>
      <c r="R243" t="s">
        <v>22</v>
      </c>
      <c r="S243" t="s">
        <v>149</v>
      </c>
      <c r="T243" t="s">
        <v>181</v>
      </c>
      <c r="U243" t="s">
        <v>215</v>
      </c>
      <c r="V243" t="s">
        <v>129</v>
      </c>
      <c r="W243" t="s">
        <v>130</v>
      </c>
      <c r="X243" t="s">
        <v>139</v>
      </c>
      <c r="Y243" t="s">
        <v>1042</v>
      </c>
      <c r="Z243">
        <v>4</v>
      </c>
      <c r="AA243" t="s">
        <v>1070</v>
      </c>
    </row>
    <row r="244" spans="1:27" ht="15" customHeight="1">
      <c r="A244">
        <v>12</v>
      </c>
      <c r="B244" s="139">
        <v>46167.620208333326</v>
      </c>
      <c r="C244" s="139">
        <v>46167.623090277782</v>
      </c>
      <c r="D244" t="s">
        <v>170</v>
      </c>
      <c r="E244" t="s">
        <v>171</v>
      </c>
      <c r="F244" t="s">
        <v>171</v>
      </c>
      <c r="G244" t="s">
        <v>172</v>
      </c>
      <c r="H244" s="139">
        <v>46156</v>
      </c>
      <c r="I244" t="s">
        <v>136</v>
      </c>
      <c r="J244" t="s">
        <v>174</v>
      </c>
      <c r="L244" t="s">
        <v>175</v>
      </c>
      <c r="N244" t="s">
        <v>211</v>
      </c>
      <c r="O244" t="s">
        <v>135</v>
      </c>
      <c r="P244" t="s">
        <v>108</v>
      </c>
      <c r="Q244" t="s">
        <v>109</v>
      </c>
      <c r="R244" t="s">
        <v>22</v>
      </c>
      <c r="S244" t="s">
        <v>149</v>
      </c>
      <c r="T244" t="s">
        <v>181</v>
      </c>
      <c r="U244" t="s">
        <v>215</v>
      </c>
      <c r="V244" t="s">
        <v>129</v>
      </c>
      <c r="W244" t="s">
        <v>130</v>
      </c>
      <c r="X244" t="s">
        <v>139</v>
      </c>
      <c r="Y244" t="s">
        <v>1042</v>
      </c>
      <c r="Z244">
        <v>5</v>
      </c>
      <c r="AA244" t="s">
        <v>1071</v>
      </c>
    </row>
    <row r="245" spans="1:27" ht="15" customHeight="1">
      <c r="A245">
        <v>12</v>
      </c>
      <c r="B245" s="139">
        <v>46167.620208333326</v>
      </c>
      <c r="C245" s="139">
        <v>46167.623090277782</v>
      </c>
      <c r="D245" t="s">
        <v>170</v>
      </c>
      <c r="E245" t="s">
        <v>171</v>
      </c>
      <c r="F245" t="s">
        <v>171</v>
      </c>
      <c r="G245" t="s">
        <v>172</v>
      </c>
      <c r="H245" s="139">
        <v>46156</v>
      </c>
      <c r="I245" t="s">
        <v>136</v>
      </c>
      <c r="J245" t="s">
        <v>174</v>
      </c>
      <c r="L245" t="s">
        <v>175</v>
      </c>
      <c r="N245" t="s">
        <v>211</v>
      </c>
      <c r="O245" t="s">
        <v>135</v>
      </c>
      <c r="P245" t="s">
        <v>108</v>
      </c>
      <c r="Q245" t="s">
        <v>109</v>
      </c>
      <c r="R245" t="s">
        <v>22</v>
      </c>
      <c r="S245" t="s">
        <v>149</v>
      </c>
      <c r="T245" t="s">
        <v>181</v>
      </c>
      <c r="U245" t="s">
        <v>215</v>
      </c>
      <c r="V245" t="s">
        <v>129</v>
      </c>
      <c r="W245" t="s">
        <v>130</v>
      </c>
      <c r="X245" t="s">
        <v>139</v>
      </c>
      <c r="Y245" t="s">
        <v>1044</v>
      </c>
      <c r="Z245">
        <v>1</v>
      </c>
      <c r="AA245" t="s">
        <v>1099</v>
      </c>
    </row>
    <row r="246" spans="1:27" ht="15" customHeight="1">
      <c r="A246">
        <v>21</v>
      </c>
      <c r="B246" s="139">
        <v>46168.357824074083</v>
      </c>
      <c r="C246" s="139">
        <v>46168.362245370372</v>
      </c>
      <c r="D246" t="s">
        <v>118</v>
      </c>
      <c r="E246" t="s">
        <v>119</v>
      </c>
      <c r="F246" t="s">
        <v>247</v>
      </c>
      <c r="G246" t="s">
        <v>121</v>
      </c>
      <c r="H246" s="139">
        <v>46156</v>
      </c>
      <c r="I246" t="s">
        <v>136</v>
      </c>
      <c r="J246" t="s">
        <v>161</v>
      </c>
      <c r="M246" t="s">
        <v>260</v>
      </c>
      <c r="N246" t="s">
        <v>261</v>
      </c>
      <c r="O246" t="s">
        <v>135</v>
      </c>
      <c r="P246" t="s">
        <v>108</v>
      </c>
      <c r="Q246" t="s">
        <v>109</v>
      </c>
      <c r="R246" t="s">
        <v>24</v>
      </c>
      <c r="S246" t="s">
        <v>149</v>
      </c>
      <c r="T246" t="s">
        <v>181</v>
      </c>
      <c r="U246" t="s">
        <v>265</v>
      </c>
      <c r="V246" t="s">
        <v>151</v>
      </c>
      <c r="W246" t="s">
        <v>130</v>
      </c>
      <c r="X246" t="s">
        <v>190</v>
      </c>
      <c r="Y246" t="s">
        <v>1040</v>
      </c>
      <c r="Z246">
        <v>1</v>
      </c>
      <c r="AA246" t="s">
        <v>1191</v>
      </c>
    </row>
    <row r="247" spans="1:27" ht="15" customHeight="1">
      <c r="A247">
        <v>21</v>
      </c>
      <c r="B247" s="139">
        <v>46168.357824074083</v>
      </c>
      <c r="C247" s="139">
        <v>46168.362245370372</v>
      </c>
      <c r="D247" t="s">
        <v>118</v>
      </c>
      <c r="E247" t="s">
        <v>119</v>
      </c>
      <c r="F247" t="s">
        <v>247</v>
      </c>
      <c r="G247" t="s">
        <v>121</v>
      </c>
      <c r="H247" s="139">
        <v>46156</v>
      </c>
      <c r="I247" t="s">
        <v>136</v>
      </c>
      <c r="J247" t="s">
        <v>161</v>
      </c>
      <c r="M247" t="s">
        <v>260</v>
      </c>
      <c r="N247" t="s">
        <v>261</v>
      </c>
      <c r="O247" t="s">
        <v>135</v>
      </c>
      <c r="P247" t="s">
        <v>108</v>
      </c>
      <c r="Q247" t="s">
        <v>109</v>
      </c>
      <c r="R247" t="s">
        <v>24</v>
      </c>
      <c r="S247" t="s">
        <v>149</v>
      </c>
      <c r="T247" t="s">
        <v>181</v>
      </c>
      <c r="U247" t="s">
        <v>265</v>
      </c>
      <c r="V247" t="s">
        <v>151</v>
      </c>
      <c r="W247" t="s">
        <v>130</v>
      </c>
      <c r="X247" t="s">
        <v>190</v>
      </c>
      <c r="Y247" t="s">
        <v>1040</v>
      </c>
      <c r="Z247">
        <v>2</v>
      </c>
      <c r="AA247" t="s">
        <v>1192</v>
      </c>
    </row>
    <row r="248" spans="1:27" ht="15" customHeight="1">
      <c r="A248">
        <v>21</v>
      </c>
      <c r="B248" s="139">
        <v>46168.357824074083</v>
      </c>
      <c r="C248" s="139">
        <v>46168.362245370372</v>
      </c>
      <c r="D248" t="s">
        <v>118</v>
      </c>
      <c r="E248" t="s">
        <v>119</v>
      </c>
      <c r="F248" t="s">
        <v>247</v>
      </c>
      <c r="G248" t="s">
        <v>121</v>
      </c>
      <c r="H248" s="139">
        <v>46156</v>
      </c>
      <c r="I248" t="s">
        <v>136</v>
      </c>
      <c r="J248" t="s">
        <v>161</v>
      </c>
      <c r="M248" t="s">
        <v>260</v>
      </c>
      <c r="N248" t="s">
        <v>261</v>
      </c>
      <c r="O248" t="s">
        <v>135</v>
      </c>
      <c r="P248" t="s">
        <v>108</v>
      </c>
      <c r="Q248" t="s">
        <v>109</v>
      </c>
      <c r="R248" t="s">
        <v>24</v>
      </c>
      <c r="S248" t="s">
        <v>149</v>
      </c>
      <c r="T248" t="s">
        <v>181</v>
      </c>
      <c r="U248" t="s">
        <v>265</v>
      </c>
      <c r="V248" t="s">
        <v>151</v>
      </c>
      <c r="W248" t="s">
        <v>130</v>
      </c>
      <c r="X248" t="s">
        <v>190</v>
      </c>
      <c r="Y248" t="s">
        <v>1042</v>
      </c>
      <c r="Z248">
        <v>1</v>
      </c>
      <c r="AA248" t="s">
        <v>1063</v>
      </c>
    </row>
    <row r="249" spans="1:27" ht="15" customHeight="1">
      <c r="A249">
        <v>21</v>
      </c>
      <c r="B249" s="139">
        <v>46168.357824074083</v>
      </c>
      <c r="C249" s="139">
        <v>46168.362245370372</v>
      </c>
      <c r="D249" t="s">
        <v>118</v>
      </c>
      <c r="E249" t="s">
        <v>119</v>
      </c>
      <c r="F249" t="s">
        <v>247</v>
      </c>
      <c r="G249" t="s">
        <v>121</v>
      </c>
      <c r="H249" s="139">
        <v>46156</v>
      </c>
      <c r="I249" t="s">
        <v>136</v>
      </c>
      <c r="J249" t="s">
        <v>161</v>
      </c>
      <c r="M249" t="s">
        <v>260</v>
      </c>
      <c r="N249" t="s">
        <v>261</v>
      </c>
      <c r="O249" t="s">
        <v>135</v>
      </c>
      <c r="P249" t="s">
        <v>108</v>
      </c>
      <c r="Q249" t="s">
        <v>109</v>
      </c>
      <c r="R249" t="s">
        <v>24</v>
      </c>
      <c r="S249" t="s">
        <v>149</v>
      </c>
      <c r="T249" t="s">
        <v>181</v>
      </c>
      <c r="U249" t="s">
        <v>265</v>
      </c>
      <c r="V249" t="s">
        <v>151</v>
      </c>
      <c r="W249" t="s">
        <v>130</v>
      </c>
      <c r="X249" t="s">
        <v>190</v>
      </c>
      <c r="Y249" t="s">
        <v>1044</v>
      </c>
      <c r="Z249">
        <v>1</v>
      </c>
      <c r="AA249" t="s">
        <v>1193</v>
      </c>
    </row>
    <row r="250" spans="1:27" ht="15" customHeight="1">
      <c r="A250">
        <v>122</v>
      </c>
      <c r="B250" s="139">
        <v>46178.841435185182</v>
      </c>
      <c r="C250" s="139">
        <v>46178.842511574083</v>
      </c>
      <c r="D250" t="s">
        <v>270</v>
      </c>
      <c r="E250" t="s">
        <v>271</v>
      </c>
      <c r="F250" t="s">
        <v>271</v>
      </c>
      <c r="G250" t="s">
        <v>273</v>
      </c>
      <c r="H250" s="139">
        <v>46156</v>
      </c>
      <c r="I250" t="s">
        <v>136</v>
      </c>
      <c r="J250" t="s">
        <v>187</v>
      </c>
      <c r="K250" t="s">
        <v>744</v>
      </c>
      <c r="N250" t="s">
        <v>745</v>
      </c>
      <c r="O250" t="s">
        <v>122</v>
      </c>
      <c r="P250" t="s">
        <v>108</v>
      </c>
      <c r="Q250" t="s">
        <v>123</v>
      </c>
      <c r="R250" t="s">
        <v>22</v>
      </c>
      <c r="S250" t="s">
        <v>149</v>
      </c>
      <c r="T250" t="s">
        <v>181</v>
      </c>
      <c r="V250" t="s">
        <v>129</v>
      </c>
      <c r="W250" t="s">
        <v>130</v>
      </c>
      <c r="X250" t="s">
        <v>329</v>
      </c>
      <c r="Y250" t="s">
        <v>1040</v>
      </c>
      <c r="Z250">
        <v>1</v>
      </c>
      <c r="AA250" t="s">
        <v>1194</v>
      </c>
    </row>
    <row r="251" spans="1:27" ht="15" customHeight="1">
      <c r="A251">
        <v>122</v>
      </c>
      <c r="B251" s="139">
        <v>46178.841435185182</v>
      </c>
      <c r="C251" s="139">
        <v>46178.842511574083</v>
      </c>
      <c r="D251" t="s">
        <v>270</v>
      </c>
      <c r="E251" t="s">
        <v>271</v>
      </c>
      <c r="F251" t="s">
        <v>271</v>
      </c>
      <c r="G251" t="s">
        <v>273</v>
      </c>
      <c r="H251" s="139">
        <v>46156</v>
      </c>
      <c r="I251" t="s">
        <v>136</v>
      </c>
      <c r="J251" t="s">
        <v>187</v>
      </c>
      <c r="K251" t="s">
        <v>744</v>
      </c>
      <c r="N251" t="s">
        <v>745</v>
      </c>
      <c r="O251" t="s">
        <v>122</v>
      </c>
      <c r="P251" t="s">
        <v>108</v>
      </c>
      <c r="Q251" t="s">
        <v>123</v>
      </c>
      <c r="R251" t="s">
        <v>22</v>
      </c>
      <c r="S251" t="s">
        <v>149</v>
      </c>
      <c r="T251" t="s">
        <v>181</v>
      </c>
      <c r="V251" t="s">
        <v>129</v>
      </c>
      <c r="W251" t="s">
        <v>130</v>
      </c>
      <c r="X251" t="s">
        <v>329</v>
      </c>
      <c r="Y251" t="s">
        <v>1042</v>
      </c>
      <c r="Z251">
        <v>1</v>
      </c>
      <c r="AA251" t="s">
        <v>1047</v>
      </c>
    </row>
    <row r="252" spans="1:27" ht="15" customHeight="1">
      <c r="A252">
        <v>122</v>
      </c>
      <c r="B252" s="139">
        <v>46178.841435185182</v>
      </c>
      <c r="C252" s="139">
        <v>46178.842511574083</v>
      </c>
      <c r="D252" t="s">
        <v>270</v>
      </c>
      <c r="E252" t="s">
        <v>271</v>
      </c>
      <c r="F252" t="s">
        <v>271</v>
      </c>
      <c r="G252" t="s">
        <v>273</v>
      </c>
      <c r="H252" s="139">
        <v>46156</v>
      </c>
      <c r="I252" t="s">
        <v>136</v>
      </c>
      <c r="J252" t="s">
        <v>187</v>
      </c>
      <c r="K252" t="s">
        <v>744</v>
      </c>
      <c r="N252" t="s">
        <v>745</v>
      </c>
      <c r="O252" t="s">
        <v>122</v>
      </c>
      <c r="P252" t="s">
        <v>108</v>
      </c>
      <c r="Q252" t="s">
        <v>123</v>
      </c>
      <c r="R252" t="s">
        <v>22</v>
      </c>
      <c r="S252" t="s">
        <v>149</v>
      </c>
      <c r="T252" t="s">
        <v>181</v>
      </c>
      <c r="V252" t="s">
        <v>129</v>
      </c>
      <c r="W252" t="s">
        <v>130</v>
      </c>
      <c r="X252" t="s">
        <v>329</v>
      </c>
      <c r="Y252" t="s">
        <v>1044</v>
      </c>
      <c r="Z252">
        <v>1</v>
      </c>
      <c r="AA252" t="s">
        <v>1195</v>
      </c>
    </row>
    <row r="253" spans="1:27" ht="15" customHeight="1">
      <c r="A253">
        <v>138</v>
      </c>
      <c r="B253" s="139">
        <v>46181.409050925933</v>
      </c>
      <c r="C253" s="139">
        <v>46181.533449074072</v>
      </c>
      <c r="D253" t="s">
        <v>825</v>
      </c>
      <c r="E253" t="s">
        <v>826</v>
      </c>
      <c r="F253" t="s">
        <v>827</v>
      </c>
      <c r="G253" t="s">
        <v>828</v>
      </c>
      <c r="H253" s="139">
        <v>46156</v>
      </c>
      <c r="I253" t="s">
        <v>772</v>
      </c>
      <c r="J253" t="s">
        <v>161</v>
      </c>
      <c r="M253" t="s">
        <v>829</v>
      </c>
      <c r="N253" t="s">
        <v>830</v>
      </c>
      <c r="O253" t="s">
        <v>122</v>
      </c>
      <c r="P253" t="s">
        <v>108</v>
      </c>
      <c r="Q253" t="s">
        <v>123</v>
      </c>
      <c r="R253" t="s">
        <v>22</v>
      </c>
      <c r="S253" t="s">
        <v>149</v>
      </c>
      <c r="T253" t="s">
        <v>144</v>
      </c>
      <c r="U253" t="s">
        <v>834</v>
      </c>
      <c r="V253" t="s">
        <v>151</v>
      </c>
      <c r="W253" t="s">
        <v>117</v>
      </c>
      <c r="X253" t="s">
        <v>329</v>
      </c>
      <c r="Y253" t="s">
        <v>1040</v>
      </c>
      <c r="Z253">
        <v>1</v>
      </c>
      <c r="AA253" t="s">
        <v>1046</v>
      </c>
    </row>
    <row r="254" spans="1:27" ht="15" customHeight="1">
      <c r="A254">
        <v>138</v>
      </c>
      <c r="B254" s="139">
        <v>46181.409050925933</v>
      </c>
      <c r="C254" s="139">
        <v>46181.533449074072</v>
      </c>
      <c r="D254" t="s">
        <v>825</v>
      </c>
      <c r="E254" t="s">
        <v>826</v>
      </c>
      <c r="F254" t="s">
        <v>827</v>
      </c>
      <c r="G254" t="s">
        <v>828</v>
      </c>
      <c r="H254" s="139">
        <v>46156</v>
      </c>
      <c r="I254" t="s">
        <v>772</v>
      </c>
      <c r="J254" t="s">
        <v>161</v>
      </c>
      <c r="M254" t="s">
        <v>829</v>
      </c>
      <c r="N254" t="s">
        <v>830</v>
      </c>
      <c r="O254" t="s">
        <v>122</v>
      </c>
      <c r="P254" t="s">
        <v>108</v>
      </c>
      <c r="Q254" t="s">
        <v>123</v>
      </c>
      <c r="R254" t="s">
        <v>22</v>
      </c>
      <c r="S254" t="s">
        <v>149</v>
      </c>
      <c r="T254" t="s">
        <v>144</v>
      </c>
      <c r="U254" t="s">
        <v>834</v>
      </c>
      <c r="V254" t="s">
        <v>151</v>
      </c>
      <c r="W254" t="s">
        <v>117</v>
      </c>
      <c r="X254" t="s">
        <v>329</v>
      </c>
      <c r="Y254" t="s">
        <v>1040</v>
      </c>
      <c r="Z254">
        <v>2</v>
      </c>
      <c r="AA254" t="s">
        <v>1196</v>
      </c>
    </row>
    <row r="255" spans="1:27" ht="15" customHeight="1">
      <c r="A255">
        <v>138</v>
      </c>
      <c r="B255" s="139">
        <v>46181.409050925933</v>
      </c>
      <c r="C255" s="139">
        <v>46181.533449074072</v>
      </c>
      <c r="D255" t="s">
        <v>825</v>
      </c>
      <c r="E255" t="s">
        <v>826</v>
      </c>
      <c r="F255" t="s">
        <v>827</v>
      </c>
      <c r="G255" t="s">
        <v>828</v>
      </c>
      <c r="H255" s="139">
        <v>46156</v>
      </c>
      <c r="I255" t="s">
        <v>772</v>
      </c>
      <c r="J255" t="s">
        <v>161</v>
      </c>
      <c r="M255" t="s">
        <v>829</v>
      </c>
      <c r="N255" t="s">
        <v>830</v>
      </c>
      <c r="O255" t="s">
        <v>122</v>
      </c>
      <c r="P255" t="s">
        <v>108</v>
      </c>
      <c r="Q255" t="s">
        <v>123</v>
      </c>
      <c r="R255" t="s">
        <v>22</v>
      </c>
      <c r="S255" t="s">
        <v>149</v>
      </c>
      <c r="T255" t="s">
        <v>144</v>
      </c>
      <c r="U255" t="s">
        <v>834</v>
      </c>
      <c r="V255" t="s">
        <v>151</v>
      </c>
      <c r="W255" t="s">
        <v>117</v>
      </c>
      <c r="X255" t="s">
        <v>329</v>
      </c>
      <c r="Y255" t="s">
        <v>1040</v>
      </c>
      <c r="Z255">
        <v>3</v>
      </c>
      <c r="AA255" t="s">
        <v>1066</v>
      </c>
    </row>
    <row r="256" spans="1:27" ht="15" customHeight="1">
      <c r="A256">
        <v>138</v>
      </c>
      <c r="B256" s="139">
        <v>46181.409050925933</v>
      </c>
      <c r="C256" s="139">
        <v>46181.533449074072</v>
      </c>
      <c r="D256" t="s">
        <v>825</v>
      </c>
      <c r="E256" t="s">
        <v>826</v>
      </c>
      <c r="F256" t="s">
        <v>827</v>
      </c>
      <c r="G256" t="s">
        <v>828</v>
      </c>
      <c r="H256" s="139">
        <v>46156</v>
      </c>
      <c r="I256" t="s">
        <v>772</v>
      </c>
      <c r="J256" t="s">
        <v>161</v>
      </c>
      <c r="M256" t="s">
        <v>829</v>
      </c>
      <c r="N256" t="s">
        <v>830</v>
      </c>
      <c r="O256" t="s">
        <v>122</v>
      </c>
      <c r="P256" t="s">
        <v>108</v>
      </c>
      <c r="Q256" t="s">
        <v>123</v>
      </c>
      <c r="R256" t="s">
        <v>22</v>
      </c>
      <c r="S256" t="s">
        <v>149</v>
      </c>
      <c r="T256" t="s">
        <v>144</v>
      </c>
      <c r="U256" t="s">
        <v>834</v>
      </c>
      <c r="V256" t="s">
        <v>151</v>
      </c>
      <c r="W256" t="s">
        <v>117</v>
      </c>
      <c r="X256" t="s">
        <v>329</v>
      </c>
      <c r="Y256" t="s">
        <v>1042</v>
      </c>
      <c r="Z256">
        <v>1</v>
      </c>
      <c r="AA256" t="s">
        <v>1047</v>
      </c>
    </row>
    <row r="257" spans="1:27" ht="15" customHeight="1">
      <c r="A257">
        <v>138</v>
      </c>
      <c r="B257" s="139">
        <v>46181.409050925933</v>
      </c>
      <c r="C257" s="139">
        <v>46181.533449074072</v>
      </c>
      <c r="D257" t="s">
        <v>825</v>
      </c>
      <c r="E257" t="s">
        <v>826</v>
      </c>
      <c r="F257" t="s">
        <v>827</v>
      </c>
      <c r="G257" t="s">
        <v>828</v>
      </c>
      <c r="H257" s="139">
        <v>46156</v>
      </c>
      <c r="I257" t="s">
        <v>772</v>
      </c>
      <c r="J257" t="s">
        <v>161</v>
      </c>
      <c r="M257" t="s">
        <v>829</v>
      </c>
      <c r="N257" t="s">
        <v>830</v>
      </c>
      <c r="O257" t="s">
        <v>122</v>
      </c>
      <c r="P257" t="s">
        <v>108</v>
      </c>
      <c r="Q257" t="s">
        <v>123</v>
      </c>
      <c r="R257" t="s">
        <v>22</v>
      </c>
      <c r="S257" t="s">
        <v>149</v>
      </c>
      <c r="T257" t="s">
        <v>144</v>
      </c>
      <c r="U257" t="s">
        <v>834</v>
      </c>
      <c r="V257" t="s">
        <v>151</v>
      </c>
      <c r="W257" t="s">
        <v>117</v>
      </c>
      <c r="X257" t="s">
        <v>329</v>
      </c>
      <c r="Y257" t="s">
        <v>1042</v>
      </c>
      <c r="Z257">
        <v>2</v>
      </c>
      <c r="AA257" t="s">
        <v>1197</v>
      </c>
    </row>
    <row r="258" spans="1:27" ht="15" customHeight="1">
      <c r="A258">
        <v>138</v>
      </c>
      <c r="B258" s="139">
        <v>46181.409050925933</v>
      </c>
      <c r="C258" s="139">
        <v>46181.533449074072</v>
      </c>
      <c r="D258" t="s">
        <v>825</v>
      </c>
      <c r="E258" t="s">
        <v>826</v>
      </c>
      <c r="F258" t="s">
        <v>827</v>
      </c>
      <c r="G258" t="s">
        <v>828</v>
      </c>
      <c r="H258" s="139">
        <v>46156</v>
      </c>
      <c r="I258" t="s">
        <v>772</v>
      </c>
      <c r="J258" t="s">
        <v>161</v>
      </c>
      <c r="M258" t="s">
        <v>829</v>
      </c>
      <c r="N258" t="s">
        <v>830</v>
      </c>
      <c r="O258" t="s">
        <v>122</v>
      </c>
      <c r="P258" t="s">
        <v>108</v>
      </c>
      <c r="Q258" t="s">
        <v>123</v>
      </c>
      <c r="R258" t="s">
        <v>22</v>
      </c>
      <c r="S258" t="s">
        <v>149</v>
      </c>
      <c r="T258" t="s">
        <v>144</v>
      </c>
      <c r="U258" t="s">
        <v>834</v>
      </c>
      <c r="V258" t="s">
        <v>151</v>
      </c>
      <c r="W258" t="s">
        <v>117</v>
      </c>
      <c r="X258" t="s">
        <v>329</v>
      </c>
      <c r="Y258" t="s">
        <v>1042</v>
      </c>
      <c r="Z258">
        <v>3</v>
      </c>
      <c r="AA258" t="s">
        <v>1048</v>
      </c>
    </row>
    <row r="259" spans="1:27" ht="15" customHeight="1">
      <c r="A259">
        <v>138</v>
      </c>
      <c r="B259" s="139">
        <v>46181.409050925933</v>
      </c>
      <c r="C259" s="139">
        <v>46181.533449074072</v>
      </c>
      <c r="D259" t="s">
        <v>825</v>
      </c>
      <c r="E259" t="s">
        <v>826</v>
      </c>
      <c r="F259" t="s">
        <v>827</v>
      </c>
      <c r="G259" t="s">
        <v>828</v>
      </c>
      <c r="H259" s="139">
        <v>46156</v>
      </c>
      <c r="I259" t="s">
        <v>772</v>
      </c>
      <c r="J259" t="s">
        <v>161</v>
      </c>
      <c r="M259" t="s">
        <v>829</v>
      </c>
      <c r="N259" t="s">
        <v>830</v>
      </c>
      <c r="O259" t="s">
        <v>122</v>
      </c>
      <c r="P259" t="s">
        <v>108</v>
      </c>
      <c r="Q259" t="s">
        <v>123</v>
      </c>
      <c r="R259" t="s">
        <v>22</v>
      </c>
      <c r="S259" t="s">
        <v>149</v>
      </c>
      <c r="T259" t="s">
        <v>144</v>
      </c>
      <c r="U259" t="s">
        <v>834</v>
      </c>
      <c r="V259" t="s">
        <v>151</v>
      </c>
      <c r="W259" t="s">
        <v>117</v>
      </c>
      <c r="X259" t="s">
        <v>329</v>
      </c>
      <c r="Y259" t="s">
        <v>1042</v>
      </c>
      <c r="Z259">
        <v>4</v>
      </c>
      <c r="AA259" t="s">
        <v>1085</v>
      </c>
    </row>
    <row r="260" spans="1:27" ht="15" customHeight="1">
      <c r="A260">
        <v>138</v>
      </c>
      <c r="B260" s="139">
        <v>46181.409050925933</v>
      </c>
      <c r="C260" s="139">
        <v>46181.533449074072</v>
      </c>
      <c r="D260" t="s">
        <v>825</v>
      </c>
      <c r="E260" t="s">
        <v>826</v>
      </c>
      <c r="F260" t="s">
        <v>827</v>
      </c>
      <c r="G260" t="s">
        <v>828</v>
      </c>
      <c r="H260" s="139">
        <v>46156</v>
      </c>
      <c r="I260" t="s">
        <v>772</v>
      </c>
      <c r="J260" t="s">
        <v>161</v>
      </c>
      <c r="M260" t="s">
        <v>829</v>
      </c>
      <c r="N260" t="s">
        <v>830</v>
      </c>
      <c r="O260" t="s">
        <v>122</v>
      </c>
      <c r="P260" t="s">
        <v>108</v>
      </c>
      <c r="Q260" t="s">
        <v>123</v>
      </c>
      <c r="R260" t="s">
        <v>22</v>
      </c>
      <c r="S260" t="s">
        <v>149</v>
      </c>
      <c r="T260" t="s">
        <v>144</v>
      </c>
      <c r="U260" t="s">
        <v>834</v>
      </c>
      <c r="V260" t="s">
        <v>151</v>
      </c>
      <c r="W260" t="s">
        <v>117</v>
      </c>
      <c r="X260" t="s">
        <v>329</v>
      </c>
      <c r="Y260" t="s">
        <v>1044</v>
      </c>
      <c r="Z260">
        <v>1</v>
      </c>
      <c r="AA260" t="s">
        <v>1198</v>
      </c>
    </row>
    <row r="261" spans="1:27" ht="15" customHeight="1">
      <c r="A261">
        <v>138</v>
      </c>
      <c r="B261" s="139">
        <v>46181.409050925933</v>
      </c>
      <c r="C261" s="139">
        <v>46181.533449074072</v>
      </c>
      <c r="D261" t="s">
        <v>825</v>
      </c>
      <c r="E261" t="s">
        <v>826</v>
      </c>
      <c r="F261" t="s">
        <v>827</v>
      </c>
      <c r="G261" t="s">
        <v>828</v>
      </c>
      <c r="H261" s="139">
        <v>46156</v>
      </c>
      <c r="I261" t="s">
        <v>772</v>
      </c>
      <c r="J261" t="s">
        <v>161</v>
      </c>
      <c r="M261" t="s">
        <v>829</v>
      </c>
      <c r="N261" t="s">
        <v>830</v>
      </c>
      <c r="O261" t="s">
        <v>122</v>
      </c>
      <c r="P261" t="s">
        <v>108</v>
      </c>
      <c r="Q261" t="s">
        <v>123</v>
      </c>
      <c r="R261" t="s">
        <v>22</v>
      </c>
      <c r="S261" t="s">
        <v>149</v>
      </c>
      <c r="T261" t="s">
        <v>144</v>
      </c>
      <c r="U261" t="s">
        <v>834</v>
      </c>
      <c r="V261" t="s">
        <v>151</v>
      </c>
      <c r="W261" t="s">
        <v>117</v>
      </c>
      <c r="X261" t="s">
        <v>329</v>
      </c>
      <c r="Y261" t="s">
        <v>1044</v>
      </c>
      <c r="Z261">
        <v>2</v>
      </c>
      <c r="AA261" t="s">
        <v>1199</v>
      </c>
    </row>
    <row r="262" spans="1:27" ht="15" customHeight="1">
      <c r="A262">
        <v>138</v>
      </c>
      <c r="B262" s="139">
        <v>46181.409050925933</v>
      </c>
      <c r="C262" s="139">
        <v>46181.533449074072</v>
      </c>
      <c r="D262" t="s">
        <v>825</v>
      </c>
      <c r="E262" t="s">
        <v>826</v>
      </c>
      <c r="F262" t="s">
        <v>827</v>
      </c>
      <c r="G262" t="s">
        <v>828</v>
      </c>
      <c r="H262" s="139">
        <v>46156</v>
      </c>
      <c r="I262" t="s">
        <v>772</v>
      </c>
      <c r="J262" t="s">
        <v>161</v>
      </c>
      <c r="M262" t="s">
        <v>829</v>
      </c>
      <c r="N262" t="s">
        <v>830</v>
      </c>
      <c r="O262" t="s">
        <v>122</v>
      </c>
      <c r="P262" t="s">
        <v>108</v>
      </c>
      <c r="Q262" t="s">
        <v>123</v>
      </c>
      <c r="R262" t="s">
        <v>22</v>
      </c>
      <c r="S262" t="s">
        <v>149</v>
      </c>
      <c r="T262" t="s">
        <v>144</v>
      </c>
      <c r="U262" t="s">
        <v>834</v>
      </c>
      <c r="V262" t="s">
        <v>151</v>
      </c>
      <c r="W262" t="s">
        <v>117</v>
      </c>
      <c r="X262" t="s">
        <v>329</v>
      </c>
      <c r="Y262" t="s">
        <v>1044</v>
      </c>
      <c r="Z262">
        <v>3</v>
      </c>
      <c r="AA262" t="s">
        <v>1200</v>
      </c>
    </row>
    <row r="263" spans="1:27" ht="15" customHeight="1">
      <c r="A263">
        <v>7</v>
      </c>
      <c r="B263" s="139">
        <v>46167.609594907408</v>
      </c>
      <c r="C263" s="139">
        <v>46167.61377314815</v>
      </c>
      <c r="D263" t="s">
        <v>170</v>
      </c>
      <c r="E263" t="s">
        <v>171</v>
      </c>
      <c r="F263" t="s">
        <v>171</v>
      </c>
      <c r="G263" t="s">
        <v>172</v>
      </c>
      <c r="H263" s="139">
        <v>46157</v>
      </c>
      <c r="I263" t="s">
        <v>136</v>
      </c>
      <c r="J263" t="s">
        <v>174</v>
      </c>
      <c r="L263" t="s">
        <v>175</v>
      </c>
      <c r="N263" t="s">
        <v>176</v>
      </c>
      <c r="O263" t="s">
        <v>173</v>
      </c>
      <c r="P263" t="s">
        <v>108</v>
      </c>
      <c r="Q263" t="s">
        <v>109</v>
      </c>
      <c r="R263" t="s">
        <v>21</v>
      </c>
      <c r="S263" t="s">
        <v>149</v>
      </c>
      <c r="T263" t="s">
        <v>181</v>
      </c>
      <c r="U263" t="s">
        <v>182</v>
      </c>
      <c r="V263" t="s">
        <v>151</v>
      </c>
      <c r="W263" t="s">
        <v>130</v>
      </c>
      <c r="X263" t="s">
        <v>177</v>
      </c>
      <c r="Y263" t="s">
        <v>1040</v>
      </c>
      <c r="Z263">
        <v>1</v>
      </c>
      <c r="AA263" t="s">
        <v>1201</v>
      </c>
    </row>
    <row r="264" spans="1:27" ht="15" customHeight="1">
      <c r="A264">
        <v>7</v>
      </c>
      <c r="B264" s="139">
        <v>46167.609594907408</v>
      </c>
      <c r="C264" s="139">
        <v>46167.61377314815</v>
      </c>
      <c r="D264" t="s">
        <v>170</v>
      </c>
      <c r="E264" t="s">
        <v>171</v>
      </c>
      <c r="F264" t="s">
        <v>171</v>
      </c>
      <c r="G264" t="s">
        <v>172</v>
      </c>
      <c r="H264" s="139">
        <v>46157</v>
      </c>
      <c r="I264" t="s">
        <v>136</v>
      </c>
      <c r="J264" t="s">
        <v>174</v>
      </c>
      <c r="L264" t="s">
        <v>175</v>
      </c>
      <c r="N264" t="s">
        <v>176</v>
      </c>
      <c r="O264" t="s">
        <v>173</v>
      </c>
      <c r="P264" t="s">
        <v>108</v>
      </c>
      <c r="Q264" t="s">
        <v>109</v>
      </c>
      <c r="R264" t="s">
        <v>21</v>
      </c>
      <c r="S264" t="s">
        <v>149</v>
      </c>
      <c r="T264" t="s">
        <v>181</v>
      </c>
      <c r="U264" t="s">
        <v>182</v>
      </c>
      <c r="V264" t="s">
        <v>151</v>
      </c>
      <c r="W264" t="s">
        <v>130</v>
      </c>
      <c r="X264" t="s">
        <v>177</v>
      </c>
      <c r="Y264" t="s">
        <v>1042</v>
      </c>
      <c r="Z264">
        <v>1</v>
      </c>
      <c r="AA264" t="s">
        <v>1104</v>
      </c>
    </row>
    <row r="265" spans="1:27" ht="15" customHeight="1">
      <c r="A265">
        <v>7</v>
      </c>
      <c r="B265" s="139">
        <v>46167.609594907408</v>
      </c>
      <c r="C265" s="139">
        <v>46167.61377314815</v>
      </c>
      <c r="D265" t="s">
        <v>170</v>
      </c>
      <c r="E265" t="s">
        <v>171</v>
      </c>
      <c r="F265" t="s">
        <v>171</v>
      </c>
      <c r="G265" t="s">
        <v>172</v>
      </c>
      <c r="H265" s="139">
        <v>46157</v>
      </c>
      <c r="I265" t="s">
        <v>136</v>
      </c>
      <c r="J265" t="s">
        <v>174</v>
      </c>
      <c r="L265" t="s">
        <v>175</v>
      </c>
      <c r="N265" t="s">
        <v>176</v>
      </c>
      <c r="O265" t="s">
        <v>173</v>
      </c>
      <c r="P265" t="s">
        <v>108</v>
      </c>
      <c r="Q265" t="s">
        <v>109</v>
      </c>
      <c r="R265" t="s">
        <v>21</v>
      </c>
      <c r="S265" t="s">
        <v>149</v>
      </c>
      <c r="T265" t="s">
        <v>181</v>
      </c>
      <c r="U265" t="s">
        <v>182</v>
      </c>
      <c r="V265" t="s">
        <v>151</v>
      </c>
      <c r="W265" t="s">
        <v>130</v>
      </c>
      <c r="X265" t="s">
        <v>177</v>
      </c>
      <c r="Y265" t="s">
        <v>1042</v>
      </c>
      <c r="Z265">
        <v>2</v>
      </c>
      <c r="AA265" t="s">
        <v>1105</v>
      </c>
    </row>
    <row r="266" spans="1:27" ht="15" customHeight="1">
      <c r="A266">
        <v>7</v>
      </c>
      <c r="B266" s="139">
        <v>46167.609594907408</v>
      </c>
      <c r="C266" s="139">
        <v>46167.61377314815</v>
      </c>
      <c r="D266" t="s">
        <v>170</v>
      </c>
      <c r="E266" t="s">
        <v>171</v>
      </c>
      <c r="F266" t="s">
        <v>171</v>
      </c>
      <c r="G266" t="s">
        <v>172</v>
      </c>
      <c r="H266" s="139">
        <v>46157</v>
      </c>
      <c r="I266" t="s">
        <v>136</v>
      </c>
      <c r="J266" t="s">
        <v>174</v>
      </c>
      <c r="L266" t="s">
        <v>175</v>
      </c>
      <c r="N266" t="s">
        <v>176</v>
      </c>
      <c r="O266" t="s">
        <v>173</v>
      </c>
      <c r="P266" t="s">
        <v>108</v>
      </c>
      <c r="Q266" t="s">
        <v>109</v>
      </c>
      <c r="R266" t="s">
        <v>21</v>
      </c>
      <c r="S266" t="s">
        <v>149</v>
      </c>
      <c r="T266" t="s">
        <v>181</v>
      </c>
      <c r="U266" t="s">
        <v>182</v>
      </c>
      <c r="V266" t="s">
        <v>151</v>
      </c>
      <c r="W266" t="s">
        <v>130</v>
      </c>
      <c r="X266" t="s">
        <v>177</v>
      </c>
      <c r="Y266" t="s">
        <v>1042</v>
      </c>
      <c r="Z266">
        <v>3</v>
      </c>
      <c r="AA266" t="s">
        <v>1107</v>
      </c>
    </row>
    <row r="267" spans="1:27" ht="15" customHeight="1">
      <c r="A267">
        <v>7</v>
      </c>
      <c r="B267" s="139">
        <v>46167.609594907408</v>
      </c>
      <c r="C267" s="139">
        <v>46167.61377314815</v>
      </c>
      <c r="D267" t="s">
        <v>170</v>
      </c>
      <c r="E267" t="s">
        <v>171</v>
      </c>
      <c r="F267" t="s">
        <v>171</v>
      </c>
      <c r="G267" t="s">
        <v>172</v>
      </c>
      <c r="H267" s="139">
        <v>46157</v>
      </c>
      <c r="I267" t="s">
        <v>136</v>
      </c>
      <c r="J267" t="s">
        <v>174</v>
      </c>
      <c r="L267" t="s">
        <v>175</v>
      </c>
      <c r="N267" t="s">
        <v>176</v>
      </c>
      <c r="O267" t="s">
        <v>173</v>
      </c>
      <c r="P267" t="s">
        <v>108</v>
      </c>
      <c r="Q267" t="s">
        <v>109</v>
      </c>
      <c r="R267" t="s">
        <v>21</v>
      </c>
      <c r="S267" t="s">
        <v>149</v>
      </c>
      <c r="T267" t="s">
        <v>181</v>
      </c>
      <c r="U267" t="s">
        <v>182</v>
      </c>
      <c r="V267" t="s">
        <v>151</v>
      </c>
      <c r="W267" t="s">
        <v>130</v>
      </c>
      <c r="X267" t="s">
        <v>177</v>
      </c>
      <c r="Y267" t="s">
        <v>1042</v>
      </c>
      <c r="Z267">
        <v>4</v>
      </c>
      <c r="AA267" t="s">
        <v>1106</v>
      </c>
    </row>
    <row r="268" spans="1:27" ht="15" customHeight="1">
      <c r="A268">
        <v>7</v>
      </c>
      <c r="B268" s="139">
        <v>46167.609594907408</v>
      </c>
      <c r="C268" s="139">
        <v>46167.61377314815</v>
      </c>
      <c r="D268" t="s">
        <v>170</v>
      </c>
      <c r="E268" t="s">
        <v>171</v>
      </c>
      <c r="F268" t="s">
        <v>171</v>
      </c>
      <c r="G268" t="s">
        <v>172</v>
      </c>
      <c r="H268" s="139">
        <v>46157</v>
      </c>
      <c r="I268" t="s">
        <v>136</v>
      </c>
      <c r="J268" t="s">
        <v>174</v>
      </c>
      <c r="L268" t="s">
        <v>175</v>
      </c>
      <c r="N268" t="s">
        <v>176</v>
      </c>
      <c r="O268" t="s">
        <v>173</v>
      </c>
      <c r="P268" t="s">
        <v>108</v>
      </c>
      <c r="Q268" t="s">
        <v>109</v>
      </c>
      <c r="R268" t="s">
        <v>21</v>
      </c>
      <c r="S268" t="s">
        <v>149</v>
      </c>
      <c r="T268" t="s">
        <v>181</v>
      </c>
      <c r="U268" t="s">
        <v>182</v>
      </c>
      <c r="V268" t="s">
        <v>151</v>
      </c>
      <c r="W268" t="s">
        <v>130</v>
      </c>
      <c r="X268" t="s">
        <v>177</v>
      </c>
      <c r="Y268" t="s">
        <v>1042</v>
      </c>
      <c r="Z268">
        <v>5</v>
      </c>
      <c r="AA268" t="s">
        <v>1173</v>
      </c>
    </row>
    <row r="269" spans="1:27" ht="15" customHeight="1">
      <c r="A269">
        <v>7</v>
      </c>
      <c r="B269" s="139">
        <v>46167.609594907408</v>
      </c>
      <c r="C269" s="139">
        <v>46167.61377314815</v>
      </c>
      <c r="D269" t="s">
        <v>170</v>
      </c>
      <c r="E269" t="s">
        <v>171</v>
      </c>
      <c r="F269" t="s">
        <v>171</v>
      </c>
      <c r="G269" t="s">
        <v>172</v>
      </c>
      <c r="H269" s="139">
        <v>46157</v>
      </c>
      <c r="I269" t="s">
        <v>136</v>
      </c>
      <c r="J269" t="s">
        <v>174</v>
      </c>
      <c r="L269" t="s">
        <v>175</v>
      </c>
      <c r="N269" t="s">
        <v>176</v>
      </c>
      <c r="O269" t="s">
        <v>173</v>
      </c>
      <c r="P269" t="s">
        <v>108</v>
      </c>
      <c r="Q269" t="s">
        <v>109</v>
      </c>
      <c r="R269" t="s">
        <v>21</v>
      </c>
      <c r="S269" t="s">
        <v>149</v>
      </c>
      <c r="T269" t="s">
        <v>181</v>
      </c>
      <c r="U269" t="s">
        <v>182</v>
      </c>
      <c r="V269" t="s">
        <v>151</v>
      </c>
      <c r="W269" t="s">
        <v>130</v>
      </c>
      <c r="X269" t="s">
        <v>177</v>
      </c>
      <c r="Y269" t="s">
        <v>1042</v>
      </c>
      <c r="Z269">
        <v>6</v>
      </c>
      <c r="AA269" t="s">
        <v>1155</v>
      </c>
    </row>
    <row r="270" spans="1:27" ht="15" customHeight="1">
      <c r="A270">
        <v>7</v>
      </c>
      <c r="B270" s="139">
        <v>46167.609594907408</v>
      </c>
      <c r="C270" s="139">
        <v>46167.61377314815</v>
      </c>
      <c r="D270" t="s">
        <v>170</v>
      </c>
      <c r="E270" t="s">
        <v>171</v>
      </c>
      <c r="F270" t="s">
        <v>171</v>
      </c>
      <c r="G270" t="s">
        <v>172</v>
      </c>
      <c r="H270" s="139">
        <v>46157</v>
      </c>
      <c r="I270" t="s">
        <v>136</v>
      </c>
      <c r="J270" t="s">
        <v>174</v>
      </c>
      <c r="L270" t="s">
        <v>175</v>
      </c>
      <c r="N270" t="s">
        <v>176</v>
      </c>
      <c r="O270" t="s">
        <v>173</v>
      </c>
      <c r="P270" t="s">
        <v>108</v>
      </c>
      <c r="Q270" t="s">
        <v>109</v>
      </c>
      <c r="R270" t="s">
        <v>21</v>
      </c>
      <c r="S270" t="s">
        <v>149</v>
      </c>
      <c r="T270" t="s">
        <v>181</v>
      </c>
      <c r="U270" t="s">
        <v>182</v>
      </c>
      <c r="V270" t="s">
        <v>151</v>
      </c>
      <c r="W270" t="s">
        <v>130</v>
      </c>
      <c r="X270" t="s">
        <v>177</v>
      </c>
      <c r="Y270" t="s">
        <v>1042</v>
      </c>
      <c r="Z270">
        <v>7</v>
      </c>
      <c r="AA270" t="s">
        <v>1202</v>
      </c>
    </row>
    <row r="271" spans="1:27" ht="15" customHeight="1">
      <c r="A271">
        <v>7</v>
      </c>
      <c r="B271" s="139">
        <v>46167.609594907408</v>
      </c>
      <c r="C271" s="139">
        <v>46167.61377314815</v>
      </c>
      <c r="D271" t="s">
        <v>170</v>
      </c>
      <c r="E271" t="s">
        <v>171</v>
      </c>
      <c r="F271" t="s">
        <v>171</v>
      </c>
      <c r="G271" t="s">
        <v>172</v>
      </c>
      <c r="H271" s="139">
        <v>46157</v>
      </c>
      <c r="I271" t="s">
        <v>136</v>
      </c>
      <c r="J271" t="s">
        <v>174</v>
      </c>
      <c r="L271" t="s">
        <v>175</v>
      </c>
      <c r="N271" t="s">
        <v>176</v>
      </c>
      <c r="O271" t="s">
        <v>173</v>
      </c>
      <c r="P271" t="s">
        <v>108</v>
      </c>
      <c r="Q271" t="s">
        <v>109</v>
      </c>
      <c r="R271" t="s">
        <v>21</v>
      </c>
      <c r="S271" t="s">
        <v>149</v>
      </c>
      <c r="T271" t="s">
        <v>181</v>
      </c>
      <c r="U271" t="s">
        <v>182</v>
      </c>
      <c r="V271" t="s">
        <v>151</v>
      </c>
      <c r="W271" t="s">
        <v>130</v>
      </c>
      <c r="X271" t="s">
        <v>177</v>
      </c>
      <c r="Y271" t="s">
        <v>1044</v>
      </c>
      <c r="Z271">
        <v>1</v>
      </c>
      <c r="AA271" t="s">
        <v>1108</v>
      </c>
    </row>
    <row r="272" spans="1:27" ht="15" customHeight="1">
      <c r="A272">
        <v>7</v>
      </c>
      <c r="B272" s="139">
        <v>46167.609594907408</v>
      </c>
      <c r="C272" s="139">
        <v>46167.61377314815</v>
      </c>
      <c r="D272" t="s">
        <v>170</v>
      </c>
      <c r="E272" t="s">
        <v>171</v>
      </c>
      <c r="F272" t="s">
        <v>171</v>
      </c>
      <c r="G272" t="s">
        <v>172</v>
      </c>
      <c r="H272" s="139">
        <v>46157</v>
      </c>
      <c r="I272" t="s">
        <v>136</v>
      </c>
      <c r="J272" t="s">
        <v>174</v>
      </c>
      <c r="L272" t="s">
        <v>175</v>
      </c>
      <c r="N272" t="s">
        <v>176</v>
      </c>
      <c r="O272" t="s">
        <v>173</v>
      </c>
      <c r="P272" t="s">
        <v>108</v>
      </c>
      <c r="Q272" t="s">
        <v>109</v>
      </c>
      <c r="R272" t="s">
        <v>21</v>
      </c>
      <c r="S272" t="s">
        <v>149</v>
      </c>
      <c r="T272" t="s">
        <v>181</v>
      </c>
      <c r="U272" t="s">
        <v>182</v>
      </c>
      <c r="V272" t="s">
        <v>151</v>
      </c>
      <c r="W272" t="s">
        <v>130</v>
      </c>
      <c r="X272" t="s">
        <v>177</v>
      </c>
      <c r="Y272" t="s">
        <v>1044</v>
      </c>
      <c r="Z272">
        <v>2</v>
      </c>
      <c r="AA272" t="s">
        <v>1174</v>
      </c>
    </row>
    <row r="273" spans="1:27" ht="15" customHeight="1">
      <c r="A273">
        <v>22</v>
      </c>
      <c r="B273" s="139">
        <v>46168.388032407413</v>
      </c>
      <c r="C273" s="139">
        <v>46168.394282407397</v>
      </c>
      <c r="D273" t="s">
        <v>118</v>
      </c>
      <c r="E273" t="s">
        <v>119</v>
      </c>
      <c r="F273" t="s">
        <v>247</v>
      </c>
      <c r="G273" t="s">
        <v>121</v>
      </c>
      <c r="H273" s="139">
        <v>46157</v>
      </c>
      <c r="I273" t="s">
        <v>136</v>
      </c>
      <c r="J273" t="s">
        <v>161</v>
      </c>
      <c r="M273" t="s">
        <v>260</v>
      </c>
      <c r="N273" t="s">
        <v>266</v>
      </c>
      <c r="O273" t="s">
        <v>122</v>
      </c>
      <c r="P273" t="s">
        <v>108</v>
      </c>
      <c r="Q273" t="s">
        <v>123</v>
      </c>
      <c r="R273" t="s">
        <v>22</v>
      </c>
      <c r="S273" t="s">
        <v>143</v>
      </c>
      <c r="T273" t="s">
        <v>268</v>
      </c>
      <c r="U273" t="s">
        <v>269</v>
      </c>
      <c r="V273" t="s">
        <v>116</v>
      </c>
      <c r="W273" t="s">
        <v>169</v>
      </c>
      <c r="X273" t="s">
        <v>124</v>
      </c>
      <c r="Y273" t="s">
        <v>1040</v>
      </c>
      <c r="Z273">
        <v>1</v>
      </c>
      <c r="AA273" t="s">
        <v>1058</v>
      </c>
    </row>
    <row r="274" spans="1:27" ht="15" customHeight="1">
      <c r="A274">
        <v>22</v>
      </c>
      <c r="B274" s="139">
        <v>46168.388032407413</v>
      </c>
      <c r="C274" s="139">
        <v>46168.394282407397</v>
      </c>
      <c r="D274" t="s">
        <v>118</v>
      </c>
      <c r="E274" t="s">
        <v>119</v>
      </c>
      <c r="F274" t="s">
        <v>247</v>
      </c>
      <c r="G274" t="s">
        <v>121</v>
      </c>
      <c r="H274" s="139">
        <v>46157</v>
      </c>
      <c r="I274" t="s">
        <v>136</v>
      </c>
      <c r="J274" t="s">
        <v>161</v>
      </c>
      <c r="M274" t="s">
        <v>260</v>
      </c>
      <c r="N274" t="s">
        <v>266</v>
      </c>
      <c r="O274" t="s">
        <v>122</v>
      </c>
      <c r="P274" t="s">
        <v>108</v>
      </c>
      <c r="Q274" t="s">
        <v>123</v>
      </c>
      <c r="R274" t="s">
        <v>22</v>
      </c>
      <c r="S274" t="s">
        <v>143</v>
      </c>
      <c r="T274" t="s">
        <v>268</v>
      </c>
      <c r="U274" t="s">
        <v>269</v>
      </c>
      <c r="V274" t="s">
        <v>116</v>
      </c>
      <c r="W274" t="s">
        <v>169</v>
      </c>
      <c r="X274" t="s">
        <v>124</v>
      </c>
      <c r="Y274" t="s">
        <v>1042</v>
      </c>
      <c r="Z274">
        <v>1</v>
      </c>
      <c r="AA274" t="s">
        <v>1125</v>
      </c>
    </row>
    <row r="275" spans="1:27" ht="15" customHeight="1">
      <c r="A275">
        <v>22</v>
      </c>
      <c r="B275" s="139">
        <v>46168.388032407413</v>
      </c>
      <c r="C275" s="139">
        <v>46168.394282407397</v>
      </c>
      <c r="D275" t="s">
        <v>118</v>
      </c>
      <c r="E275" t="s">
        <v>119</v>
      </c>
      <c r="F275" t="s">
        <v>247</v>
      </c>
      <c r="G275" t="s">
        <v>121</v>
      </c>
      <c r="H275" s="139">
        <v>46157</v>
      </c>
      <c r="I275" t="s">
        <v>136</v>
      </c>
      <c r="J275" t="s">
        <v>161</v>
      </c>
      <c r="M275" t="s">
        <v>260</v>
      </c>
      <c r="N275" t="s">
        <v>266</v>
      </c>
      <c r="O275" t="s">
        <v>122</v>
      </c>
      <c r="P275" t="s">
        <v>108</v>
      </c>
      <c r="Q275" t="s">
        <v>123</v>
      </c>
      <c r="R275" t="s">
        <v>22</v>
      </c>
      <c r="S275" t="s">
        <v>143</v>
      </c>
      <c r="T275" t="s">
        <v>268</v>
      </c>
      <c r="U275" t="s">
        <v>269</v>
      </c>
      <c r="V275" t="s">
        <v>116</v>
      </c>
      <c r="W275" t="s">
        <v>169</v>
      </c>
      <c r="X275" t="s">
        <v>124</v>
      </c>
      <c r="Y275" t="s">
        <v>1042</v>
      </c>
      <c r="Z275">
        <v>2</v>
      </c>
      <c r="AA275" t="s">
        <v>1126</v>
      </c>
    </row>
    <row r="276" spans="1:27" ht="15" customHeight="1">
      <c r="A276">
        <v>22</v>
      </c>
      <c r="B276" s="139">
        <v>46168.388032407413</v>
      </c>
      <c r="C276" s="139">
        <v>46168.394282407397</v>
      </c>
      <c r="D276" t="s">
        <v>118</v>
      </c>
      <c r="E276" t="s">
        <v>119</v>
      </c>
      <c r="F276" t="s">
        <v>247</v>
      </c>
      <c r="G276" t="s">
        <v>121</v>
      </c>
      <c r="H276" s="139">
        <v>46157</v>
      </c>
      <c r="I276" t="s">
        <v>136</v>
      </c>
      <c r="J276" t="s">
        <v>161</v>
      </c>
      <c r="M276" t="s">
        <v>260</v>
      </c>
      <c r="N276" t="s">
        <v>266</v>
      </c>
      <c r="O276" t="s">
        <v>122</v>
      </c>
      <c r="P276" t="s">
        <v>108</v>
      </c>
      <c r="Q276" t="s">
        <v>123</v>
      </c>
      <c r="R276" t="s">
        <v>22</v>
      </c>
      <c r="S276" t="s">
        <v>143</v>
      </c>
      <c r="T276" t="s">
        <v>268</v>
      </c>
      <c r="U276" t="s">
        <v>269</v>
      </c>
      <c r="V276" t="s">
        <v>116</v>
      </c>
      <c r="W276" t="s">
        <v>169</v>
      </c>
      <c r="X276" t="s">
        <v>124</v>
      </c>
      <c r="Y276" t="s">
        <v>1042</v>
      </c>
      <c r="Z276">
        <v>3</v>
      </c>
      <c r="AA276" t="s">
        <v>1059</v>
      </c>
    </row>
    <row r="277" spans="1:27" ht="15" customHeight="1">
      <c r="A277">
        <v>22</v>
      </c>
      <c r="B277" s="139">
        <v>46168.388032407413</v>
      </c>
      <c r="C277" s="139">
        <v>46168.394282407397</v>
      </c>
      <c r="D277" t="s">
        <v>118</v>
      </c>
      <c r="E277" t="s">
        <v>119</v>
      </c>
      <c r="F277" t="s">
        <v>247</v>
      </c>
      <c r="G277" t="s">
        <v>121</v>
      </c>
      <c r="H277" s="139">
        <v>46157</v>
      </c>
      <c r="I277" t="s">
        <v>136</v>
      </c>
      <c r="J277" t="s">
        <v>161</v>
      </c>
      <c r="M277" t="s">
        <v>260</v>
      </c>
      <c r="N277" t="s">
        <v>266</v>
      </c>
      <c r="O277" t="s">
        <v>122</v>
      </c>
      <c r="P277" t="s">
        <v>108</v>
      </c>
      <c r="Q277" t="s">
        <v>123</v>
      </c>
      <c r="R277" t="s">
        <v>22</v>
      </c>
      <c r="S277" t="s">
        <v>143</v>
      </c>
      <c r="T277" t="s">
        <v>268</v>
      </c>
      <c r="U277" t="s">
        <v>269</v>
      </c>
      <c r="V277" t="s">
        <v>116</v>
      </c>
      <c r="W277" t="s">
        <v>169</v>
      </c>
      <c r="X277" t="s">
        <v>124</v>
      </c>
      <c r="Y277" t="s">
        <v>1044</v>
      </c>
      <c r="Z277">
        <v>1</v>
      </c>
      <c r="AA277" t="s">
        <v>1130</v>
      </c>
    </row>
    <row r="278" spans="1:27" ht="15" customHeight="1">
      <c r="A278">
        <v>22</v>
      </c>
      <c r="B278" s="139">
        <v>46168.388032407413</v>
      </c>
      <c r="C278" s="139">
        <v>46168.394282407397</v>
      </c>
      <c r="D278" t="s">
        <v>118</v>
      </c>
      <c r="E278" t="s">
        <v>119</v>
      </c>
      <c r="F278" t="s">
        <v>247</v>
      </c>
      <c r="G278" t="s">
        <v>121</v>
      </c>
      <c r="H278" s="139">
        <v>46157</v>
      </c>
      <c r="I278" t="s">
        <v>136</v>
      </c>
      <c r="J278" t="s">
        <v>161</v>
      </c>
      <c r="M278" t="s">
        <v>260</v>
      </c>
      <c r="N278" t="s">
        <v>266</v>
      </c>
      <c r="O278" t="s">
        <v>122</v>
      </c>
      <c r="P278" t="s">
        <v>108</v>
      </c>
      <c r="Q278" t="s">
        <v>123</v>
      </c>
      <c r="R278" t="s">
        <v>22</v>
      </c>
      <c r="S278" t="s">
        <v>143</v>
      </c>
      <c r="T278" t="s">
        <v>268</v>
      </c>
      <c r="U278" t="s">
        <v>269</v>
      </c>
      <c r="V278" t="s">
        <v>116</v>
      </c>
      <c r="W278" t="s">
        <v>169</v>
      </c>
      <c r="X278" t="s">
        <v>124</v>
      </c>
      <c r="Y278" t="s">
        <v>1044</v>
      </c>
      <c r="Z278">
        <v>2</v>
      </c>
      <c r="AA278" t="s">
        <v>1147</v>
      </c>
    </row>
    <row r="279" spans="1:27" ht="15" customHeight="1">
      <c r="A279">
        <v>23</v>
      </c>
      <c r="B279" s="139">
        <v>46168.434687499997</v>
      </c>
      <c r="C279" s="139">
        <v>46168.444814814808</v>
      </c>
      <c r="D279" t="s">
        <v>270</v>
      </c>
      <c r="E279" t="s">
        <v>271</v>
      </c>
      <c r="F279" t="s">
        <v>272</v>
      </c>
      <c r="G279" t="s">
        <v>273</v>
      </c>
      <c r="H279" s="139">
        <v>46157</v>
      </c>
      <c r="I279" t="s">
        <v>136</v>
      </c>
      <c r="J279" t="s">
        <v>161</v>
      </c>
      <c r="M279" t="s">
        <v>274</v>
      </c>
      <c r="N279" t="s">
        <v>275</v>
      </c>
      <c r="O279" t="s">
        <v>135</v>
      </c>
      <c r="P279" t="s">
        <v>108</v>
      </c>
      <c r="Q279" t="s">
        <v>109</v>
      </c>
      <c r="R279" t="s">
        <v>22</v>
      </c>
      <c r="S279" t="s">
        <v>149</v>
      </c>
      <c r="T279" t="s">
        <v>181</v>
      </c>
      <c r="U279" t="s">
        <v>279</v>
      </c>
      <c r="V279" t="s">
        <v>129</v>
      </c>
      <c r="W279" t="s">
        <v>130</v>
      </c>
      <c r="X279" t="s">
        <v>199</v>
      </c>
      <c r="Y279" t="s">
        <v>1040</v>
      </c>
      <c r="Z279">
        <v>1</v>
      </c>
      <c r="AA279" t="s">
        <v>1203</v>
      </c>
    </row>
    <row r="280" spans="1:27" ht="15" customHeight="1">
      <c r="A280">
        <v>23</v>
      </c>
      <c r="B280" s="139">
        <v>46168.434687499997</v>
      </c>
      <c r="C280" s="139">
        <v>46168.444814814808</v>
      </c>
      <c r="D280" t="s">
        <v>270</v>
      </c>
      <c r="E280" t="s">
        <v>271</v>
      </c>
      <c r="F280" t="s">
        <v>272</v>
      </c>
      <c r="G280" t="s">
        <v>273</v>
      </c>
      <c r="H280" s="139">
        <v>46157</v>
      </c>
      <c r="I280" t="s">
        <v>136</v>
      </c>
      <c r="J280" t="s">
        <v>161</v>
      </c>
      <c r="M280" t="s">
        <v>274</v>
      </c>
      <c r="N280" t="s">
        <v>275</v>
      </c>
      <c r="O280" t="s">
        <v>135</v>
      </c>
      <c r="P280" t="s">
        <v>108</v>
      </c>
      <c r="Q280" t="s">
        <v>109</v>
      </c>
      <c r="R280" t="s">
        <v>22</v>
      </c>
      <c r="S280" t="s">
        <v>149</v>
      </c>
      <c r="T280" t="s">
        <v>181</v>
      </c>
      <c r="U280" t="s">
        <v>279</v>
      </c>
      <c r="V280" t="s">
        <v>129</v>
      </c>
      <c r="W280" t="s">
        <v>130</v>
      </c>
      <c r="X280" t="s">
        <v>199</v>
      </c>
      <c r="Y280" t="s">
        <v>1042</v>
      </c>
      <c r="Z280">
        <v>1</v>
      </c>
      <c r="AA280" t="s">
        <v>1120</v>
      </c>
    </row>
    <row r="281" spans="1:27" ht="15" customHeight="1">
      <c r="A281">
        <v>23</v>
      </c>
      <c r="B281" s="139">
        <v>46168.434687499997</v>
      </c>
      <c r="C281" s="139">
        <v>46168.444814814808</v>
      </c>
      <c r="D281" t="s">
        <v>270</v>
      </c>
      <c r="E281" t="s">
        <v>271</v>
      </c>
      <c r="F281" t="s">
        <v>272</v>
      </c>
      <c r="G281" t="s">
        <v>273</v>
      </c>
      <c r="H281" s="139">
        <v>46157</v>
      </c>
      <c r="I281" t="s">
        <v>136</v>
      </c>
      <c r="J281" t="s">
        <v>161</v>
      </c>
      <c r="M281" t="s">
        <v>274</v>
      </c>
      <c r="N281" t="s">
        <v>275</v>
      </c>
      <c r="O281" t="s">
        <v>135</v>
      </c>
      <c r="P281" t="s">
        <v>108</v>
      </c>
      <c r="Q281" t="s">
        <v>109</v>
      </c>
      <c r="R281" t="s">
        <v>22</v>
      </c>
      <c r="S281" t="s">
        <v>149</v>
      </c>
      <c r="T281" t="s">
        <v>181</v>
      </c>
      <c r="U281" t="s">
        <v>279</v>
      </c>
      <c r="V281" t="s">
        <v>129</v>
      </c>
      <c r="W281" t="s">
        <v>130</v>
      </c>
      <c r="X281" t="s">
        <v>199</v>
      </c>
      <c r="Y281" t="s">
        <v>1044</v>
      </c>
      <c r="Z281">
        <v>1</v>
      </c>
      <c r="AA281" t="s">
        <v>1122</v>
      </c>
    </row>
    <row r="282" spans="1:27" ht="15" customHeight="1">
      <c r="A282">
        <v>23</v>
      </c>
      <c r="B282" s="139">
        <v>46168.434687499997</v>
      </c>
      <c r="C282" s="139">
        <v>46168.444814814808</v>
      </c>
      <c r="D282" t="s">
        <v>270</v>
      </c>
      <c r="E282" t="s">
        <v>271</v>
      </c>
      <c r="F282" t="s">
        <v>272</v>
      </c>
      <c r="G282" t="s">
        <v>273</v>
      </c>
      <c r="H282" s="139">
        <v>46157</v>
      </c>
      <c r="I282" t="s">
        <v>136</v>
      </c>
      <c r="J282" t="s">
        <v>161</v>
      </c>
      <c r="M282" t="s">
        <v>274</v>
      </c>
      <c r="N282" t="s">
        <v>275</v>
      </c>
      <c r="O282" t="s">
        <v>135</v>
      </c>
      <c r="P282" t="s">
        <v>108</v>
      </c>
      <c r="Q282" t="s">
        <v>109</v>
      </c>
      <c r="R282" t="s">
        <v>22</v>
      </c>
      <c r="S282" t="s">
        <v>149</v>
      </c>
      <c r="T282" t="s">
        <v>181</v>
      </c>
      <c r="U282" t="s">
        <v>279</v>
      </c>
      <c r="V282" t="s">
        <v>129</v>
      </c>
      <c r="W282" t="s">
        <v>130</v>
      </c>
      <c r="X282" t="s">
        <v>199</v>
      </c>
      <c r="Y282" t="s">
        <v>1044</v>
      </c>
      <c r="Z282">
        <v>2</v>
      </c>
      <c r="AA282" t="s">
        <v>1123</v>
      </c>
    </row>
    <row r="283" spans="1:27" ht="15" customHeight="1">
      <c r="A283">
        <v>23</v>
      </c>
      <c r="B283" s="139">
        <v>46168.434687499997</v>
      </c>
      <c r="C283" s="139">
        <v>46168.444814814808</v>
      </c>
      <c r="D283" t="s">
        <v>270</v>
      </c>
      <c r="E283" t="s">
        <v>271</v>
      </c>
      <c r="F283" t="s">
        <v>272</v>
      </c>
      <c r="G283" t="s">
        <v>273</v>
      </c>
      <c r="H283" s="139">
        <v>46157</v>
      </c>
      <c r="I283" t="s">
        <v>136</v>
      </c>
      <c r="J283" t="s">
        <v>161</v>
      </c>
      <c r="M283" t="s">
        <v>274</v>
      </c>
      <c r="N283" t="s">
        <v>275</v>
      </c>
      <c r="O283" t="s">
        <v>135</v>
      </c>
      <c r="P283" t="s">
        <v>108</v>
      </c>
      <c r="Q283" t="s">
        <v>109</v>
      </c>
      <c r="R283" t="s">
        <v>22</v>
      </c>
      <c r="S283" t="s">
        <v>149</v>
      </c>
      <c r="T283" t="s">
        <v>181</v>
      </c>
      <c r="U283" t="s">
        <v>279</v>
      </c>
      <c r="V283" t="s">
        <v>129</v>
      </c>
      <c r="W283" t="s">
        <v>130</v>
      </c>
      <c r="X283" t="s">
        <v>199</v>
      </c>
      <c r="Y283" t="s">
        <v>1044</v>
      </c>
      <c r="Z283">
        <v>3</v>
      </c>
      <c r="AA283" t="s">
        <v>1121</v>
      </c>
    </row>
    <row r="284" spans="1:27" ht="15" customHeight="1">
      <c r="A284">
        <v>46</v>
      </c>
      <c r="B284" s="139">
        <v>46168.715752314813</v>
      </c>
      <c r="C284" s="139">
        <v>46168.719594907408</v>
      </c>
      <c r="D284" t="s">
        <v>103</v>
      </c>
      <c r="E284" t="s">
        <v>104</v>
      </c>
      <c r="F284" t="s">
        <v>105</v>
      </c>
      <c r="G284" t="s">
        <v>106</v>
      </c>
      <c r="H284" s="139">
        <v>46157</v>
      </c>
      <c r="I284" t="s">
        <v>136</v>
      </c>
      <c r="J284" t="s">
        <v>174</v>
      </c>
      <c r="L284" t="s">
        <v>175</v>
      </c>
      <c r="N284" t="s">
        <v>176</v>
      </c>
      <c r="O284" t="s">
        <v>107</v>
      </c>
      <c r="P284" t="s">
        <v>108</v>
      </c>
      <c r="Q284" t="s">
        <v>109</v>
      </c>
      <c r="R284" t="s">
        <v>21</v>
      </c>
      <c r="S284" t="s">
        <v>143</v>
      </c>
      <c r="T284" t="s">
        <v>181</v>
      </c>
      <c r="U284" t="s">
        <v>389</v>
      </c>
      <c r="V284" t="s">
        <v>151</v>
      </c>
      <c r="W284" t="s">
        <v>130</v>
      </c>
      <c r="X284" t="s">
        <v>177</v>
      </c>
      <c r="Y284" t="s">
        <v>1040</v>
      </c>
      <c r="Z284">
        <v>1</v>
      </c>
      <c r="AA284" t="s">
        <v>1100</v>
      </c>
    </row>
    <row r="285" spans="1:27" ht="15" customHeight="1">
      <c r="A285">
        <v>46</v>
      </c>
      <c r="B285" s="139">
        <v>46168.715752314813</v>
      </c>
      <c r="C285" s="139">
        <v>46168.719594907408</v>
      </c>
      <c r="D285" t="s">
        <v>103</v>
      </c>
      <c r="E285" t="s">
        <v>104</v>
      </c>
      <c r="F285" t="s">
        <v>105</v>
      </c>
      <c r="G285" t="s">
        <v>106</v>
      </c>
      <c r="H285" s="139">
        <v>46157</v>
      </c>
      <c r="I285" t="s">
        <v>136</v>
      </c>
      <c r="J285" t="s">
        <v>174</v>
      </c>
      <c r="L285" t="s">
        <v>175</v>
      </c>
      <c r="N285" t="s">
        <v>176</v>
      </c>
      <c r="O285" t="s">
        <v>107</v>
      </c>
      <c r="P285" t="s">
        <v>108</v>
      </c>
      <c r="Q285" t="s">
        <v>109</v>
      </c>
      <c r="R285" t="s">
        <v>21</v>
      </c>
      <c r="S285" t="s">
        <v>143</v>
      </c>
      <c r="T285" t="s">
        <v>181</v>
      </c>
      <c r="U285" t="s">
        <v>389</v>
      </c>
      <c r="V285" t="s">
        <v>151</v>
      </c>
      <c r="W285" t="s">
        <v>130</v>
      </c>
      <c r="X285" t="s">
        <v>177</v>
      </c>
      <c r="Y285" t="s">
        <v>1042</v>
      </c>
      <c r="Z285">
        <v>1</v>
      </c>
      <c r="AA285" t="s">
        <v>1104</v>
      </c>
    </row>
    <row r="286" spans="1:27" ht="15" customHeight="1">
      <c r="A286">
        <v>46</v>
      </c>
      <c r="B286" s="139">
        <v>46168.715752314813</v>
      </c>
      <c r="C286" s="139">
        <v>46168.719594907408</v>
      </c>
      <c r="D286" t="s">
        <v>103</v>
      </c>
      <c r="E286" t="s">
        <v>104</v>
      </c>
      <c r="F286" t="s">
        <v>105</v>
      </c>
      <c r="G286" t="s">
        <v>106</v>
      </c>
      <c r="H286" s="139">
        <v>46157</v>
      </c>
      <c r="I286" t="s">
        <v>136</v>
      </c>
      <c r="J286" t="s">
        <v>174</v>
      </c>
      <c r="L286" t="s">
        <v>175</v>
      </c>
      <c r="N286" t="s">
        <v>176</v>
      </c>
      <c r="O286" t="s">
        <v>107</v>
      </c>
      <c r="P286" t="s">
        <v>108</v>
      </c>
      <c r="Q286" t="s">
        <v>109</v>
      </c>
      <c r="R286" t="s">
        <v>21</v>
      </c>
      <c r="S286" t="s">
        <v>143</v>
      </c>
      <c r="T286" t="s">
        <v>181</v>
      </c>
      <c r="U286" t="s">
        <v>389</v>
      </c>
      <c r="V286" t="s">
        <v>151</v>
      </c>
      <c r="W286" t="s">
        <v>130</v>
      </c>
      <c r="X286" t="s">
        <v>177</v>
      </c>
      <c r="Y286" t="s">
        <v>1042</v>
      </c>
      <c r="Z286">
        <v>2</v>
      </c>
      <c r="AA286" t="s">
        <v>1107</v>
      </c>
    </row>
    <row r="287" spans="1:27" ht="15" customHeight="1">
      <c r="A287">
        <v>46</v>
      </c>
      <c r="B287" s="139">
        <v>46168.715752314813</v>
      </c>
      <c r="C287" s="139">
        <v>46168.719594907408</v>
      </c>
      <c r="D287" t="s">
        <v>103</v>
      </c>
      <c r="E287" t="s">
        <v>104</v>
      </c>
      <c r="F287" t="s">
        <v>105</v>
      </c>
      <c r="G287" t="s">
        <v>106</v>
      </c>
      <c r="H287" s="139">
        <v>46157</v>
      </c>
      <c r="I287" t="s">
        <v>136</v>
      </c>
      <c r="J287" t="s">
        <v>174</v>
      </c>
      <c r="L287" t="s">
        <v>175</v>
      </c>
      <c r="N287" t="s">
        <v>176</v>
      </c>
      <c r="O287" t="s">
        <v>107</v>
      </c>
      <c r="P287" t="s">
        <v>108</v>
      </c>
      <c r="Q287" t="s">
        <v>109</v>
      </c>
      <c r="R287" t="s">
        <v>21</v>
      </c>
      <c r="S287" t="s">
        <v>143</v>
      </c>
      <c r="T287" t="s">
        <v>181</v>
      </c>
      <c r="U287" t="s">
        <v>389</v>
      </c>
      <c r="V287" t="s">
        <v>151</v>
      </c>
      <c r="W287" t="s">
        <v>130</v>
      </c>
      <c r="X287" t="s">
        <v>177</v>
      </c>
      <c r="Y287" t="s">
        <v>1042</v>
      </c>
      <c r="Z287">
        <v>3</v>
      </c>
      <c r="AA287" t="s">
        <v>1173</v>
      </c>
    </row>
    <row r="288" spans="1:27" ht="15" customHeight="1">
      <c r="A288">
        <v>46</v>
      </c>
      <c r="B288" s="139">
        <v>46168.715752314813</v>
      </c>
      <c r="C288" s="139">
        <v>46168.719594907408</v>
      </c>
      <c r="D288" t="s">
        <v>103</v>
      </c>
      <c r="E288" t="s">
        <v>104</v>
      </c>
      <c r="F288" t="s">
        <v>105</v>
      </c>
      <c r="G288" t="s">
        <v>106</v>
      </c>
      <c r="H288" s="139">
        <v>46157</v>
      </c>
      <c r="I288" t="s">
        <v>136</v>
      </c>
      <c r="J288" t="s">
        <v>174</v>
      </c>
      <c r="L288" t="s">
        <v>175</v>
      </c>
      <c r="N288" t="s">
        <v>176</v>
      </c>
      <c r="O288" t="s">
        <v>107</v>
      </c>
      <c r="P288" t="s">
        <v>108</v>
      </c>
      <c r="Q288" t="s">
        <v>109</v>
      </c>
      <c r="R288" t="s">
        <v>21</v>
      </c>
      <c r="S288" t="s">
        <v>143</v>
      </c>
      <c r="T288" t="s">
        <v>181</v>
      </c>
      <c r="U288" t="s">
        <v>389</v>
      </c>
      <c r="V288" t="s">
        <v>151</v>
      </c>
      <c r="W288" t="s">
        <v>130</v>
      </c>
      <c r="X288" t="s">
        <v>177</v>
      </c>
      <c r="Y288" t="s">
        <v>1044</v>
      </c>
      <c r="Z288">
        <v>1</v>
      </c>
      <c r="AA288" t="s">
        <v>1108</v>
      </c>
    </row>
    <row r="289" spans="1:27" ht="15" customHeight="1">
      <c r="A289">
        <v>46</v>
      </c>
      <c r="B289" s="139">
        <v>46168.715752314813</v>
      </c>
      <c r="C289" s="139">
        <v>46168.719594907408</v>
      </c>
      <c r="D289" t="s">
        <v>103</v>
      </c>
      <c r="E289" t="s">
        <v>104</v>
      </c>
      <c r="F289" t="s">
        <v>105</v>
      </c>
      <c r="G289" t="s">
        <v>106</v>
      </c>
      <c r="H289" s="139">
        <v>46157</v>
      </c>
      <c r="I289" t="s">
        <v>136</v>
      </c>
      <c r="J289" t="s">
        <v>174</v>
      </c>
      <c r="L289" t="s">
        <v>175</v>
      </c>
      <c r="N289" t="s">
        <v>176</v>
      </c>
      <c r="O289" t="s">
        <v>107</v>
      </c>
      <c r="P289" t="s">
        <v>108</v>
      </c>
      <c r="Q289" t="s">
        <v>109</v>
      </c>
      <c r="R289" t="s">
        <v>21</v>
      </c>
      <c r="S289" t="s">
        <v>143</v>
      </c>
      <c r="T289" t="s">
        <v>181</v>
      </c>
      <c r="U289" t="s">
        <v>389</v>
      </c>
      <c r="V289" t="s">
        <v>151</v>
      </c>
      <c r="W289" t="s">
        <v>130</v>
      </c>
      <c r="X289" t="s">
        <v>177</v>
      </c>
      <c r="Y289" t="s">
        <v>1044</v>
      </c>
      <c r="Z289">
        <v>2</v>
      </c>
      <c r="AA289" t="s">
        <v>1109</v>
      </c>
    </row>
    <row r="290" spans="1:27" ht="15" customHeight="1">
      <c r="A290">
        <v>81</v>
      </c>
      <c r="B290" s="139">
        <v>46176.662060185183</v>
      </c>
      <c r="C290" s="139">
        <v>46176.665578703702</v>
      </c>
      <c r="D290" t="s">
        <v>468</v>
      </c>
      <c r="E290" t="s">
        <v>469</v>
      </c>
      <c r="F290" t="s">
        <v>469</v>
      </c>
      <c r="G290" t="s">
        <v>471</v>
      </c>
      <c r="H290" s="139">
        <v>46157</v>
      </c>
      <c r="I290" t="s">
        <v>472</v>
      </c>
      <c r="J290" t="s">
        <v>161</v>
      </c>
      <c r="M290" t="s">
        <v>486</v>
      </c>
      <c r="N290" t="s">
        <v>583</v>
      </c>
      <c r="O290" t="s">
        <v>582</v>
      </c>
      <c r="P290" t="s">
        <v>108</v>
      </c>
      <c r="Q290" t="s">
        <v>109</v>
      </c>
      <c r="R290" t="s">
        <v>22</v>
      </c>
      <c r="S290" t="s">
        <v>149</v>
      </c>
      <c r="T290" t="s">
        <v>478</v>
      </c>
      <c r="V290" t="s">
        <v>151</v>
      </c>
      <c r="W290" t="s">
        <v>117</v>
      </c>
      <c r="X290" t="s">
        <v>199</v>
      </c>
      <c r="Y290" t="s">
        <v>1040</v>
      </c>
      <c r="Z290">
        <v>1</v>
      </c>
      <c r="AA290" t="s">
        <v>1119</v>
      </c>
    </row>
    <row r="291" spans="1:27" ht="15" customHeight="1">
      <c r="A291">
        <v>81</v>
      </c>
      <c r="B291" s="139">
        <v>46176.662060185183</v>
      </c>
      <c r="C291" s="139">
        <v>46176.665578703702</v>
      </c>
      <c r="D291" t="s">
        <v>468</v>
      </c>
      <c r="E291" t="s">
        <v>469</v>
      </c>
      <c r="F291" t="s">
        <v>469</v>
      </c>
      <c r="G291" t="s">
        <v>471</v>
      </c>
      <c r="H291" s="139">
        <v>46157</v>
      </c>
      <c r="I291" t="s">
        <v>472</v>
      </c>
      <c r="J291" t="s">
        <v>161</v>
      </c>
      <c r="M291" t="s">
        <v>486</v>
      </c>
      <c r="N291" t="s">
        <v>583</v>
      </c>
      <c r="O291" t="s">
        <v>582</v>
      </c>
      <c r="P291" t="s">
        <v>108</v>
      </c>
      <c r="Q291" t="s">
        <v>109</v>
      </c>
      <c r="R291" t="s">
        <v>22</v>
      </c>
      <c r="S291" t="s">
        <v>149</v>
      </c>
      <c r="T291" t="s">
        <v>478</v>
      </c>
      <c r="V291" t="s">
        <v>151</v>
      </c>
      <c r="W291" t="s">
        <v>117</v>
      </c>
      <c r="X291" t="s">
        <v>199</v>
      </c>
      <c r="Y291" t="s">
        <v>1042</v>
      </c>
      <c r="Z291">
        <v>1</v>
      </c>
      <c r="AA291" t="s">
        <v>1204</v>
      </c>
    </row>
    <row r="292" spans="1:27" ht="15" customHeight="1">
      <c r="A292">
        <v>81</v>
      </c>
      <c r="B292" s="139">
        <v>46176.662060185183</v>
      </c>
      <c r="C292" s="139">
        <v>46176.665578703702</v>
      </c>
      <c r="D292" t="s">
        <v>468</v>
      </c>
      <c r="E292" t="s">
        <v>469</v>
      </c>
      <c r="F292" t="s">
        <v>469</v>
      </c>
      <c r="G292" t="s">
        <v>471</v>
      </c>
      <c r="H292" s="139">
        <v>46157</v>
      </c>
      <c r="I292" t="s">
        <v>472</v>
      </c>
      <c r="J292" t="s">
        <v>161</v>
      </c>
      <c r="M292" t="s">
        <v>486</v>
      </c>
      <c r="N292" t="s">
        <v>583</v>
      </c>
      <c r="O292" t="s">
        <v>582</v>
      </c>
      <c r="P292" t="s">
        <v>108</v>
      </c>
      <c r="Q292" t="s">
        <v>109</v>
      </c>
      <c r="R292" t="s">
        <v>22</v>
      </c>
      <c r="S292" t="s">
        <v>149</v>
      </c>
      <c r="T292" t="s">
        <v>478</v>
      </c>
      <c r="V292" t="s">
        <v>151</v>
      </c>
      <c r="W292" t="s">
        <v>117</v>
      </c>
      <c r="X292" t="s">
        <v>199</v>
      </c>
      <c r="Y292" t="s">
        <v>1042</v>
      </c>
      <c r="Z292">
        <v>2</v>
      </c>
      <c r="AA292" t="s">
        <v>1120</v>
      </c>
    </row>
    <row r="293" spans="1:27" ht="15" customHeight="1">
      <c r="A293">
        <v>81</v>
      </c>
      <c r="B293" s="139">
        <v>46176.662060185183</v>
      </c>
      <c r="C293" s="139">
        <v>46176.665578703702</v>
      </c>
      <c r="D293" t="s">
        <v>468</v>
      </c>
      <c r="E293" t="s">
        <v>469</v>
      </c>
      <c r="F293" t="s">
        <v>469</v>
      </c>
      <c r="G293" t="s">
        <v>471</v>
      </c>
      <c r="H293" s="139">
        <v>46157</v>
      </c>
      <c r="I293" t="s">
        <v>472</v>
      </c>
      <c r="J293" t="s">
        <v>161</v>
      </c>
      <c r="M293" t="s">
        <v>486</v>
      </c>
      <c r="N293" t="s">
        <v>583</v>
      </c>
      <c r="O293" t="s">
        <v>582</v>
      </c>
      <c r="P293" t="s">
        <v>108</v>
      </c>
      <c r="Q293" t="s">
        <v>109</v>
      </c>
      <c r="R293" t="s">
        <v>22</v>
      </c>
      <c r="S293" t="s">
        <v>149</v>
      </c>
      <c r="T293" t="s">
        <v>478</v>
      </c>
      <c r="V293" t="s">
        <v>151</v>
      </c>
      <c r="W293" t="s">
        <v>117</v>
      </c>
      <c r="X293" t="s">
        <v>199</v>
      </c>
      <c r="Y293" t="s">
        <v>1042</v>
      </c>
      <c r="Z293">
        <v>3</v>
      </c>
      <c r="AA293" t="s">
        <v>1091</v>
      </c>
    </row>
    <row r="294" spans="1:27" ht="15" customHeight="1">
      <c r="A294">
        <v>81</v>
      </c>
      <c r="B294" s="139">
        <v>46176.662060185183</v>
      </c>
      <c r="C294" s="139">
        <v>46176.665578703702</v>
      </c>
      <c r="D294" t="s">
        <v>468</v>
      </c>
      <c r="E294" t="s">
        <v>469</v>
      </c>
      <c r="F294" t="s">
        <v>469</v>
      </c>
      <c r="G294" t="s">
        <v>471</v>
      </c>
      <c r="H294" s="139">
        <v>46157</v>
      </c>
      <c r="I294" t="s">
        <v>472</v>
      </c>
      <c r="J294" t="s">
        <v>161</v>
      </c>
      <c r="M294" t="s">
        <v>486</v>
      </c>
      <c r="N294" t="s">
        <v>583</v>
      </c>
      <c r="O294" t="s">
        <v>582</v>
      </c>
      <c r="P294" t="s">
        <v>108</v>
      </c>
      <c r="Q294" t="s">
        <v>109</v>
      </c>
      <c r="R294" t="s">
        <v>22</v>
      </c>
      <c r="S294" t="s">
        <v>149</v>
      </c>
      <c r="T294" t="s">
        <v>478</v>
      </c>
      <c r="V294" t="s">
        <v>151</v>
      </c>
      <c r="W294" t="s">
        <v>117</v>
      </c>
      <c r="X294" t="s">
        <v>199</v>
      </c>
      <c r="Y294" t="s">
        <v>1042</v>
      </c>
      <c r="Z294">
        <v>4</v>
      </c>
      <c r="AA294" t="s">
        <v>1089</v>
      </c>
    </row>
    <row r="295" spans="1:27" ht="15" customHeight="1">
      <c r="A295">
        <v>81</v>
      </c>
      <c r="B295" s="139">
        <v>46176.662060185183</v>
      </c>
      <c r="C295" s="139">
        <v>46176.665578703702</v>
      </c>
      <c r="D295" t="s">
        <v>468</v>
      </c>
      <c r="E295" t="s">
        <v>469</v>
      </c>
      <c r="F295" t="s">
        <v>469</v>
      </c>
      <c r="G295" t="s">
        <v>471</v>
      </c>
      <c r="H295" s="139">
        <v>46157</v>
      </c>
      <c r="I295" t="s">
        <v>472</v>
      </c>
      <c r="J295" t="s">
        <v>161</v>
      </c>
      <c r="M295" t="s">
        <v>486</v>
      </c>
      <c r="N295" t="s">
        <v>583</v>
      </c>
      <c r="O295" t="s">
        <v>582</v>
      </c>
      <c r="P295" t="s">
        <v>108</v>
      </c>
      <c r="Q295" t="s">
        <v>109</v>
      </c>
      <c r="R295" t="s">
        <v>22</v>
      </c>
      <c r="S295" t="s">
        <v>149</v>
      </c>
      <c r="T295" t="s">
        <v>478</v>
      </c>
      <c r="V295" t="s">
        <v>151</v>
      </c>
      <c r="W295" t="s">
        <v>117</v>
      </c>
      <c r="X295" t="s">
        <v>199</v>
      </c>
      <c r="Y295" t="s">
        <v>1044</v>
      </c>
      <c r="Z295">
        <v>1</v>
      </c>
      <c r="AA295" t="s">
        <v>1121</v>
      </c>
    </row>
    <row r="296" spans="1:27" ht="15" customHeight="1">
      <c r="A296">
        <v>85</v>
      </c>
      <c r="B296" s="139">
        <v>46177.02034722222</v>
      </c>
      <c r="C296" s="139">
        <v>46177.02238425926</v>
      </c>
      <c r="D296" t="s">
        <v>468</v>
      </c>
      <c r="E296" t="s">
        <v>469</v>
      </c>
      <c r="F296" t="s">
        <v>469</v>
      </c>
      <c r="G296" t="s">
        <v>471</v>
      </c>
      <c r="H296" s="139">
        <v>46157</v>
      </c>
      <c r="I296" t="s">
        <v>472</v>
      </c>
      <c r="J296" t="s">
        <v>161</v>
      </c>
      <c r="M296" t="s">
        <v>603</v>
      </c>
      <c r="N296" t="s">
        <v>603</v>
      </c>
      <c r="O296" t="s">
        <v>135</v>
      </c>
      <c r="P296" t="s">
        <v>108</v>
      </c>
      <c r="Q296" t="s">
        <v>109</v>
      </c>
      <c r="R296" t="s">
        <v>21</v>
      </c>
      <c r="S296" t="s">
        <v>143</v>
      </c>
      <c r="T296" t="s">
        <v>606</v>
      </c>
      <c r="V296" t="s">
        <v>116</v>
      </c>
      <c r="W296" t="s">
        <v>117</v>
      </c>
      <c r="X296" t="s">
        <v>177</v>
      </c>
      <c r="Y296" t="s">
        <v>1040</v>
      </c>
      <c r="Z296">
        <v>1</v>
      </c>
      <c r="AA296" t="s">
        <v>1201</v>
      </c>
    </row>
    <row r="297" spans="1:27" ht="15" customHeight="1">
      <c r="A297">
        <v>85</v>
      </c>
      <c r="B297" s="139">
        <v>46177.02034722222</v>
      </c>
      <c r="C297" s="139">
        <v>46177.02238425926</v>
      </c>
      <c r="D297" t="s">
        <v>468</v>
      </c>
      <c r="E297" t="s">
        <v>469</v>
      </c>
      <c r="F297" t="s">
        <v>469</v>
      </c>
      <c r="G297" t="s">
        <v>471</v>
      </c>
      <c r="H297" s="139">
        <v>46157</v>
      </c>
      <c r="I297" t="s">
        <v>472</v>
      </c>
      <c r="J297" t="s">
        <v>161</v>
      </c>
      <c r="M297" t="s">
        <v>603</v>
      </c>
      <c r="N297" t="s">
        <v>603</v>
      </c>
      <c r="O297" t="s">
        <v>135</v>
      </c>
      <c r="P297" t="s">
        <v>108</v>
      </c>
      <c r="Q297" t="s">
        <v>109</v>
      </c>
      <c r="R297" t="s">
        <v>21</v>
      </c>
      <c r="S297" t="s">
        <v>143</v>
      </c>
      <c r="T297" t="s">
        <v>606</v>
      </c>
      <c r="V297" t="s">
        <v>116</v>
      </c>
      <c r="W297" t="s">
        <v>117</v>
      </c>
      <c r="X297" t="s">
        <v>177</v>
      </c>
      <c r="Y297" t="s">
        <v>1042</v>
      </c>
      <c r="Z297">
        <v>1</v>
      </c>
      <c r="AA297" t="s">
        <v>1104</v>
      </c>
    </row>
    <row r="298" spans="1:27" ht="15" customHeight="1">
      <c r="A298">
        <v>85</v>
      </c>
      <c r="B298" s="139">
        <v>46177.02034722222</v>
      </c>
      <c r="C298" s="139">
        <v>46177.02238425926</v>
      </c>
      <c r="D298" t="s">
        <v>468</v>
      </c>
      <c r="E298" t="s">
        <v>469</v>
      </c>
      <c r="F298" t="s">
        <v>469</v>
      </c>
      <c r="G298" t="s">
        <v>471</v>
      </c>
      <c r="H298" s="139">
        <v>46157</v>
      </c>
      <c r="I298" t="s">
        <v>472</v>
      </c>
      <c r="J298" t="s">
        <v>161</v>
      </c>
      <c r="M298" t="s">
        <v>603</v>
      </c>
      <c r="N298" t="s">
        <v>603</v>
      </c>
      <c r="O298" t="s">
        <v>135</v>
      </c>
      <c r="P298" t="s">
        <v>108</v>
      </c>
      <c r="Q298" t="s">
        <v>109</v>
      </c>
      <c r="R298" t="s">
        <v>21</v>
      </c>
      <c r="S298" t="s">
        <v>143</v>
      </c>
      <c r="T298" t="s">
        <v>606</v>
      </c>
      <c r="V298" t="s">
        <v>116</v>
      </c>
      <c r="W298" t="s">
        <v>117</v>
      </c>
      <c r="X298" t="s">
        <v>177</v>
      </c>
      <c r="Y298" t="s">
        <v>1042</v>
      </c>
      <c r="Z298">
        <v>2</v>
      </c>
      <c r="AA298" t="s">
        <v>1105</v>
      </c>
    </row>
    <row r="299" spans="1:27" ht="15" customHeight="1">
      <c r="A299">
        <v>85</v>
      </c>
      <c r="B299" s="139">
        <v>46177.02034722222</v>
      </c>
      <c r="C299" s="139">
        <v>46177.02238425926</v>
      </c>
      <c r="D299" t="s">
        <v>468</v>
      </c>
      <c r="E299" t="s">
        <v>469</v>
      </c>
      <c r="F299" t="s">
        <v>469</v>
      </c>
      <c r="G299" t="s">
        <v>471</v>
      </c>
      <c r="H299" s="139">
        <v>46157</v>
      </c>
      <c r="I299" t="s">
        <v>472</v>
      </c>
      <c r="J299" t="s">
        <v>161</v>
      </c>
      <c r="M299" t="s">
        <v>603</v>
      </c>
      <c r="N299" t="s">
        <v>603</v>
      </c>
      <c r="O299" t="s">
        <v>135</v>
      </c>
      <c r="P299" t="s">
        <v>108</v>
      </c>
      <c r="Q299" t="s">
        <v>109</v>
      </c>
      <c r="R299" t="s">
        <v>21</v>
      </c>
      <c r="S299" t="s">
        <v>143</v>
      </c>
      <c r="T299" t="s">
        <v>606</v>
      </c>
      <c r="V299" t="s">
        <v>116</v>
      </c>
      <c r="W299" t="s">
        <v>117</v>
      </c>
      <c r="X299" t="s">
        <v>177</v>
      </c>
      <c r="Y299" t="s">
        <v>1042</v>
      </c>
      <c r="Z299">
        <v>3</v>
      </c>
      <c r="AA299" t="s">
        <v>1106</v>
      </c>
    </row>
    <row r="300" spans="1:27" ht="15" customHeight="1">
      <c r="A300">
        <v>85</v>
      </c>
      <c r="B300" s="139">
        <v>46177.02034722222</v>
      </c>
      <c r="C300" s="139">
        <v>46177.02238425926</v>
      </c>
      <c r="D300" t="s">
        <v>468</v>
      </c>
      <c r="E300" t="s">
        <v>469</v>
      </c>
      <c r="F300" t="s">
        <v>469</v>
      </c>
      <c r="G300" t="s">
        <v>471</v>
      </c>
      <c r="H300" s="139">
        <v>46157</v>
      </c>
      <c r="I300" t="s">
        <v>472</v>
      </c>
      <c r="J300" t="s">
        <v>161</v>
      </c>
      <c r="M300" t="s">
        <v>603</v>
      </c>
      <c r="N300" t="s">
        <v>603</v>
      </c>
      <c r="O300" t="s">
        <v>135</v>
      </c>
      <c r="P300" t="s">
        <v>108</v>
      </c>
      <c r="Q300" t="s">
        <v>109</v>
      </c>
      <c r="R300" t="s">
        <v>21</v>
      </c>
      <c r="S300" t="s">
        <v>143</v>
      </c>
      <c r="T300" t="s">
        <v>606</v>
      </c>
      <c r="V300" t="s">
        <v>116</v>
      </c>
      <c r="W300" t="s">
        <v>117</v>
      </c>
      <c r="X300" t="s">
        <v>177</v>
      </c>
      <c r="Y300" t="s">
        <v>1042</v>
      </c>
      <c r="Z300">
        <v>4</v>
      </c>
      <c r="AA300" t="s">
        <v>1155</v>
      </c>
    </row>
    <row r="301" spans="1:27" ht="15" customHeight="1">
      <c r="A301">
        <v>85</v>
      </c>
      <c r="B301" s="139">
        <v>46177.02034722222</v>
      </c>
      <c r="C301" s="139">
        <v>46177.02238425926</v>
      </c>
      <c r="D301" t="s">
        <v>468</v>
      </c>
      <c r="E301" t="s">
        <v>469</v>
      </c>
      <c r="F301" t="s">
        <v>469</v>
      </c>
      <c r="G301" t="s">
        <v>471</v>
      </c>
      <c r="H301" s="139">
        <v>46157</v>
      </c>
      <c r="I301" t="s">
        <v>472</v>
      </c>
      <c r="J301" t="s">
        <v>161</v>
      </c>
      <c r="M301" t="s">
        <v>603</v>
      </c>
      <c r="N301" t="s">
        <v>603</v>
      </c>
      <c r="O301" t="s">
        <v>135</v>
      </c>
      <c r="P301" t="s">
        <v>108</v>
      </c>
      <c r="Q301" t="s">
        <v>109</v>
      </c>
      <c r="R301" t="s">
        <v>21</v>
      </c>
      <c r="S301" t="s">
        <v>143</v>
      </c>
      <c r="T301" t="s">
        <v>606</v>
      </c>
      <c r="V301" t="s">
        <v>116</v>
      </c>
      <c r="W301" t="s">
        <v>117</v>
      </c>
      <c r="X301" t="s">
        <v>177</v>
      </c>
      <c r="Y301" t="s">
        <v>1042</v>
      </c>
      <c r="Z301">
        <v>5</v>
      </c>
      <c r="AA301" t="s">
        <v>1173</v>
      </c>
    </row>
    <row r="302" spans="1:27" ht="15" customHeight="1">
      <c r="A302">
        <v>85</v>
      </c>
      <c r="B302" s="139">
        <v>46177.02034722222</v>
      </c>
      <c r="C302" s="139">
        <v>46177.02238425926</v>
      </c>
      <c r="D302" t="s">
        <v>468</v>
      </c>
      <c r="E302" t="s">
        <v>469</v>
      </c>
      <c r="F302" t="s">
        <v>469</v>
      </c>
      <c r="G302" t="s">
        <v>471</v>
      </c>
      <c r="H302" s="139">
        <v>46157</v>
      </c>
      <c r="I302" t="s">
        <v>472</v>
      </c>
      <c r="J302" t="s">
        <v>161</v>
      </c>
      <c r="M302" t="s">
        <v>603</v>
      </c>
      <c r="N302" t="s">
        <v>603</v>
      </c>
      <c r="O302" t="s">
        <v>135</v>
      </c>
      <c r="P302" t="s">
        <v>108</v>
      </c>
      <c r="Q302" t="s">
        <v>109</v>
      </c>
      <c r="R302" t="s">
        <v>21</v>
      </c>
      <c r="S302" t="s">
        <v>143</v>
      </c>
      <c r="T302" t="s">
        <v>606</v>
      </c>
      <c r="V302" t="s">
        <v>116</v>
      </c>
      <c r="W302" t="s">
        <v>117</v>
      </c>
      <c r="X302" t="s">
        <v>177</v>
      </c>
      <c r="Y302" t="s">
        <v>1044</v>
      </c>
      <c r="Z302">
        <v>1</v>
      </c>
      <c r="AA302" t="s">
        <v>1108</v>
      </c>
    </row>
    <row r="303" spans="1:27" ht="15" customHeight="1">
      <c r="A303">
        <v>85</v>
      </c>
      <c r="B303" s="139">
        <v>46177.02034722222</v>
      </c>
      <c r="C303" s="139">
        <v>46177.02238425926</v>
      </c>
      <c r="D303" t="s">
        <v>468</v>
      </c>
      <c r="E303" t="s">
        <v>469</v>
      </c>
      <c r="F303" t="s">
        <v>469</v>
      </c>
      <c r="G303" t="s">
        <v>471</v>
      </c>
      <c r="H303" s="139">
        <v>46157</v>
      </c>
      <c r="I303" t="s">
        <v>472</v>
      </c>
      <c r="J303" t="s">
        <v>161</v>
      </c>
      <c r="M303" t="s">
        <v>603</v>
      </c>
      <c r="N303" t="s">
        <v>603</v>
      </c>
      <c r="O303" t="s">
        <v>135</v>
      </c>
      <c r="P303" t="s">
        <v>108</v>
      </c>
      <c r="Q303" t="s">
        <v>109</v>
      </c>
      <c r="R303" t="s">
        <v>21</v>
      </c>
      <c r="S303" t="s">
        <v>143</v>
      </c>
      <c r="T303" t="s">
        <v>606</v>
      </c>
      <c r="V303" t="s">
        <v>116</v>
      </c>
      <c r="W303" t="s">
        <v>117</v>
      </c>
      <c r="X303" t="s">
        <v>177</v>
      </c>
      <c r="Y303" t="s">
        <v>1044</v>
      </c>
      <c r="Z303">
        <v>2</v>
      </c>
      <c r="AA303" t="s">
        <v>1205</v>
      </c>
    </row>
    <row r="304" spans="1:27" ht="15" customHeight="1">
      <c r="A304">
        <v>85</v>
      </c>
      <c r="B304" s="139">
        <v>46177.02034722222</v>
      </c>
      <c r="C304" s="139">
        <v>46177.02238425926</v>
      </c>
      <c r="D304" t="s">
        <v>468</v>
      </c>
      <c r="E304" t="s">
        <v>469</v>
      </c>
      <c r="F304" t="s">
        <v>469</v>
      </c>
      <c r="G304" t="s">
        <v>471</v>
      </c>
      <c r="H304" s="139">
        <v>46157</v>
      </c>
      <c r="I304" t="s">
        <v>472</v>
      </c>
      <c r="J304" t="s">
        <v>161</v>
      </c>
      <c r="M304" t="s">
        <v>603</v>
      </c>
      <c r="N304" t="s">
        <v>603</v>
      </c>
      <c r="O304" t="s">
        <v>135</v>
      </c>
      <c r="P304" t="s">
        <v>108</v>
      </c>
      <c r="Q304" t="s">
        <v>109</v>
      </c>
      <c r="R304" t="s">
        <v>21</v>
      </c>
      <c r="S304" t="s">
        <v>143</v>
      </c>
      <c r="T304" t="s">
        <v>606</v>
      </c>
      <c r="V304" t="s">
        <v>116</v>
      </c>
      <c r="W304" t="s">
        <v>117</v>
      </c>
      <c r="X304" t="s">
        <v>177</v>
      </c>
      <c r="Y304" t="s">
        <v>1044</v>
      </c>
      <c r="Z304">
        <v>3</v>
      </c>
      <c r="AA304" t="s">
        <v>1109</v>
      </c>
    </row>
    <row r="305" spans="1:27" ht="15" customHeight="1">
      <c r="A305">
        <v>85</v>
      </c>
      <c r="B305" s="139">
        <v>46177.02034722222</v>
      </c>
      <c r="C305" s="139">
        <v>46177.02238425926</v>
      </c>
      <c r="D305" t="s">
        <v>468</v>
      </c>
      <c r="E305" t="s">
        <v>469</v>
      </c>
      <c r="F305" t="s">
        <v>469</v>
      </c>
      <c r="G305" t="s">
        <v>471</v>
      </c>
      <c r="H305" s="139">
        <v>46157</v>
      </c>
      <c r="I305" t="s">
        <v>472</v>
      </c>
      <c r="J305" t="s">
        <v>161</v>
      </c>
      <c r="M305" t="s">
        <v>603</v>
      </c>
      <c r="N305" t="s">
        <v>603</v>
      </c>
      <c r="O305" t="s">
        <v>135</v>
      </c>
      <c r="P305" t="s">
        <v>108</v>
      </c>
      <c r="Q305" t="s">
        <v>109</v>
      </c>
      <c r="R305" t="s">
        <v>21</v>
      </c>
      <c r="S305" t="s">
        <v>143</v>
      </c>
      <c r="T305" t="s">
        <v>606</v>
      </c>
      <c r="V305" t="s">
        <v>116</v>
      </c>
      <c r="W305" t="s">
        <v>117</v>
      </c>
      <c r="X305" t="s">
        <v>177</v>
      </c>
      <c r="Y305" t="s">
        <v>1044</v>
      </c>
      <c r="Z305">
        <v>4</v>
      </c>
      <c r="AA305" t="s">
        <v>1206</v>
      </c>
    </row>
    <row r="306" spans="1:27" ht="15" customHeight="1">
      <c r="A306">
        <v>115</v>
      </c>
      <c r="B306" s="139">
        <v>46178.687650462962</v>
      </c>
      <c r="C306" s="139">
        <v>46178.690486111111</v>
      </c>
      <c r="D306" t="s">
        <v>296</v>
      </c>
      <c r="E306" t="s">
        <v>297</v>
      </c>
      <c r="F306" t="s">
        <v>297</v>
      </c>
      <c r="G306" t="s">
        <v>298</v>
      </c>
      <c r="H306" s="139">
        <v>46157</v>
      </c>
      <c r="I306" t="s">
        <v>136</v>
      </c>
      <c r="J306" t="s">
        <v>161</v>
      </c>
      <c r="M306" t="s">
        <v>711</v>
      </c>
      <c r="N306" t="s">
        <v>712</v>
      </c>
      <c r="O306" t="s">
        <v>195</v>
      </c>
      <c r="P306" t="s">
        <v>196</v>
      </c>
      <c r="Q306" t="s">
        <v>109</v>
      </c>
      <c r="R306" t="s">
        <v>22</v>
      </c>
      <c r="S306" t="s">
        <v>143</v>
      </c>
      <c r="T306" t="s">
        <v>181</v>
      </c>
      <c r="V306" t="s">
        <v>129</v>
      </c>
      <c r="W306" t="s">
        <v>130</v>
      </c>
      <c r="X306" t="s">
        <v>199</v>
      </c>
      <c r="Y306" t="s">
        <v>1040</v>
      </c>
      <c r="Z306">
        <v>1</v>
      </c>
      <c r="AA306" t="s">
        <v>1207</v>
      </c>
    </row>
    <row r="307" spans="1:27" ht="15" customHeight="1">
      <c r="A307">
        <v>115</v>
      </c>
      <c r="B307" s="139">
        <v>46178.687650462962</v>
      </c>
      <c r="C307" s="139">
        <v>46178.690486111111</v>
      </c>
      <c r="D307" t="s">
        <v>296</v>
      </c>
      <c r="E307" t="s">
        <v>297</v>
      </c>
      <c r="F307" t="s">
        <v>297</v>
      </c>
      <c r="G307" t="s">
        <v>298</v>
      </c>
      <c r="H307" s="139">
        <v>46157</v>
      </c>
      <c r="I307" t="s">
        <v>136</v>
      </c>
      <c r="J307" t="s">
        <v>161</v>
      </c>
      <c r="M307" t="s">
        <v>711</v>
      </c>
      <c r="N307" t="s">
        <v>712</v>
      </c>
      <c r="O307" t="s">
        <v>195</v>
      </c>
      <c r="P307" t="s">
        <v>196</v>
      </c>
      <c r="Q307" t="s">
        <v>109</v>
      </c>
      <c r="R307" t="s">
        <v>22</v>
      </c>
      <c r="S307" t="s">
        <v>143</v>
      </c>
      <c r="T307" t="s">
        <v>181</v>
      </c>
      <c r="V307" t="s">
        <v>129</v>
      </c>
      <c r="W307" t="s">
        <v>130</v>
      </c>
      <c r="X307" t="s">
        <v>199</v>
      </c>
      <c r="Y307" t="s">
        <v>1040</v>
      </c>
      <c r="Z307">
        <v>2</v>
      </c>
      <c r="AA307" t="s">
        <v>1088</v>
      </c>
    </row>
    <row r="308" spans="1:27" ht="15" customHeight="1">
      <c r="A308">
        <v>115</v>
      </c>
      <c r="B308" s="139">
        <v>46178.687650462962</v>
      </c>
      <c r="C308" s="139">
        <v>46178.690486111111</v>
      </c>
      <c r="D308" t="s">
        <v>296</v>
      </c>
      <c r="E308" t="s">
        <v>297</v>
      </c>
      <c r="F308" t="s">
        <v>297</v>
      </c>
      <c r="G308" t="s">
        <v>298</v>
      </c>
      <c r="H308" s="139">
        <v>46157</v>
      </c>
      <c r="I308" t="s">
        <v>136</v>
      </c>
      <c r="J308" t="s">
        <v>161</v>
      </c>
      <c r="M308" t="s">
        <v>711</v>
      </c>
      <c r="N308" t="s">
        <v>712</v>
      </c>
      <c r="O308" t="s">
        <v>195</v>
      </c>
      <c r="P308" t="s">
        <v>196</v>
      </c>
      <c r="Q308" t="s">
        <v>109</v>
      </c>
      <c r="R308" t="s">
        <v>22</v>
      </c>
      <c r="S308" t="s">
        <v>143</v>
      </c>
      <c r="T308" t="s">
        <v>181</v>
      </c>
      <c r="V308" t="s">
        <v>129</v>
      </c>
      <c r="W308" t="s">
        <v>130</v>
      </c>
      <c r="X308" t="s">
        <v>199</v>
      </c>
      <c r="Y308" t="s">
        <v>1042</v>
      </c>
      <c r="Z308">
        <v>1</v>
      </c>
      <c r="AA308" t="s">
        <v>1120</v>
      </c>
    </row>
    <row r="309" spans="1:27" ht="15" customHeight="1">
      <c r="A309">
        <v>115</v>
      </c>
      <c r="B309" s="139">
        <v>46178.687650462962</v>
      </c>
      <c r="C309" s="139">
        <v>46178.690486111111</v>
      </c>
      <c r="D309" t="s">
        <v>296</v>
      </c>
      <c r="E309" t="s">
        <v>297</v>
      </c>
      <c r="F309" t="s">
        <v>297</v>
      </c>
      <c r="G309" t="s">
        <v>298</v>
      </c>
      <c r="H309" s="139">
        <v>46157</v>
      </c>
      <c r="I309" t="s">
        <v>136</v>
      </c>
      <c r="J309" t="s">
        <v>161</v>
      </c>
      <c r="M309" t="s">
        <v>711</v>
      </c>
      <c r="N309" t="s">
        <v>712</v>
      </c>
      <c r="O309" t="s">
        <v>195</v>
      </c>
      <c r="P309" t="s">
        <v>196</v>
      </c>
      <c r="Q309" t="s">
        <v>109</v>
      </c>
      <c r="R309" t="s">
        <v>22</v>
      </c>
      <c r="S309" t="s">
        <v>143</v>
      </c>
      <c r="T309" t="s">
        <v>181</v>
      </c>
      <c r="V309" t="s">
        <v>129</v>
      </c>
      <c r="W309" t="s">
        <v>130</v>
      </c>
      <c r="X309" t="s">
        <v>199</v>
      </c>
      <c r="Y309" t="s">
        <v>1042</v>
      </c>
      <c r="Z309">
        <v>2</v>
      </c>
      <c r="AA309" t="s">
        <v>1091</v>
      </c>
    </row>
    <row r="310" spans="1:27" ht="15" customHeight="1">
      <c r="A310">
        <v>115</v>
      </c>
      <c r="B310" s="139">
        <v>46178.687650462962</v>
      </c>
      <c r="C310" s="139">
        <v>46178.690486111111</v>
      </c>
      <c r="D310" t="s">
        <v>296</v>
      </c>
      <c r="E310" t="s">
        <v>297</v>
      </c>
      <c r="F310" t="s">
        <v>297</v>
      </c>
      <c r="G310" t="s">
        <v>298</v>
      </c>
      <c r="H310" s="139">
        <v>46157</v>
      </c>
      <c r="I310" t="s">
        <v>136</v>
      </c>
      <c r="J310" t="s">
        <v>161</v>
      </c>
      <c r="M310" t="s">
        <v>711</v>
      </c>
      <c r="N310" t="s">
        <v>712</v>
      </c>
      <c r="O310" t="s">
        <v>195</v>
      </c>
      <c r="P310" t="s">
        <v>196</v>
      </c>
      <c r="Q310" t="s">
        <v>109</v>
      </c>
      <c r="R310" t="s">
        <v>22</v>
      </c>
      <c r="S310" t="s">
        <v>143</v>
      </c>
      <c r="T310" t="s">
        <v>181</v>
      </c>
      <c r="V310" t="s">
        <v>129</v>
      </c>
      <c r="W310" t="s">
        <v>130</v>
      </c>
      <c r="X310" t="s">
        <v>199</v>
      </c>
      <c r="Y310" t="s">
        <v>1042</v>
      </c>
      <c r="Z310">
        <v>3</v>
      </c>
      <c r="AA310" t="s">
        <v>1090</v>
      </c>
    </row>
    <row r="311" spans="1:27" ht="15" customHeight="1">
      <c r="A311">
        <v>115</v>
      </c>
      <c r="B311" s="139">
        <v>46178.687650462962</v>
      </c>
      <c r="C311" s="139">
        <v>46178.690486111111</v>
      </c>
      <c r="D311" t="s">
        <v>296</v>
      </c>
      <c r="E311" t="s">
        <v>297</v>
      </c>
      <c r="F311" t="s">
        <v>297</v>
      </c>
      <c r="G311" t="s">
        <v>298</v>
      </c>
      <c r="H311" s="139">
        <v>46157</v>
      </c>
      <c r="I311" t="s">
        <v>136</v>
      </c>
      <c r="J311" t="s">
        <v>161</v>
      </c>
      <c r="M311" t="s">
        <v>711</v>
      </c>
      <c r="N311" t="s">
        <v>712</v>
      </c>
      <c r="O311" t="s">
        <v>195</v>
      </c>
      <c r="P311" t="s">
        <v>196</v>
      </c>
      <c r="Q311" t="s">
        <v>109</v>
      </c>
      <c r="R311" t="s">
        <v>22</v>
      </c>
      <c r="S311" t="s">
        <v>143</v>
      </c>
      <c r="T311" t="s">
        <v>181</v>
      </c>
      <c r="V311" t="s">
        <v>129</v>
      </c>
      <c r="W311" t="s">
        <v>130</v>
      </c>
      <c r="X311" t="s">
        <v>199</v>
      </c>
      <c r="Y311" t="s">
        <v>1042</v>
      </c>
      <c r="Z311">
        <v>4</v>
      </c>
      <c r="AA311" t="s">
        <v>1089</v>
      </c>
    </row>
    <row r="312" spans="1:27" ht="15" customHeight="1">
      <c r="A312">
        <v>115</v>
      </c>
      <c r="B312" s="139">
        <v>46178.687650462962</v>
      </c>
      <c r="C312" s="139">
        <v>46178.690486111111</v>
      </c>
      <c r="D312" t="s">
        <v>296</v>
      </c>
      <c r="E312" t="s">
        <v>297</v>
      </c>
      <c r="F312" t="s">
        <v>297</v>
      </c>
      <c r="G312" t="s">
        <v>298</v>
      </c>
      <c r="H312" s="139">
        <v>46157</v>
      </c>
      <c r="I312" t="s">
        <v>136</v>
      </c>
      <c r="J312" t="s">
        <v>161</v>
      </c>
      <c r="M312" t="s">
        <v>711</v>
      </c>
      <c r="N312" t="s">
        <v>712</v>
      </c>
      <c r="O312" t="s">
        <v>195</v>
      </c>
      <c r="P312" t="s">
        <v>196</v>
      </c>
      <c r="Q312" t="s">
        <v>109</v>
      </c>
      <c r="R312" t="s">
        <v>22</v>
      </c>
      <c r="S312" t="s">
        <v>143</v>
      </c>
      <c r="T312" t="s">
        <v>181</v>
      </c>
      <c r="V312" t="s">
        <v>129</v>
      </c>
      <c r="W312" t="s">
        <v>130</v>
      </c>
      <c r="X312" t="s">
        <v>199</v>
      </c>
      <c r="Y312" t="s">
        <v>1044</v>
      </c>
      <c r="Z312">
        <v>1</v>
      </c>
      <c r="AA312" t="s">
        <v>1121</v>
      </c>
    </row>
    <row r="313" spans="1:27" ht="15" customHeight="1">
      <c r="A313">
        <v>119</v>
      </c>
      <c r="B313" s="139">
        <v>46178.833692129629</v>
      </c>
      <c r="C313" s="139">
        <v>46178.835416666669</v>
      </c>
      <c r="D313" t="s">
        <v>270</v>
      </c>
      <c r="E313" t="s">
        <v>271</v>
      </c>
      <c r="F313" t="s">
        <v>272</v>
      </c>
      <c r="G313" t="s">
        <v>273</v>
      </c>
      <c r="H313" s="139">
        <v>46157</v>
      </c>
      <c r="I313" t="s">
        <v>136</v>
      </c>
      <c r="J313" t="s">
        <v>161</v>
      </c>
      <c r="M313" t="s">
        <v>733</v>
      </c>
      <c r="N313" t="s">
        <v>211</v>
      </c>
      <c r="O313" t="s">
        <v>135</v>
      </c>
      <c r="P313" t="s">
        <v>108</v>
      </c>
      <c r="Q313" t="s">
        <v>109</v>
      </c>
      <c r="R313" t="s">
        <v>21</v>
      </c>
      <c r="S313" t="s">
        <v>149</v>
      </c>
      <c r="T313" t="s">
        <v>181</v>
      </c>
      <c r="U313" t="s">
        <v>737</v>
      </c>
      <c r="V313" t="s">
        <v>129</v>
      </c>
      <c r="W313" t="s">
        <v>130</v>
      </c>
      <c r="X313" t="s">
        <v>177</v>
      </c>
      <c r="Y313" t="s">
        <v>1040</v>
      </c>
      <c r="Z313">
        <v>1</v>
      </c>
      <c r="AA313" t="s">
        <v>1208</v>
      </c>
    </row>
    <row r="314" spans="1:27" ht="15" customHeight="1">
      <c r="A314">
        <v>119</v>
      </c>
      <c r="B314" s="139">
        <v>46178.833692129629</v>
      </c>
      <c r="C314" s="139">
        <v>46178.835416666669</v>
      </c>
      <c r="D314" t="s">
        <v>270</v>
      </c>
      <c r="E314" t="s">
        <v>271</v>
      </c>
      <c r="F314" t="s">
        <v>272</v>
      </c>
      <c r="G314" t="s">
        <v>273</v>
      </c>
      <c r="H314" s="139">
        <v>46157</v>
      </c>
      <c r="I314" t="s">
        <v>136</v>
      </c>
      <c r="J314" t="s">
        <v>161</v>
      </c>
      <c r="M314" t="s">
        <v>733</v>
      </c>
      <c r="N314" t="s">
        <v>211</v>
      </c>
      <c r="O314" t="s">
        <v>135</v>
      </c>
      <c r="P314" t="s">
        <v>108</v>
      </c>
      <c r="Q314" t="s">
        <v>109</v>
      </c>
      <c r="R314" t="s">
        <v>21</v>
      </c>
      <c r="S314" t="s">
        <v>149</v>
      </c>
      <c r="T314" t="s">
        <v>181</v>
      </c>
      <c r="U314" t="s">
        <v>737</v>
      </c>
      <c r="V314" t="s">
        <v>129</v>
      </c>
      <c r="W314" t="s">
        <v>130</v>
      </c>
      <c r="X314" t="s">
        <v>177</v>
      </c>
      <c r="Y314" t="s">
        <v>1042</v>
      </c>
      <c r="Z314">
        <v>1</v>
      </c>
      <c r="AA314" t="s">
        <v>1104</v>
      </c>
    </row>
    <row r="315" spans="1:27" ht="15" customHeight="1">
      <c r="A315">
        <v>119</v>
      </c>
      <c r="B315" s="139">
        <v>46178.833692129629</v>
      </c>
      <c r="C315" s="139">
        <v>46178.835416666669</v>
      </c>
      <c r="D315" t="s">
        <v>270</v>
      </c>
      <c r="E315" t="s">
        <v>271</v>
      </c>
      <c r="F315" t="s">
        <v>272</v>
      </c>
      <c r="G315" t="s">
        <v>273</v>
      </c>
      <c r="H315" s="139">
        <v>46157</v>
      </c>
      <c r="I315" t="s">
        <v>136</v>
      </c>
      <c r="J315" t="s">
        <v>161</v>
      </c>
      <c r="M315" t="s">
        <v>733</v>
      </c>
      <c r="N315" t="s">
        <v>211</v>
      </c>
      <c r="O315" t="s">
        <v>135</v>
      </c>
      <c r="P315" t="s">
        <v>108</v>
      </c>
      <c r="Q315" t="s">
        <v>109</v>
      </c>
      <c r="R315" t="s">
        <v>21</v>
      </c>
      <c r="S315" t="s">
        <v>149</v>
      </c>
      <c r="T315" t="s">
        <v>181</v>
      </c>
      <c r="U315" t="s">
        <v>737</v>
      </c>
      <c r="V315" t="s">
        <v>129</v>
      </c>
      <c r="W315" t="s">
        <v>130</v>
      </c>
      <c r="X315" t="s">
        <v>177</v>
      </c>
      <c r="Y315" t="s">
        <v>1044</v>
      </c>
      <c r="Z315">
        <v>1</v>
      </c>
      <c r="AA315" t="s">
        <v>1108</v>
      </c>
    </row>
    <row r="316" spans="1:27" ht="15" customHeight="1">
      <c r="A316">
        <v>143</v>
      </c>
      <c r="B316" s="139">
        <v>46184.490844907406</v>
      </c>
      <c r="C316" s="139">
        <v>46184.494120370371</v>
      </c>
      <c r="D316" t="s">
        <v>103</v>
      </c>
      <c r="E316" t="s">
        <v>104</v>
      </c>
      <c r="F316" t="s">
        <v>105</v>
      </c>
      <c r="G316" t="s">
        <v>106</v>
      </c>
      <c r="H316" s="139">
        <v>46157</v>
      </c>
      <c r="I316" t="s">
        <v>136</v>
      </c>
      <c r="J316" t="s">
        <v>174</v>
      </c>
      <c r="L316" t="s">
        <v>175</v>
      </c>
      <c r="N316" t="s">
        <v>176</v>
      </c>
      <c r="O316" t="s">
        <v>107</v>
      </c>
      <c r="P316" t="s">
        <v>108</v>
      </c>
      <c r="Q316" t="s">
        <v>109</v>
      </c>
      <c r="R316" t="s">
        <v>21</v>
      </c>
      <c r="S316" t="s">
        <v>143</v>
      </c>
      <c r="T316" t="s">
        <v>181</v>
      </c>
      <c r="V316" t="s">
        <v>151</v>
      </c>
      <c r="W316" t="s">
        <v>130</v>
      </c>
      <c r="X316" t="s">
        <v>177</v>
      </c>
      <c r="Y316" t="s">
        <v>1040</v>
      </c>
      <c r="Z316">
        <v>1</v>
      </c>
      <c r="AA316" t="s">
        <v>1100</v>
      </c>
    </row>
    <row r="317" spans="1:27" ht="15" customHeight="1">
      <c r="A317">
        <v>143</v>
      </c>
      <c r="B317" s="139">
        <v>46184.490844907406</v>
      </c>
      <c r="C317" s="139">
        <v>46184.494120370371</v>
      </c>
      <c r="D317" t="s">
        <v>103</v>
      </c>
      <c r="E317" t="s">
        <v>104</v>
      </c>
      <c r="F317" t="s">
        <v>105</v>
      </c>
      <c r="G317" t="s">
        <v>106</v>
      </c>
      <c r="H317" s="139">
        <v>46157</v>
      </c>
      <c r="I317" t="s">
        <v>136</v>
      </c>
      <c r="J317" t="s">
        <v>174</v>
      </c>
      <c r="L317" t="s">
        <v>175</v>
      </c>
      <c r="N317" t="s">
        <v>176</v>
      </c>
      <c r="O317" t="s">
        <v>107</v>
      </c>
      <c r="P317" t="s">
        <v>108</v>
      </c>
      <c r="Q317" t="s">
        <v>109</v>
      </c>
      <c r="R317" t="s">
        <v>21</v>
      </c>
      <c r="S317" t="s">
        <v>143</v>
      </c>
      <c r="T317" t="s">
        <v>181</v>
      </c>
      <c r="V317" t="s">
        <v>151</v>
      </c>
      <c r="W317" t="s">
        <v>130</v>
      </c>
      <c r="X317" t="s">
        <v>177</v>
      </c>
      <c r="Y317" t="s">
        <v>1040</v>
      </c>
      <c r="Z317">
        <v>2</v>
      </c>
      <c r="AA317" t="s">
        <v>1201</v>
      </c>
    </row>
    <row r="318" spans="1:27" ht="15" customHeight="1">
      <c r="A318">
        <v>143</v>
      </c>
      <c r="B318" s="139">
        <v>46184.490844907406</v>
      </c>
      <c r="C318" s="139">
        <v>46184.494120370371</v>
      </c>
      <c r="D318" t="s">
        <v>103</v>
      </c>
      <c r="E318" t="s">
        <v>104</v>
      </c>
      <c r="F318" t="s">
        <v>105</v>
      </c>
      <c r="G318" t="s">
        <v>106</v>
      </c>
      <c r="H318" s="139">
        <v>46157</v>
      </c>
      <c r="I318" t="s">
        <v>136</v>
      </c>
      <c r="J318" t="s">
        <v>174</v>
      </c>
      <c r="L318" t="s">
        <v>175</v>
      </c>
      <c r="N318" t="s">
        <v>176</v>
      </c>
      <c r="O318" t="s">
        <v>107</v>
      </c>
      <c r="P318" t="s">
        <v>108</v>
      </c>
      <c r="Q318" t="s">
        <v>109</v>
      </c>
      <c r="R318" t="s">
        <v>21</v>
      </c>
      <c r="S318" t="s">
        <v>143</v>
      </c>
      <c r="T318" t="s">
        <v>181</v>
      </c>
      <c r="V318" t="s">
        <v>151</v>
      </c>
      <c r="W318" t="s">
        <v>130</v>
      </c>
      <c r="X318" t="s">
        <v>177</v>
      </c>
      <c r="Y318" t="s">
        <v>1042</v>
      </c>
      <c r="Z318">
        <v>1</v>
      </c>
      <c r="AA318" t="s">
        <v>1104</v>
      </c>
    </row>
    <row r="319" spans="1:27" ht="15" customHeight="1">
      <c r="A319">
        <v>143</v>
      </c>
      <c r="B319" s="139">
        <v>46184.490844907406</v>
      </c>
      <c r="C319" s="139">
        <v>46184.494120370371</v>
      </c>
      <c r="D319" t="s">
        <v>103</v>
      </c>
      <c r="E319" t="s">
        <v>104</v>
      </c>
      <c r="F319" t="s">
        <v>105</v>
      </c>
      <c r="G319" t="s">
        <v>106</v>
      </c>
      <c r="H319" s="139">
        <v>46157</v>
      </c>
      <c r="I319" t="s">
        <v>136</v>
      </c>
      <c r="J319" t="s">
        <v>174</v>
      </c>
      <c r="L319" t="s">
        <v>175</v>
      </c>
      <c r="N319" t="s">
        <v>176</v>
      </c>
      <c r="O319" t="s">
        <v>107</v>
      </c>
      <c r="P319" t="s">
        <v>108</v>
      </c>
      <c r="Q319" t="s">
        <v>109</v>
      </c>
      <c r="R319" t="s">
        <v>21</v>
      </c>
      <c r="S319" t="s">
        <v>143</v>
      </c>
      <c r="T319" t="s">
        <v>181</v>
      </c>
      <c r="V319" t="s">
        <v>151</v>
      </c>
      <c r="W319" t="s">
        <v>130</v>
      </c>
      <c r="X319" t="s">
        <v>177</v>
      </c>
      <c r="Y319" t="s">
        <v>1042</v>
      </c>
      <c r="Z319">
        <v>2</v>
      </c>
      <c r="AA319" t="s">
        <v>1107</v>
      </c>
    </row>
    <row r="320" spans="1:27" ht="15" customHeight="1">
      <c r="A320">
        <v>143</v>
      </c>
      <c r="B320" s="139">
        <v>46184.490844907406</v>
      </c>
      <c r="C320" s="139">
        <v>46184.494120370371</v>
      </c>
      <c r="D320" t="s">
        <v>103</v>
      </c>
      <c r="E320" t="s">
        <v>104</v>
      </c>
      <c r="F320" t="s">
        <v>105</v>
      </c>
      <c r="G320" t="s">
        <v>106</v>
      </c>
      <c r="H320" s="139">
        <v>46157</v>
      </c>
      <c r="I320" t="s">
        <v>136</v>
      </c>
      <c r="J320" t="s">
        <v>174</v>
      </c>
      <c r="L320" t="s">
        <v>175</v>
      </c>
      <c r="N320" t="s">
        <v>176</v>
      </c>
      <c r="O320" t="s">
        <v>107</v>
      </c>
      <c r="P320" t="s">
        <v>108</v>
      </c>
      <c r="Q320" t="s">
        <v>109</v>
      </c>
      <c r="R320" t="s">
        <v>21</v>
      </c>
      <c r="S320" t="s">
        <v>143</v>
      </c>
      <c r="T320" t="s">
        <v>181</v>
      </c>
      <c r="V320" t="s">
        <v>151</v>
      </c>
      <c r="W320" t="s">
        <v>130</v>
      </c>
      <c r="X320" t="s">
        <v>177</v>
      </c>
      <c r="Y320" t="s">
        <v>1042</v>
      </c>
      <c r="Z320">
        <v>3</v>
      </c>
      <c r="AA320" t="s">
        <v>1105</v>
      </c>
    </row>
    <row r="321" spans="1:27" ht="15" customHeight="1">
      <c r="A321">
        <v>143</v>
      </c>
      <c r="B321" s="139">
        <v>46184.490844907406</v>
      </c>
      <c r="C321" s="139">
        <v>46184.494120370371</v>
      </c>
      <c r="D321" t="s">
        <v>103</v>
      </c>
      <c r="E321" t="s">
        <v>104</v>
      </c>
      <c r="F321" t="s">
        <v>105</v>
      </c>
      <c r="G321" t="s">
        <v>106</v>
      </c>
      <c r="H321" s="139">
        <v>46157</v>
      </c>
      <c r="I321" t="s">
        <v>136</v>
      </c>
      <c r="J321" t="s">
        <v>174</v>
      </c>
      <c r="L321" t="s">
        <v>175</v>
      </c>
      <c r="N321" t="s">
        <v>176</v>
      </c>
      <c r="O321" t="s">
        <v>107</v>
      </c>
      <c r="P321" t="s">
        <v>108</v>
      </c>
      <c r="Q321" t="s">
        <v>109</v>
      </c>
      <c r="R321" t="s">
        <v>21</v>
      </c>
      <c r="S321" t="s">
        <v>143</v>
      </c>
      <c r="T321" t="s">
        <v>181</v>
      </c>
      <c r="V321" t="s">
        <v>151</v>
      </c>
      <c r="W321" t="s">
        <v>130</v>
      </c>
      <c r="X321" t="s">
        <v>177</v>
      </c>
      <c r="Y321" t="s">
        <v>1042</v>
      </c>
      <c r="Z321">
        <v>4</v>
      </c>
      <c r="AA321" t="s">
        <v>1106</v>
      </c>
    </row>
    <row r="322" spans="1:27" ht="15" customHeight="1">
      <c r="A322">
        <v>143</v>
      </c>
      <c r="B322" s="139">
        <v>46184.490844907406</v>
      </c>
      <c r="C322" s="139">
        <v>46184.494120370371</v>
      </c>
      <c r="D322" t="s">
        <v>103</v>
      </c>
      <c r="E322" t="s">
        <v>104</v>
      </c>
      <c r="F322" t="s">
        <v>105</v>
      </c>
      <c r="G322" t="s">
        <v>106</v>
      </c>
      <c r="H322" s="139">
        <v>46157</v>
      </c>
      <c r="I322" t="s">
        <v>136</v>
      </c>
      <c r="J322" t="s">
        <v>174</v>
      </c>
      <c r="L322" t="s">
        <v>175</v>
      </c>
      <c r="N322" t="s">
        <v>176</v>
      </c>
      <c r="O322" t="s">
        <v>107</v>
      </c>
      <c r="P322" t="s">
        <v>108</v>
      </c>
      <c r="Q322" t="s">
        <v>109</v>
      </c>
      <c r="R322" t="s">
        <v>21</v>
      </c>
      <c r="S322" t="s">
        <v>143</v>
      </c>
      <c r="T322" t="s">
        <v>181</v>
      </c>
      <c r="V322" t="s">
        <v>151</v>
      </c>
      <c r="W322" t="s">
        <v>130</v>
      </c>
      <c r="X322" t="s">
        <v>177</v>
      </c>
      <c r="Y322" t="s">
        <v>1042</v>
      </c>
      <c r="Z322">
        <v>5</v>
      </c>
      <c r="AA322" t="s">
        <v>1155</v>
      </c>
    </row>
    <row r="323" spans="1:27" ht="15" customHeight="1">
      <c r="A323">
        <v>143</v>
      </c>
      <c r="B323" s="139">
        <v>46184.490844907406</v>
      </c>
      <c r="C323" s="139">
        <v>46184.494120370371</v>
      </c>
      <c r="D323" t="s">
        <v>103</v>
      </c>
      <c r="E323" t="s">
        <v>104</v>
      </c>
      <c r="F323" t="s">
        <v>105</v>
      </c>
      <c r="G323" t="s">
        <v>106</v>
      </c>
      <c r="H323" s="139">
        <v>46157</v>
      </c>
      <c r="I323" t="s">
        <v>136</v>
      </c>
      <c r="J323" t="s">
        <v>174</v>
      </c>
      <c r="L323" t="s">
        <v>175</v>
      </c>
      <c r="N323" t="s">
        <v>176</v>
      </c>
      <c r="O323" t="s">
        <v>107</v>
      </c>
      <c r="P323" t="s">
        <v>108</v>
      </c>
      <c r="Q323" t="s">
        <v>109</v>
      </c>
      <c r="R323" t="s">
        <v>21</v>
      </c>
      <c r="S323" t="s">
        <v>143</v>
      </c>
      <c r="T323" t="s">
        <v>181</v>
      </c>
      <c r="V323" t="s">
        <v>151</v>
      </c>
      <c r="W323" t="s">
        <v>130</v>
      </c>
      <c r="X323" t="s">
        <v>177</v>
      </c>
      <c r="Y323" t="s">
        <v>1042</v>
      </c>
      <c r="Z323">
        <v>6</v>
      </c>
      <c r="AA323" t="s">
        <v>1173</v>
      </c>
    </row>
    <row r="324" spans="1:27" ht="15" customHeight="1">
      <c r="A324">
        <v>143</v>
      </c>
      <c r="B324" s="139">
        <v>46184.490844907406</v>
      </c>
      <c r="C324" s="139">
        <v>46184.494120370371</v>
      </c>
      <c r="D324" t="s">
        <v>103</v>
      </c>
      <c r="E324" t="s">
        <v>104</v>
      </c>
      <c r="F324" t="s">
        <v>105</v>
      </c>
      <c r="G324" t="s">
        <v>106</v>
      </c>
      <c r="H324" s="139">
        <v>46157</v>
      </c>
      <c r="I324" t="s">
        <v>136</v>
      </c>
      <c r="J324" t="s">
        <v>174</v>
      </c>
      <c r="L324" t="s">
        <v>175</v>
      </c>
      <c r="N324" t="s">
        <v>176</v>
      </c>
      <c r="O324" t="s">
        <v>107</v>
      </c>
      <c r="P324" t="s">
        <v>108</v>
      </c>
      <c r="Q324" t="s">
        <v>109</v>
      </c>
      <c r="R324" t="s">
        <v>21</v>
      </c>
      <c r="S324" t="s">
        <v>143</v>
      </c>
      <c r="T324" t="s">
        <v>181</v>
      </c>
      <c r="V324" t="s">
        <v>151</v>
      </c>
      <c r="W324" t="s">
        <v>130</v>
      </c>
      <c r="X324" t="s">
        <v>177</v>
      </c>
      <c r="Y324" t="s">
        <v>1044</v>
      </c>
      <c r="Z324">
        <v>1</v>
      </c>
      <c r="AA324" t="s">
        <v>1108</v>
      </c>
    </row>
    <row r="325" spans="1:27" ht="15" customHeight="1">
      <c r="A325">
        <v>143</v>
      </c>
      <c r="B325" s="139">
        <v>46184.490844907406</v>
      </c>
      <c r="C325" s="139">
        <v>46184.494120370371</v>
      </c>
      <c r="D325" t="s">
        <v>103</v>
      </c>
      <c r="E325" t="s">
        <v>104</v>
      </c>
      <c r="F325" t="s">
        <v>105</v>
      </c>
      <c r="G325" t="s">
        <v>106</v>
      </c>
      <c r="H325" s="139">
        <v>46157</v>
      </c>
      <c r="I325" t="s">
        <v>136</v>
      </c>
      <c r="J325" t="s">
        <v>174</v>
      </c>
      <c r="L325" t="s">
        <v>175</v>
      </c>
      <c r="N325" t="s">
        <v>176</v>
      </c>
      <c r="O325" t="s">
        <v>107</v>
      </c>
      <c r="P325" t="s">
        <v>108</v>
      </c>
      <c r="Q325" t="s">
        <v>109</v>
      </c>
      <c r="R325" t="s">
        <v>21</v>
      </c>
      <c r="S325" t="s">
        <v>143</v>
      </c>
      <c r="T325" t="s">
        <v>181</v>
      </c>
      <c r="V325" t="s">
        <v>151</v>
      </c>
      <c r="W325" t="s">
        <v>130</v>
      </c>
      <c r="X325" t="s">
        <v>177</v>
      </c>
      <c r="Y325" t="s">
        <v>1044</v>
      </c>
      <c r="Z325">
        <v>2</v>
      </c>
      <c r="AA325" t="s">
        <v>1109</v>
      </c>
    </row>
    <row r="326" spans="1:27" ht="15" customHeight="1">
      <c r="A326">
        <v>143</v>
      </c>
      <c r="B326" s="139">
        <v>46184.490844907406</v>
      </c>
      <c r="C326" s="139">
        <v>46184.494120370371</v>
      </c>
      <c r="D326" t="s">
        <v>103</v>
      </c>
      <c r="E326" t="s">
        <v>104</v>
      </c>
      <c r="F326" t="s">
        <v>105</v>
      </c>
      <c r="G326" t="s">
        <v>106</v>
      </c>
      <c r="H326" s="139">
        <v>46157</v>
      </c>
      <c r="I326" t="s">
        <v>136</v>
      </c>
      <c r="J326" t="s">
        <v>174</v>
      </c>
      <c r="L326" t="s">
        <v>175</v>
      </c>
      <c r="N326" t="s">
        <v>176</v>
      </c>
      <c r="O326" t="s">
        <v>107</v>
      </c>
      <c r="P326" t="s">
        <v>108</v>
      </c>
      <c r="Q326" t="s">
        <v>109</v>
      </c>
      <c r="R326" t="s">
        <v>21</v>
      </c>
      <c r="S326" t="s">
        <v>143</v>
      </c>
      <c r="T326" t="s">
        <v>181</v>
      </c>
      <c r="V326" t="s">
        <v>151</v>
      </c>
      <c r="W326" t="s">
        <v>130</v>
      </c>
      <c r="X326" t="s">
        <v>177</v>
      </c>
      <c r="Y326" t="s">
        <v>1044</v>
      </c>
      <c r="Z326">
        <v>3</v>
      </c>
      <c r="AA326" t="s">
        <v>1174</v>
      </c>
    </row>
    <row r="327" spans="1:27" ht="15" customHeight="1">
      <c r="A327">
        <v>143</v>
      </c>
      <c r="B327" s="139">
        <v>46184.490844907406</v>
      </c>
      <c r="C327" s="139">
        <v>46184.494120370371</v>
      </c>
      <c r="D327" t="s">
        <v>103</v>
      </c>
      <c r="E327" t="s">
        <v>104</v>
      </c>
      <c r="F327" t="s">
        <v>105</v>
      </c>
      <c r="G327" t="s">
        <v>106</v>
      </c>
      <c r="H327" s="139">
        <v>46157</v>
      </c>
      <c r="I327" t="s">
        <v>136</v>
      </c>
      <c r="J327" t="s">
        <v>174</v>
      </c>
      <c r="L327" t="s">
        <v>175</v>
      </c>
      <c r="N327" t="s">
        <v>176</v>
      </c>
      <c r="O327" t="s">
        <v>107</v>
      </c>
      <c r="P327" t="s">
        <v>108</v>
      </c>
      <c r="Q327" t="s">
        <v>109</v>
      </c>
      <c r="R327" t="s">
        <v>21</v>
      </c>
      <c r="S327" t="s">
        <v>143</v>
      </c>
      <c r="T327" t="s">
        <v>181</v>
      </c>
      <c r="V327" t="s">
        <v>151</v>
      </c>
      <c r="W327" t="s">
        <v>130</v>
      </c>
      <c r="X327" t="s">
        <v>177</v>
      </c>
      <c r="Y327" t="s">
        <v>1044</v>
      </c>
      <c r="Z327">
        <v>4</v>
      </c>
      <c r="AA327" t="s">
        <v>909</v>
      </c>
    </row>
    <row r="328" spans="1:27" ht="15" customHeight="1">
      <c r="A328">
        <v>5</v>
      </c>
      <c r="B328" s="139">
        <v>46167.483923611107</v>
      </c>
      <c r="C328" s="139">
        <v>46167.497164351851</v>
      </c>
      <c r="D328" t="s">
        <v>152</v>
      </c>
      <c r="E328" t="s">
        <v>153</v>
      </c>
      <c r="F328" t="s">
        <v>153</v>
      </c>
      <c r="G328" t="s">
        <v>154</v>
      </c>
      <c r="H328" s="139">
        <v>46160</v>
      </c>
      <c r="I328" t="s">
        <v>136</v>
      </c>
      <c r="M328" t="s">
        <v>155</v>
      </c>
      <c r="N328" t="s">
        <v>156</v>
      </c>
      <c r="O328" t="s">
        <v>107</v>
      </c>
      <c r="P328" t="s">
        <v>108</v>
      </c>
      <c r="Q328" t="s">
        <v>109</v>
      </c>
      <c r="R328" t="s">
        <v>22</v>
      </c>
      <c r="S328" t="s">
        <v>149</v>
      </c>
      <c r="T328" t="s">
        <v>144</v>
      </c>
      <c r="V328" t="s">
        <v>129</v>
      </c>
      <c r="W328" t="s">
        <v>130</v>
      </c>
      <c r="X328" t="s">
        <v>124</v>
      </c>
      <c r="Y328" t="s">
        <v>1040</v>
      </c>
      <c r="Z328">
        <v>1</v>
      </c>
      <c r="AA328" t="s">
        <v>1209</v>
      </c>
    </row>
    <row r="329" spans="1:27" ht="15" customHeight="1">
      <c r="A329">
        <v>5</v>
      </c>
      <c r="B329" s="139">
        <v>46167.483923611107</v>
      </c>
      <c r="C329" s="139">
        <v>46167.497164351851</v>
      </c>
      <c r="D329" t="s">
        <v>152</v>
      </c>
      <c r="E329" t="s">
        <v>153</v>
      </c>
      <c r="F329" t="s">
        <v>153</v>
      </c>
      <c r="G329" t="s">
        <v>154</v>
      </c>
      <c r="H329" s="139">
        <v>46160</v>
      </c>
      <c r="I329" t="s">
        <v>136</v>
      </c>
      <c r="M329" t="s">
        <v>155</v>
      </c>
      <c r="N329" t="s">
        <v>156</v>
      </c>
      <c r="O329" t="s">
        <v>107</v>
      </c>
      <c r="P329" t="s">
        <v>108</v>
      </c>
      <c r="Q329" t="s">
        <v>109</v>
      </c>
      <c r="R329" t="s">
        <v>22</v>
      </c>
      <c r="S329" t="s">
        <v>149</v>
      </c>
      <c r="T329" t="s">
        <v>144</v>
      </c>
      <c r="V329" t="s">
        <v>129</v>
      </c>
      <c r="W329" t="s">
        <v>130</v>
      </c>
      <c r="X329" t="s">
        <v>124</v>
      </c>
      <c r="Y329" t="s">
        <v>1042</v>
      </c>
      <c r="Z329">
        <v>1</v>
      </c>
      <c r="AA329" t="s">
        <v>1210</v>
      </c>
    </row>
    <row r="330" spans="1:27" ht="15" customHeight="1">
      <c r="A330">
        <v>5</v>
      </c>
      <c r="B330" s="139">
        <v>46167.483923611107</v>
      </c>
      <c r="C330" s="139">
        <v>46167.497164351851</v>
      </c>
      <c r="D330" t="s">
        <v>152</v>
      </c>
      <c r="E330" t="s">
        <v>153</v>
      </c>
      <c r="F330" t="s">
        <v>153</v>
      </c>
      <c r="G330" t="s">
        <v>154</v>
      </c>
      <c r="H330" s="139">
        <v>46160</v>
      </c>
      <c r="I330" t="s">
        <v>136</v>
      </c>
      <c r="M330" t="s">
        <v>155</v>
      </c>
      <c r="N330" t="s">
        <v>156</v>
      </c>
      <c r="O330" t="s">
        <v>107</v>
      </c>
      <c r="P330" t="s">
        <v>108</v>
      </c>
      <c r="Q330" t="s">
        <v>109</v>
      </c>
      <c r="R330" t="s">
        <v>22</v>
      </c>
      <c r="S330" t="s">
        <v>149</v>
      </c>
      <c r="T330" t="s">
        <v>144</v>
      </c>
      <c r="V330" t="s">
        <v>129</v>
      </c>
      <c r="W330" t="s">
        <v>130</v>
      </c>
      <c r="X330" t="s">
        <v>124</v>
      </c>
      <c r="Y330" t="s">
        <v>1044</v>
      </c>
      <c r="Z330">
        <v>1</v>
      </c>
      <c r="AA330" t="s">
        <v>1211</v>
      </c>
    </row>
    <row r="331" spans="1:27" ht="15" customHeight="1">
      <c r="A331">
        <v>24</v>
      </c>
      <c r="B331" s="139">
        <v>46168.444918981477</v>
      </c>
      <c r="C331" s="139">
        <v>46168.447314814817</v>
      </c>
      <c r="D331" t="s">
        <v>270</v>
      </c>
      <c r="E331" t="s">
        <v>271</v>
      </c>
      <c r="F331" t="s">
        <v>272</v>
      </c>
      <c r="G331" t="s">
        <v>273</v>
      </c>
      <c r="H331" s="139">
        <v>46160</v>
      </c>
      <c r="I331" t="s">
        <v>136</v>
      </c>
      <c r="J331" t="s">
        <v>161</v>
      </c>
      <c r="M331" t="s">
        <v>274</v>
      </c>
      <c r="N331" t="s">
        <v>275</v>
      </c>
      <c r="O331" t="s">
        <v>135</v>
      </c>
      <c r="P331" t="s">
        <v>108</v>
      </c>
      <c r="Q331" t="s">
        <v>109</v>
      </c>
      <c r="R331" t="s">
        <v>22</v>
      </c>
      <c r="S331" t="s">
        <v>149</v>
      </c>
      <c r="T331" t="s">
        <v>181</v>
      </c>
      <c r="U331" t="s">
        <v>283</v>
      </c>
      <c r="V331" t="s">
        <v>129</v>
      </c>
      <c r="W331" t="s">
        <v>130</v>
      </c>
      <c r="X331" t="s">
        <v>199</v>
      </c>
      <c r="Y331" t="s">
        <v>1040</v>
      </c>
      <c r="Z331">
        <v>1</v>
      </c>
      <c r="AA331" t="s">
        <v>1203</v>
      </c>
    </row>
    <row r="332" spans="1:27" ht="15" customHeight="1">
      <c r="A332">
        <v>24</v>
      </c>
      <c r="B332" s="139">
        <v>46168.444918981477</v>
      </c>
      <c r="C332" s="139">
        <v>46168.447314814817</v>
      </c>
      <c r="D332" t="s">
        <v>270</v>
      </c>
      <c r="E332" t="s">
        <v>271</v>
      </c>
      <c r="F332" t="s">
        <v>272</v>
      </c>
      <c r="G332" t="s">
        <v>273</v>
      </c>
      <c r="H332" s="139">
        <v>46160</v>
      </c>
      <c r="I332" t="s">
        <v>136</v>
      </c>
      <c r="J332" t="s">
        <v>161</v>
      </c>
      <c r="M332" t="s">
        <v>274</v>
      </c>
      <c r="N332" t="s">
        <v>275</v>
      </c>
      <c r="O332" t="s">
        <v>135</v>
      </c>
      <c r="P332" t="s">
        <v>108</v>
      </c>
      <c r="Q332" t="s">
        <v>109</v>
      </c>
      <c r="R332" t="s">
        <v>22</v>
      </c>
      <c r="S332" t="s">
        <v>149</v>
      </c>
      <c r="T332" t="s">
        <v>181</v>
      </c>
      <c r="U332" t="s">
        <v>283</v>
      </c>
      <c r="V332" t="s">
        <v>129</v>
      </c>
      <c r="W332" t="s">
        <v>130</v>
      </c>
      <c r="X332" t="s">
        <v>199</v>
      </c>
      <c r="Y332" t="s">
        <v>1040</v>
      </c>
      <c r="Z332">
        <v>2</v>
      </c>
      <c r="AA332" t="s">
        <v>1088</v>
      </c>
    </row>
    <row r="333" spans="1:27" ht="15" customHeight="1">
      <c r="A333">
        <v>24</v>
      </c>
      <c r="B333" s="139">
        <v>46168.444918981477</v>
      </c>
      <c r="C333" s="139">
        <v>46168.447314814817</v>
      </c>
      <c r="D333" t="s">
        <v>270</v>
      </c>
      <c r="E333" t="s">
        <v>271</v>
      </c>
      <c r="F333" t="s">
        <v>272</v>
      </c>
      <c r="G333" t="s">
        <v>273</v>
      </c>
      <c r="H333" s="139">
        <v>46160</v>
      </c>
      <c r="I333" t="s">
        <v>136</v>
      </c>
      <c r="J333" t="s">
        <v>161</v>
      </c>
      <c r="M333" t="s">
        <v>274</v>
      </c>
      <c r="N333" t="s">
        <v>275</v>
      </c>
      <c r="O333" t="s">
        <v>135</v>
      </c>
      <c r="P333" t="s">
        <v>108</v>
      </c>
      <c r="Q333" t="s">
        <v>109</v>
      </c>
      <c r="R333" t="s">
        <v>22</v>
      </c>
      <c r="S333" t="s">
        <v>149</v>
      </c>
      <c r="T333" t="s">
        <v>181</v>
      </c>
      <c r="U333" t="s">
        <v>283</v>
      </c>
      <c r="V333" t="s">
        <v>129</v>
      </c>
      <c r="W333" t="s">
        <v>130</v>
      </c>
      <c r="X333" t="s">
        <v>199</v>
      </c>
      <c r="Y333" t="s">
        <v>1042</v>
      </c>
      <c r="Z333">
        <v>1</v>
      </c>
      <c r="AA333" t="s">
        <v>1204</v>
      </c>
    </row>
    <row r="334" spans="1:27" ht="15" customHeight="1">
      <c r="A334">
        <v>24</v>
      </c>
      <c r="B334" s="139">
        <v>46168.444918981477</v>
      </c>
      <c r="C334" s="139">
        <v>46168.447314814817</v>
      </c>
      <c r="D334" t="s">
        <v>270</v>
      </c>
      <c r="E334" t="s">
        <v>271</v>
      </c>
      <c r="F334" t="s">
        <v>272</v>
      </c>
      <c r="G334" t="s">
        <v>273</v>
      </c>
      <c r="H334" s="139">
        <v>46160</v>
      </c>
      <c r="I334" t="s">
        <v>136</v>
      </c>
      <c r="J334" t="s">
        <v>161</v>
      </c>
      <c r="M334" t="s">
        <v>274</v>
      </c>
      <c r="N334" t="s">
        <v>275</v>
      </c>
      <c r="O334" t="s">
        <v>135</v>
      </c>
      <c r="P334" t="s">
        <v>108</v>
      </c>
      <c r="Q334" t="s">
        <v>109</v>
      </c>
      <c r="R334" t="s">
        <v>22</v>
      </c>
      <c r="S334" t="s">
        <v>149</v>
      </c>
      <c r="T334" t="s">
        <v>181</v>
      </c>
      <c r="U334" t="s">
        <v>283</v>
      </c>
      <c r="V334" t="s">
        <v>129</v>
      </c>
      <c r="W334" t="s">
        <v>130</v>
      </c>
      <c r="X334" t="s">
        <v>199</v>
      </c>
      <c r="Y334" t="s">
        <v>1044</v>
      </c>
      <c r="Z334">
        <v>1</v>
      </c>
      <c r="AA334" t="s">
        <v>1121</v>
      </c>
    </row>
    <row r="335" spans="1:27" ht="15" customHeight="1">
      <c r="A335">
        <v>24</v>
      </c>
      <c r="B335" s="139">
        <v>46168.444918981477</v>
      </c>
      <c r="C335" s="139">
        <v>46168.447314814817</v>
      </c>
      <c r="D335" t="s">
        <v>270</v>
      </c>
      <c r="E335" t="s">
        <v>271</v>
      </c>
      <c r="F335" t="s">
        <v>272</v>
      </c>
      <c r="G335" t="s">
        <v>273</v>
      </c>
      <c r="H335" s="139">
        <v>46160</v>
      </c>
      <c r="I335" t="s">
        <v>136</v>
      </c>
      <c r="J335" t="s">
        <v>161</v>
      </c>
      <c r="M335" t="s">
        <v>274</v>
      </c>
      <c r="N335" t="s">
        <v>275</v>
      </c>
      <c r="O335" t="s">
        <v>135</v>
      </c>
      <c r="P335" t="s">
        <v>108</v>
      </c>
      <c r="Q335" t="s">
        <v>109</v>
      </c>
      <c r="R335" t="s">
        <v>22</v>
      </c>
      <c r="S335" t="s">
        <v>149</v>
      </c>
      <c r="T335" t="s">
        <v>181</v>
      </c>
      <c r="U335" t="s">
        <v>283</v>
      </c>
      <c r="V335" t="s">
        <v>129</v>
      </c>
      <c r="W335" t="s">
        <v>130</v>
      </c>
      <c r="X335" t="s">
        <v>199</v>
      </c>
      <c r="Y335" t="s">
        <v>1044</v>
      </c>
      <c r="Z335">
        <v>2</v>
      </c>
      <c r="AA335" t="s">
        <v>1122</v>
      </c>
    </row>
    <row r="336" spans="1:27" ht="15" customHeight="1">
      <c r="A336">
        <v>132</v>
      </c>
      <c r="B336" s="139">
        <v>46181.439270833333</v>
      </c>
      <c r="C336" s="139">
        <v>46181.445775462962</v>
      </c>
      <c r="D336" t="s">
        <v>351</v>
      </c>
      <c r="E336" t="s">
        <v>352</v>
      </c>
      <c r="F336" t="s">
        <v>353</v>
      </c>
      <c r="G336" t="s">
        <v>354</v>
      </c>
      <c r="H336" s="139">
        <v>46160</v>
      </c>
      <c r="I336" t="s">
        <v>136</v>
      </c>
      <c r="J336" t="s">
        <v>187</v>
      </c>
      <c r="K336" t="s">
        <v>793</v>
      </c>
      <c r="N336" t="s">
        <v>794</v>
      </c>
      <c r="O336" t="s">
        <v>436</v>
      </c>
      <c r="P336" t="s">
        <v>108</v>
      </c>
      <c r="Q336" t="s">
        <v>123</v>
      </c>
      <c r="R336" t="s">
        <v>23</v>
      </c>
      <c r="S336" t="s">
        <v>149</v>
      </c>
      <c r="T336" t="s">
        <v>181</v>
      </c>
      <c r="U336" t="s">
        <v>796</v>
      </c>
      <c r="V336" t="s">
        <v>129</v>
      </c>
      <c r="W336" t="s">
        <v>130</v>
      </c>
      <c r="X336" t="s">
        <v>252</v>
      </c>
      <c r="Y336" t="s">
        <v>1039</v>
      </c>
      <c r="Z336">
        <v>1</v>
      </c>
      <c r="AA336" t="s">
        <v>1212</v>
      </c>
    </row>
    <row r="337" spans="1:27" ht="15" customHeight="1">
      <c r="A337">
        <v>150</v>
      </c>
      <c r="B337" s="139">
        <v>46185.819120370368</v>
      </c>
      <c r="C337" s="139">
        <v>46185.821446759262</v>
      </c>
      <c r="D337" t="s">
        <v>170</v>
      </c>
      <c r="E337" t="s">
        <v>171</v>
      </c>
      <c r="F337" t="s">
        <v>171</v>
      </c>
      <c r="G337" t="s">
        <v>172</v>
      </c>
      <c r="H337" s="139">
        <v>46160</v>
      </c>
      <c r="I337" t="s">
        <v>136</v>
      </c>
      <c r="J337" t="s">
        <v>187</v>
      </c>
      <c r="K337" t="s">
        <v>188</v>
      </c>
      <c r="N337" t="s">
        <v>868</v>
      </c>
      <c r="O337" t="s">
        <v>173</v>
      </c>
      <c r="P337" t="s">
        <v>108</v>
      </c>
      <c r="Q337" t="s">
        <v>123</v>
      </c>
      <c r="R337" t="s">
        <v>24</v>
      </c>
      <c r="S337" t="s">
        <v>143</v>
      </c>
      <c r="T337" t="s">
        <v>181</v>
      </c>
      <c r="V337" t="s">
        <v>151</v>
      </c>
      <c r="W337" t="s">
        <v>130</v>
      </c>
      <c r="X337" t="s">
        <v>190</v>
      </c>
      <c r="Y337" t="s">
        <v>1040</v>
      </c>
      <c r="Z337">
        <v>1</v>
      </c>
      <c r="AA337" t="s">
        <v>1213</v>
      </c>
    </row>
    <row r="338" spans="1:27" ht="15" customHeight="1">
      <c r="A338">
        <v>150</v>
      </c>
      <c r="B338" s="139">
        <v>46185.819120370368</v>
      </c>
      <c r="C338" s="139">
        <v>46185.821446759262</v>
      </c>
      <c r="D338" t="s">
        <v>170</v>
      </c>
      <c r="E338" t="s">
        <v>171</v>
      </c>
      <c r="F338" t="s">
        <v>171</v>
      </c>
      <c r="G338" t="s">
        <v>172</v>
      </c>
      <c r="H338" s="139">
        <v>46160</v>
      </c>
      <c r="I338" t="s">
        <v>136</v>
      </c>
      <c r="J338" t="s">
        <v>187</v>
      </c>
      <c r="K338" t="s">
        <v>188</v>
      </c>
      <c r="N338" t="s">
        <v>868</v>
      </c>
      <c r="O338" t="s">
        <v>173</v>
      </c>
      <c r="P338" t="s">
        <v>108</v>
      </c>
      <c r="Q338" t="s">
        <v>123</v>
      </c>
      <c r="R338" t="s">
        <v>24</v>
      </c>
      <c r="S338" t="s">
        <v>143</v>
      </c>
      <c r="T338" t="s">
        <v>181</v>
      </c>
      <c r="V338" t="s">
        <v>151</v>
      </c>
      <c r="W338" t="s">
        <v>130</v>
      </c>
      <c r="X338" t="s">
        <v>190</v>
      </c>
      <c r="Y338" t="s">
        <v>1042</v>
      </c>
      <c r="Z338">
        <v>1</v>
      </c>
      <c r="AA338" t="s">
        <v>1214</v>
      </c>
    </row>
    <row r="339" spans="1:27" ht="15" customHeight="1">
      <c r="A339">
        <v>150</v>
      </c>
      <c r="B339" s="139">
        <v>46185.819120370368</v>
      </c>
      <c r="C339" s="139">
        <v>46185.821446759262</v>
      </c>
      <c r="D339" t="s">
        <v>170</v>
      </c>
      <c r="E339" t="s">
        <v>171</v>
      </c>
      <c r="F339" t="s">
        <v>171</v>
      </c>
      <c r="G339" t="s">
        <v>172</v>
      </c>
      <c r="H339" s="139">
        <v>46160</v>
      </c>
      <c r="I339" t="s">
        <v>136</v>
      </c>
      <c r="J339" t="s">
        <v>187</v>
      </c>
      <c r="K339" t="s">
        <v>188</v>
      </c>
      <c r="N339" t="s">
        <v>868</v>
      </c>
      <c r="O339" t="s">
        <v>173</v>
      </c>
      <c r="P339" t="s">
        <v>108</v>
      </c>
      <c r="Q339" t="s">
        <v>123</v>
      </c>
      <c r="R339" t="s">
        <v>24</v>
      </c>
      <c r="S339" t="s">
        <v>143</v>
      </c>
      <c r="T339" t="s">
        <v>181</v>
      </c>
      <c r="V339" t="s">
        <v>151</v>
      </c>
      <c r="W339" t="s">
        <v>130</v>
      </c>
      <c r="X339" t="s">
        <v>190</v>
      </c>
      <c r="Y339" t="s">
        <v>1044</v>
      </c>
      <c r="Z339">
        <v>1</v>
      </c>
      <c r="AA339" t="s">
        <v>1064</v>
      </c>
    </row>
    <row r="340" spans="1:27" ht="15" customHeight="1">
      <c r="A340">
        <v>158</v>
      </c>
      <c r="B340" s="139">
        <v>46189.451203703713</v>
      </c>
      <c r="C340" s="139">
        <v>46189.454861111109</v>
      </c>
      <c r="D340" t="s">
        <v>887</v>
      </c>
      <c r="E340" t="s">
        <v>888</v>
      </c>
      <c r="F340" t="s">
        <v>894</v>
      </c>
      <c r="G340" t="s">
        <v>890</v>
      </c>
      <c r="H340" s="139">
        <v>46160</v>
      </c>
      <c r="I340" t="s">
        <v>498</v>
      </c>
      <c r="J340" t="s">
        <v>161</v>
      </c>
      <c r="M340" t="s">
        <v>895</v>
      </c>
      <c r="O340" t="s">
        <v>107</v>
      </c>
      <c r="P340" t="s">
        <v>108</v>
      </c>
      <c r="Q340" t="s">
        <v>109</v>
      </c>
      <c r="R340" t="s">
        <v>21</v>
      </c>
      <c r="S340" t="s">
        <v>143</v>
      </c>
      <c r="T340" t="s">
        <v>233</v>
      </c>
      <c r="U340" t="s">
        <v>898</v>
      </c>
      <c r="V340" t="s">
        <v>116</v>
      </c>
      <c r="W340" t="s">
        <v>169</v>
      </c>
      <c r="X340" t="s">
        <v>177</v>
      </c>
      <c r="Y340" t="s">
        <v>1040</v>
      </c>
      <c r="Z340">
        <v>1</v>
      </c>
      <c r="AA340" t="s">
        <v>1215</v>
      </c>
    </row>
    <row r="341" spans="1:27" ht="15" customHeight="1">
      <c r="A341">
        <v>158</v>
      </c>
      <c r="B341" s="139">
        <v>46189.451203703713</v>
      </c>
      <c r="C341" s="139">
        <v>46189.454861111109</v>
      </c>
      <c r="D341" t="s">
        <v>887</v>
      </c>
      <c r="E341" t="s">
        <v>888</v>
      </c>
      <c r="F341" t="s">
        <v>894</v>
      </c>
      <c r="G341" t="s">
        <v>890</v>
      </c>
      <c r="H341" s="139">
        <v>46160</v>
      </c>
      <c r="I341" t="s">
        <v>498</v>
      </c>
      <c r="J341" t="s">
        <v>161</v>
      </c>
      <c r="M341" t="s">
        <v>895</v>
      </c>
      <c r="O341" t="s">
        <v>107</v>
      </c>
      <c r="P341" t="s">
        <v>108</v>
      </c>
      <c r="Q341" t="s">
        <v>109</v>
      </c>
      <c r="R341" t="s">
        <v>21</v>
      </c>
      <c r="S341" t="s">
        <v>143</v>
      </c>
      <c r="T341" t="s">
        <v>233</v>
      </c>
      <c r="U341" t="s">
        <v>898</v>
      </c>
      <c r="V341" t="s">
        <v>116</v>
      </c>
      <c r="W341" t="s">
        <v>169</v>
      </c>
      <c r="X341" t="s">
        <v>177</v>
      </c>
      <c r="Y341" t="s">
        <v>1042</v>
      </c>
      <c r="Z341">
        <v>1</v>
      </c>
      <c r="AA341" t="s">
        <v>1105</v>
      </c>
    </row>
    <row r="342" spans="1:27" ht="15" customHeight="1">
      <c r="A342">
        <v>158</v>
      </c>
      <c r="B342" s="139">
        <v>46189.451203703713</v>
      </c>
      <c r="C342" s="139">
        <v>46189.454861111109</v>
      </c>
      <c r="D342" t="s">
        <v>887</v>
      </c>
      <c r="E342" t="s">
        <v>888</v>
      </c>
      <c r="F342" t="s">
        <v>894</v>
      </c>
      <c r="G342" t="s">
        <v>890</v>
      </c>
      <c r="H342" s="139">
        <v>46160</v>
      </c>
      <c r="I342" t="s">
        <v>498</v>
      </c>
      <c r="J342" t="s">
        <v>161</v>
      </c>
      <c r="M342" t="s">
        <v>895</v>
      </c>
      <c r="O342" t="s">
        <v>107</v>
      </c>
      <c r="P342" t="s">
        <v>108</v>
      </c>
      <c r="Q342" t="s">
        <v>109</v>
      </c>
      <c r="R342" t="s">
        <v>21</v>
      </c>
      <c r="S342" t="s">
        <v>143</v>
      </c>
      <c r="T342" t="s">
        <v>233</v>
      </c>
      <c r="U342" t="s">
        <v>898</v>
      </c>
      <c r="V342" t="s">
        <v>116</v>
      </c>
      <c r="W342" t="s">
        <v>169</v>
      </c>
      <c r="X342" t="s">
        <v>177</v>
      </c>
      <c r="Y342" t="s">
        <v>1042</v>
      </c>
      <c r="Z342">
        <v>2</v>
      </c>
      <c r="AA342" t="s">
        <v>1104</v>
      </c>
    </row>
    <row r="343" spans="1:27" ht="15" customHeight="1">
      <c r="A343">
        <v>158</v>
      </c>
      <c r="B343" s="139">
        <v>46189.451203703713</v>
      </c>
      <c r="C343" s="139">
        <v>46189.454861111109</v>
      </c>
      <c r="D343" t="s">
        <v>887</v>
      </c>
      <c r="E343" t="s">
        <v>888</v>
      </c>
      <c r="F343" t="s">
        <v>894</v>
      </c>
      <c r="G343" t="s">
        <v>890</v>
      </c>
      <c r="H343" s="139">
        <v>46160</v>
      </c>
      <c r="I343" t="s">
        <v>498</v>
      </c>
      <c r="J343" t="s">
        <v>161</v>
      </c>
      <c r="M343" t="s">
        <v>895</v>
      </c>
      <c r="O343" t="s">
        <v>107</v>
      </c>
      <c r="P343" t="s">
        <v>108</v>
      </c>
      <c r="Q343" t="s">
        <v>109</v>
      </c>
      <c r="R343" t="s">
        <v>21</v>
      </c>
      <c r="S343" t="s">
        <v>143</v>
      </c>
      <c r="T343" t="s">
        <v>233</v>
      </c>
      <c r="U343" t="s">
        <v>898</v>
      </c>
      <c r="V343" t="s">
        <v>116</v>
      </c>
      <c r="W343" t="s">
        <v>169</v>
      </c>
      <c r="X343" t="s">
        <v>177</v>
      </c>
      <c r="Y343" t="s">
        <v>1042</v>
      </c>
      <c r="Z343">
        <v>3</v>
      </c>
      <c r="AA343" t="s">
        <v>1107</v>
      </c>
    </row>
    <row r="344" spans="1:27" ht="15" customHeight="1">
      <c r="A344">
        <v>158</v>
      </c>
      <c r="B344" s="139">
        <v>46189.451203703713</v>
      </c>
      <c r="C344" s="139">
        <v>46189.454861111109</v>
      </c>
      <c r="D344" t="s">
        <v>887</v>
      </c>
      <c r="E344" t="s">
        <v>888</v>
      </c>
      <c r="F344" t="s">
        <v>894</v>
      </c>
      <c r="G344" t="s">
        <v>890</v>
      </c>
      <c r="H344" s="139">
        <v>46160</v>
      </c>
      <c r="I344" t="s">
        <v>498</v>
      </c>
      <c r="J344" t="s">
        <v>161</v>
      </c>
      <c r="M344" t="s">
        <v>895</v>
      </c>
      <c r="O344" t="s">
        <v>107</v>
      </c>
      <c r="P344" t="s">
        <v>108</v>
      </c>
      <c r="Q344" t="s">
        <v>109</v>
      </c>
      <c r="R344" t="s">
        <v>21</v>
      </c>
      <c r="S344" t="s">
        <v>143</v>
      </c>
      <c r="T344" t="s">
        <v>233</v>
      </c>
      <c r="U344" t="s">
        <v>898</v>
      </c>
      <c r="V344" t="s">
        <v>116</v>
      </c>
      <c r="W344" t="s">
        <v>169</v>
      </c>
      <c r="X344" t="s">
        <v>177</v>
      </c>
      <c r="Y344" t="s">
        <v>1044</v>
      </c>
      <c r="Z344">
        <v>1</v>
      </c>
      <c r="AA344" t="s">
        <v>1108</v>
      </c>
    </row>
    <row r="345" spans="1:27" ht="15" customHeight="1">
      <c r="A345">
        <v>25</v>
      </c>
      <c r="B345" s="139">
        <v>46168.44736111111</v>
      </c>
      <c r="C345" s="139">
        <v>46168.448657407411</v>
      </c>
      <c r="D345" t="s">
        <v>270</v>
      </c>
      <c r="E345" t="s">
        <v>271</v>
      </c>
      <c r="F345" t="s">
        <v>271</v>
      </c>
      <c r="G345" t="s">
        <v>273</v>
      </c>
      <c r="H345" s="139">
        <v>46161</v>
      </c>
      <c r="I345" t="s">
        <v>136</v>
      </c>
      <c r="J345" t="s">
        <v>161</v>
      </c>
      <c r="M345" t="s">
        <v>274</v>
      </c>
      <c r="N345" t="s">
        <v>275</v>
      </c>
      <c r="O345" t="s">
        <v>135</v>
      </c>
      <c r="P345" t="s">
        <v>108</v>
      </c>
      <c r="Q345" t="s">
        <v>109</v>
      </c>
      <c r="R345" t="s">
        <v>22</v>
      </c>
      <c r="S345" t="s">
        <v>149</v>
      </c>
      <c r="T345" t="s">
        <v>181</v>
      </c>
      <c r="U345" t="s">
        <v>283</v>
      </c>
      <c r="V345" t="s">
        <v>129</v>
      </c>
      <c r="W345" t="s">
        <v>130</v>
      </c>
      <c r="X345" t="s">
        <v>199</v>
      </c>
      <c r="Y345" t="s">
        <v>1040</v>
      </c>
      <c r="Z345">
        <v>1</v>
      </c>
      <c r="AA345" t="s">
        <v>1203</v>
      </c>
    </row>
    <row r="346" spans="1:27" ht="15" customHeight="1">
      <c r="A346">
        <v>25</v>
      </c>
      <c r="B346" s="139">
        <v>46168.44736111111</v>
      </c>
      <c r="C346" s="139">
        <v>46168.448657407411</v>
      </c>
      <c r="D346" t="s">
        <v>270</v>
      </c>
      <c r="E346" t="s">
        <v>271</v>
      </c>
      <c r="F346" t="s">
        <v>271</v>
      </c>
      <c r="G346" t="s">
        <v>273</v>
      </c>
      <c r="H346" s="139">
        <v>46161</v>
      </c>
      <c r="I346" t="s">
        <v>136</v>
      </c>
      <c r="J346" t="s">
        <v>161</v>
      </c>
      <c r="M346" t="s">
        <v>274</v>
      </c>
      <c r="N346" t="s">
        <v>275</v>
      </c>
      <c r="O346" t="s">
        <v>135</v>
      </c>
      <c r="P346" t="s">
        <v>108</v>
      </c>
      <c r="Q346" t="s">
        <v>109</v>
      </c>
      <c r="R346" t="s">
        <v>22</v>
      </c>
      <c r="S346" t="s">
        <v>149</v>
      </c>
      <c r="T346" t="s">
        <v>181</v>
      </c>
      <c r="U346" t="s">
        <v>283</v>
      </c>
      <c r="V346" t="s">
        <v>129</v>
      </c>
      <c r="W346" t="s">
        <v>130</v>
      </c>
      <c r="X346" t="s">
        <v>199</v>
      </c>
      <c r="Y346" t="s">
        <v>1042</v>
      </c>
      <c r="Z346">
        <v>1</v>
      </c>
      <c r="AA346" t="s">
        <v>1204</v>
      </c>
    </row>
    <row r="347" spans="1:27" ht="15" customHeight="1">
      <c r="A347">
        <v>25</v>
      </c>
      <c r="B347" s="139">
        <v>46168.44736111111</v>
      </c>
      <c r="C347" s="139">
        <v>46168.448657407411</v>
      </c>
      <c r="D347" t="s">
        <v>270</v>
      </c>
      <c r="E347" t="s">
        <v>271</v>
      </c>
      <c r="F347" t="s">
        <v>271</v>
      </c>
      <c r="G347" t="s">
        <v>273</v>
      </c>
      <c r="H347" s="139">
        <v>46161</v>
      </c>
      <c r="I347" t="s">
        <v>136</v>
      </c>
      <c r="J347" t="s">
        <v>161</v>
      </c>
      <c r="M347" t="s">
        <v>274</v>
      </c>
      <c r="N347" t="s">
        <v>275</v>
      </c>
      <c r="O347" t="s">
        <v>135</v>
      </c>
      <c r="P347" t="s">
        <v>108</v>
      </c>
      <c r="Q347" t="s">
        <v>109</v>
      </c>
      <c r="R347" t="s">
        <v>22</v>
      </c>
      <c r="S347" t="s">
        <v>149</v>
      </c>
      <c r="T347" t="s">
        <v>181</v>
      </c>
      <c r="U347" t="s">
        <v>283</v>
      </c>
      <c r="V347" t="s">
        <v>129</v>
      </c>
      <c r="W347" t="s">
        <v>130</v>
      </c>
      <c r="X347" t="s">
        <v>199</v>
      </c>
      <c r="Y347" t="s">
        <v>1044</v>
      </c>
      <c r="Z347">
        <v>1</v>
      </c>
      <c r="AA347" t="s">
        <v>1121</v>
      </c>
    </row>
    <row r="348" spans="1:27" ht="15" customHeight="1">
      <c r="A348">
        <v>44</v>
      </c>
      <c r="B348" s="139">
        <v>46168.711828703701</v>
      </c>
      <c r="C348" s="139">
        <v>46168.71570601852</v>
      </c>
      <c r="D348" t="s">
        <v>103</v>
      </c>
      <c r="E348" t="s">
        <v>104</v>
      </c>
      <c r="F348" t="s">
        <v>375</v>
      </c>
      <c r="G348" t="s">
        <v>106</v>
      </c>
      <c r="H348" s="139">
        <v>46161</v>
      </c>
      <c r="I348" t="s">
        <v>136</v>
      </c>
      <c r="J348" t="s">
        <v>161</v>
      </c>
      <c r="M348" t="s">
        <v>376</v>
      </c>
      <c r="N348" t="s">
        <v>293</v>
      </c>
      <c r="O348" t="s">
        <v>195</v>
      </c>
      <c r="P348" t="s">
        <v>305</v>
      </c>
      <c r="Q348" t="s">
        <v>123</v>
      </c>
      <c r="R348" t="s">
        <v>24</v>
      </c>
      <c r="S348" t="s">
        <v>149</v>
      </c>
      <c r="T348" t="s">
        <v>181</v>
      </c>
      <c r="U348" t="s">
        <v>380</v>
      </c>
      <c r="V348" t="s">
        <v>151</v>
      </c>
      <c r="W348" t="s">
        <v>130</v>
      </c>
      <c r="X348" t="s">
        <v>190</v>
      </c>
      <c r="Y348" t="s">
        <v>1040</v>
      </c>
      <c r="Z348">
        <v>1</v>
      </c>
      <c r="AA348" t="s">
        <v>1216</v>
      </c>
    </row>
    <row r="349" spans="1:27" ht="15" customHeight="1">
      <c r="A349">
        <v>44</v>
      </c>
      <c r="B349" s="139">
        <v>46168.711828703701</v>
      </c>
      <c r="C349" s="139">
        <v>46168.71570601852</v>
      </c>
      <c r="D349" t="s">
        <v>103</v>
      </c>
      <c r="E349" t="s">
        <v>104</v>
      </c>
      <c r="F349" t="s">
        <v>375</v>
      </c>
      <c r="G349" t="s">
        <v>106</v>
      </c>
      <c r="H349" s="139">
        <v>46161</v>
      </c>
      <c r="I349" t="s">
        <v>136</v>
      </c>
      <c r="J349" t="s">
        <v>161</v>
      </c>
      <c r="M349" t="s">
        <v>376</v>
      </c>
      <c r="N349" t="s">
        <v>293</v>
      </c>
      <c r="O349" t="s">
        <v>195</v>
      </c>
      <c r="P349" t="s">
        <v>305</v>
      </c>
      <c r="Q349" t="s">
        <v>123</v>
      </c>
      <c r="R349" t="s">
        <v>24</v>
      </c>
      <c r="S349" t="s">
        <v>149</v>
      </c>
      <c r="T349" t="s">
        <v>181</v>
      </c>
      <c r="U349" t="s">
        <v>380</v>
      </c>
      <c r="V349" t="s">
        <v>151</v>
      </c>
      <c r="W349" t="s">
        <v>130</v>
      </c>
      <c r="X349" t="s">
        <v>190</v>
      </c>
      <c r="Y349" t="s">
        <v>1042</v>
      </c>
      <c r="Z349">
        <v>1</v>
      </c>
      <c r="AA349" t="s">
        <v>1217</v>
      </c>
    </row>
    <row r="350" spans="1:27" ht="15" customHeight="1">
      <c r="A350">
        <v>44</v>
      </c>
      <c r="B350" s="139">
        <v>46168.711828703701</v>
      </c>
      <c r="C350" s="139">
        <v>46168.71570601852</v>
      </c>
      <c r="D350" t="s">
        <v>103</v>
      </c>
      <c r="E350" t="s">
        <v>104</v>
      </c>
      <c r="F350" t="s">
        <v>375</v>
      </c>
      <c r="G350" t="s">
        <v>106</v>
      </c>
      <c r="H350" s="139">
        <v>46161</v>
      </c>
      <c r="I350" t="s">
        <v>136</v>
      </c>
      <c r="J350" t="s">
        <v>161</v>
      </c>
      <c r="M350" t="s">
        <v>376</v>
      </c>
      <c r="N350" t="s">
        <v>293</v>
      </c>
      <c r="O350" t="s">
        <v>195</v>
      </c>
      <c r="P350" t="s">
        <v>305</v>
      </c>
      <c r="Q350" t="s">
        <v>123</v>
      </c>
      <c r="R350" t="s">
        <v>24</v>
      </c>
      <c r="S350" t="s">
        <v>149</v>
      </c>
      <c r="T350" t="s">
        <v>181</v>
      </c>
      <c r="U350" t="s">
        <v>380</v>
      </c>
      <c r="V350" t="s">
        <v>151</v>
      </c>
      <c r="W350" t="s">
        <v>130</v>
      </c>
      <c r="X350" t="s">
        <v>190</v>
      </c>
      <c r="Y350" t="s">
        <v>1044</v>
      </c>
      <c r="Z350">
        <v>1</v>
      </c>
      <c r="AA350" t="s">
        <v>1218</v>
      </c>
    </row>
    <row r="351" spans="1:27" ht="15" customHeight="1">
      <c r="A351">
        <v>57</v>
      </c>
      <c r="B351" s="139">
        <v>46168.847280092603</v>
      </c>
      <c r="C351" s="139">
        <v>46168.848229166673</v>
      </c>
      <c r="D351" t="s">
        <v>432</v>
      </c>
      <c r="E351" t="s">
        <v>433</v>
      </c>
      <c r="F351" t="s">
        <v>434</v>
      </c>
      <c r="G351" t="s">
        <v>435</v>
      </c>
      <c r="H351" s="139">
        <v>46161</v>
      </c>
      <c r="I351" t="s">
        <v>136</v>
      </c>
      <c r="J351" t="s">
        <v>161</v>
      </c>
      <c r="M351" t="s">
        <v>437</v>
      </c>
      <c r="N351" t="s">
        <v>443</v>
      </c>
      <c r="O351" t="s">
        <v>135</v>
      </c>
      <c r="P351" t="s">
        <v>108</v>
      </c>
      <c r="Q351" t="s">
        <v>109</v>
      </c>
      <c r="R351" t="s">
        <v>21</v>
      </c>
      <c r="S351" t="s">
        <v>149</v>
      </c>
      <c r="T351" t="s">
        <v>449</v>
      </c>
      <c r="V351" t="s">
        <v>116</v>
      </c>
      <c r="W351" t="s">
        <v>130</v>
      </c>
      <c r="X351" t="s">
        <v>177</v>
      </c>
      <c r="Y351" t="s">
        <v>1040</v>
      </c>
      <c r="Z351">
        <v>1</v>
      </c>
      <c r="AA351" t="s">
        <v>1100</v>
      </c>
    </row>
    <row r="352" spans="1:27" ht="15" customHeight="1">
      <c r="A352">
        <v>57</v>
      </c>
      <c r="B352" s="139">
        <v>46168.847280092603</v>
      </c>
      <c r="C352" s="139">
        <v>46168.848229166673</v>
      </c>
      <c r="D352" t="s">
        <v>432</v>
      </c>
      <c r="E352" t="s">
        <v>433</v>
      </c>
      <c r="F352" t="s">
        <v>434</v>
      </c>
      <c r="G352" t="s">
        <v>435</v>
      </c>
      <c r="H352" s="139">
        <v>46161</v>
      </c>
      <c r="I352" t="s">
        <v>136</v>
      </c>
      <c r="J352" t="s">
        <v>161</v>
      </c>
      <c r="M352" t="s">
        <v>437</v>
      </c>
      <c r="N352" t="s">
        <v>443</v>
      </c>
      <c r="O352" t="s">
        <v>135</v>
      </c>
      <c r="P352" t="s">
        <v>108</v>
      </c>
      <c r="Q352" t="s">
        <v>109</v>
      </c>
      <c r="R352" t="s">
        <v>21</v>
      </c>
      <c r="S352" t="s">
        <v>149</v>
      </c>
      <c r="T352" t="s">
        <v>449</v>
      </c>
      <c r="V352" t="s">
        <v>116</v>
      </c>
      <c r="W352" t="s">
        <v>130</v>
      </c>
      <c r="X352" t="s">
        <v>177</v>
      </c>
      <c r="Y352" t="s">
        <v>1040</v>
      </c>
      <c r="Z352">
        <v>2</v>
      </c>
      <c r="AA352" t="s">
        <v>1101</v>
      </c>
    </row>
    <row r="353" spans="1:27" ht="15" customHeight="1">
      <c r="A353">
        <v>57</v>
      </c>
      <c r="B353" s="139">
        <v>46168.847280092603</v>
      </c>
      <c r="C353" s="139">
        <v>46168.848229166673</v>
      </c>
      <c r="D353" t="s">
        <v>432</v>
      </c>
      <c r="E353" t="s">
        <v>433</v>
      </c>
      <c r="F353" t="s">
        <v>434</v>
      </c>
      <c r="G353" t="s">
        <v>435</v>
      </c>
      <c r="H353" s="139">
        <v>46161</v>
      </c>
      <c r="I353" t="s">
        <v>136</v>
      </c>
      <c r="J353" t="s">
        <v>161</v>
      </c>
      <c r="M353" t="s">
        <v>437</v>
      </c>
      <c r="N353" t="s">
        <v>443</v>
      </c>
      <c r="O353" t="s">
        <v>135</v>
      </c>
      <c r="P353" t="s">
        <v>108</v>
      </c>
      <c r="Q353" t="s">
        <v>109</v>
      </c>
      <c r="R353" t="s">
        <v>21</v>
      </c>
      <c r="S353" t="s">
        <v>149</v>
      </c>
      <c r="T353" t="s">
        <v>449</v>
      </c>
      <c r="V353" t="s">
        <v>116</v>
      </c>
      <c r="W353" t="s">
        <v>130</v>
      </c>
      <c r="X353" t="s">
        <v>177</v>
      </c>
      <c r="Y353" t="s">
        <v>1040</v>
      </c>
      <c r="Z353">
        <v>3</v>
      </c>
      <c r="AA353" t="s">
        <v>1102</v>
      </c>
    </row>
    <row r="354" spans="1:27" ht="15" customHeight="1">
      <c r="A354">
        <v>57</v>
      </c>
      <c r="B354" s="139">
        <v>46168.847280092603</v>
      </c>
      <c r="C354" s="139">
        <v>46168.848229166673</v>
      </c>
      <c r="D354" t="s">
        <v>432</v>
      </c>
      <c r="E354" t="s">
        <v>433</v>
      </c>
      <c r="F354" t="s">
        <v>434</v>
      </c>
      <c r="G354" t="s">
        <v>435</v>
      </c>
      <c r="H354" s="139">
        <v>46161</v>
      </c>
      <c r="I354" t="s">
        <v>136</v>
      </c>
      <c r="J354" t="s">
        <v>161</v>
      </c>
      <c r="M354" t="s">
        <v>437</v>
      </c>
      <c r="N354" t="s">
        <v>443</v>
      </c>
      <c r="O354" t="s">
        <v>135</v>
      </c>
      <c r="P354" t="s">
        <v>108</v>
      </c>
      <c r="Q354" t="s">
        <v>109</v>
      </c>
      <c r="R354" t="s">
        <v>21</v>
      </c>
      <c r="S354" t="s">
        <v>149</v>
      </c>
      <c r="T354" t="s">
        <v>449</v>
      </c>
      <c r="V354" t="s">
        <v>116</v>
      </c>
      <c r="W354" t="s">
        <v>130</v>
      </c>
      <c r="X354" t="s">
        <v>177</v>
      </c>
      <c r="Y354" t="s">
        <v>1040</v>
      </c>
      <c r="Z354">
        <v>4</v>
      </c>
      <c r="AA354" t="s">
        <v>1103</v>
      </c>
    </row>
    <row r="355" spans="1:27" ht="15" customHeight="1">
      <c r="A355">
        <v>57</v>
      </c>
      <c r="B355" s="139">
        <v>46168.847280092603</v>
      </c>
      <c r="C355" s="139">
        <v>46168.848229166673</v>
      </c>
      <c r="D355" t="s">
        <v>432</v>
      </c>
      <c r="E355" t="s">
        <v>433</v>
      </c>
      <c r="F355" t="s">
        <v>434</v>
      </c>
      <c r="G355" t="s">
        <v>435</v>
      </c>
      <c r="H355" s="139">
        <v>46161</v>
      </c>
      <c r="I355" t="s">
        <v>136</v>
      </c>
      <c r="J355" t="s">
        <v>161</v>
      </c>
      <c r="M355" t="s">
        <v>437</v>
      </c>
      <c r="N355" t="s">
        <v>443</v>
      </c>
      <c r="O355" t="s">
        <v>135</v>
      </c>
      <c r="P355" t="s">
        <v>108</v>
      </c>
      <c r="Q355" t="s">
        <v>109</v>
      </c>
      <c r="R355" t="s">
        <v>21</v>
      </c>
      <c r="S355" t="s">
        <v>149</v>
      </c>
      <c r="T355" t="s">
        <v>449</v>
      </c>
      <c r="V355" t="s">
        <v>116</v>
      </c>
      <c r="W355" t="s">
        <v>130</v>
      </c>
      <c r="X355" t="s">
        <v>177</v>
      </c>
      <c r="Y355" t="s">
        <v>1042</v>
      </c>
      <c r="Z355">
        <v>1</v>
      </c>
      <c r="AA355" t="s">
        <v>1104</v>
      </c>
    </row>
    <row r="356" spans="1:27" ht="15" customHeight="1">
      <c r="A356">
        <v>57</v>
      </c>
      <c r="B356" s="139">
        <v>46168.847280092603</v>
      </c>
      <c r="C356" s="139">
        <v>46168.848229166673</v>
      </c>
      <c r="D356" t="s">
        <v>432</v>
      </c>
      <c r="E356" t="s">
        <v>433</v>
      </c>
      <c r="F356" t="s">
        <v>434</v>
      </c>
      <c r="G356" t="s">
        <v>435</v>
      </c>
      <c r="H356" s="139">
        <v>46161</v>
      </c>
      <c r="I356" t="s">
        <v>136</v>
      </c>
      <c r="J356" t="s">
        <v>161</v>
      </c>
      <c r="M356" t="s">
        <v>437</v>
      </c>
      <c r="N356" t="s">
        <v>443</v>
      </c>
      <c r="O356" t="s">
        <v>135</v>
      </c>
      <c r="P356" t="s">
        <v>108</v>
      </c>
      <c r="Q356" t="s">
        <v>109</v>
      </c>
      <c r="R356" t="s">
        <v>21</v>
      </c>
      <c r="S356" t="s">
        <v>149</v>
      </c>
      <c r="T356" t="s">
        <v>449</v>
      </c>
      <c r="V356" t="s">
        <v>116</v>
      </c>
      <c r="W356" t="s">
        <v>130</v>
      </c>
      <c r="X356" t="s">
        <v>177</v>
      </c>
      <c r="Y356" t="s">
        <v>1042</v>
      </c>
      <c r="Z356">
        <v>2</v>
      </c>
      <c r="AA356" t="s">
        <v>1105</v>
      </c>
    </row>
    <row r="357" spans="1:27" ht="15" customHeight="1">
      <c r="A357">
        <v>57</v>
      </c>
      <c r="B357" s="139">
        <v>46168.847280092603</v>
      </c>
      <c r="C357" s="139">
        <v>46168.848229166673</v>
      </c>
      <c r="D357" t="s">
        <v>432</v>
      </c>
      <c r="E357" t="s">
        <v>433</v>
      </c>
      <c r="F357" t="s">
        <v>434</v>
      </c>
      <c r="G357" t="s">
        <v>435</v>
      </c>
      <c r="H357" s="139">
        <v>46161</v>
      </c>
      <c r="I357" t="s">
        <v>136</v>
      </c>
      <c r="J357" t="s">
        <v>161</v>
      </c>
      <c r="M357" t="s">
        <v>437</v>
      </c>
      <c r="N357" t="s">
        <v>443</v>
      </c>
      <c r="O357" t="s">
        <v>135</v>
      </c>
      <c r="P357" t="s">
        <v>108</v>
      </c>
      <c r="Q357" t="s">
        <v>109</v>
      </c>
      <c r="R357" t="s">
        <v>21</v>
      </c>
      <c r="S357" t="s">
        <v>149</v>
      </c>
      <c r="T357" t="s">
        <v>449</v>
      </c>
      <c r="V357" t="s">
        <v>116</v>
      </c>
      <c r="W357" t="s">
        <v>130</v>
      </c>
      <c r="X357" t="s">
        <v>177</v>
      </c>
      <c r="Y357" t="s">
        <v>1042</v>
      </c>
      <c r="Z357">
        <v>3</v>
      </c>
      <c r="AA357" t="s">
        <v>1155</v>
      </c>
    </row>
    <row r="358" spans="1:27" ht="15" customHeight="1">
      <c r="A358">
        <v>57</v>
      </c>
      <c r="B358" s="139">
        <v>46168.847280092603</v>
      </c>
      <c r="C358" s="139">
        <v>46168.848229166673</v>
      </c>
      <c r="D358" t="s">
        <v>432</v>
      </c>
      <c r="E358" t="s">
        <v>433</v>
      </c>
      <c r="F358" t="s">
        <v>434</v>
      </c>
      <c r="G358" t="s">
        <v>435</v>
      </c>
      <c r="H358" s="139">
        <v>46161</v>
      </c>
      <c r="I358" t="s">
        <v>136</v>
      </c>
      <c r="J358" t="s">
        <v>161</v>
      </c>
      <c r="M358" t="s">
        <v>437</v>
      </c>
      <c r="N358" t="s">
        <v>443</v>
      </c>
      <c r="O358" t="s">
        <v>135</v>
      </c>
      <c r="P358" t="s">
        <v>108</v>
      </c>
      <c r="Q358" t="s">
        <v>109</v>
      </c>
      <c r="R358" t="s">
        <v>21</v>
      </c>
      <c r="S358" t="s">
        <v>149</v>
      </c>
      <c r="T358" t="s">
        <v>449</v>
      </c>
      <c r="V358" t="s">
        <v>116</v>
      </c>
      <c r="W358" t="s">
        <v>130</v>
      </c>
      <c r="X358" t="s">
        <v>177</v>
      </c>
      <c r="Y358" t="s">
        <v>1042</v>
      </c>
      <c r="Z358">
        <v>4</v>
      </c>
      <c r="AA358" t="s">
        <v>1107</v>
      </c>
    </row>
    <row r="359" spans="1:27" ht="15" customHeight="1">
      <c r="A359">
        <v>57</v>
      </c>
      <c r="B359" s="139">
        <v>46168.847280092603</v>
      </c>
      <c r="C359" s="139">
        <v>46168.848229166673</v>
      </c>
      <c r="D359" t="s">
        <v>432</v>
      </c>
      <c r="E359" t="s">
        <v>433</v>
      </c>
      <c r="F359" t="s">
        <v>434</v>
      </c>
      <c r="G359" t="s">
        <v>435</v>
      </c>
      <c r="H359" s="139">
        <v>46161</v>
      </c>
      <c r="I359" t="s">
        <v>136</v>
      </c>
      <c r="J359" t="s">
        <v>161</v>
      </c>
      <c r="M359" t="s">
        <v>437</v>
      </c>
      <c r="N359" t="s">
        <v>443</v>
      </c>
      <c r="O359" t="s">
        <v>135</v>
      </c>
      <c r="P359" t="s">
        <v>108</v>
      </c>
      <c r="Q359" t="s">
        <v>109</v>
      </c>
      <c r="R359" t="s">
        <v>21</v>
      </c>
      <c r="S359" t="s">
        <v>149</v>
      </c>
      <c r="T359" t="s">
        <v>449</v>
      </c>
      <c r="V359" t="s">
        <v>116</v>
      </c>
      <c r="W359" t="s">
        <v>130</v>
      </c>
      <c r="X359" t="s">
        <v>177</v>
      </c>
      <c r="Y359" t="s">
        <v>1044</v>
      </c>
      <c r="Z359">
        <v>1</v>
      </c>
      <c r="AA359" t="s">
        <v>1108</v>
      </c>
    </row>
    <row r="360" spans="1:27" ht="15" customHeight="1">
      <c r="A360">
        <v>57</v>
      </c>
      <c r="B360" s="139">
        <v>46168.847280092603</v>
      </c>
      <c r="C360" s="139">
        <v>46168.848229166673</v>
      </c>
      <c r="D360" t="s">
        <v>432</v>
      </c>
      <c r="E360" t="s">
        <v>433</v>
      </c>
      <c r="F360" t="s">
        <v>434</v>
      </c>
      <c r="G360" t="s">
        <v>435</v>
      </c>
      <c r="H360" s="139">
        <v>46161</v>
      </c>
      <c r="I360" t="s">
        <v>136</v>
      </c>
      <c r="J360" t="s">
        <v>161</v>
      </c>
      <c r="M360" t="s">
        <v>437</v>
      </c>
      <c r="N360" t="s">
        <v>443</v>
      </c>
      <c r="O360" t="s">
        <v>135</v>
      </c>
      <c r="P360" t="s">
        <v>108</v>
      </c>
      <c r="Q360" t="s">
        <v>109</v>
      </c>
      <c r="R360" t="s">
        <v>21</v>
      </c>
      <c r="S360" t="s">
        <v>149</v>
      </c>
      <c r="T360" t="s">
        <v>449</v>
      </c>
      <c r="V360" t="s">
        <v>116</v>
      </c>
      <c r="W360" t="s">
        <v>130</v>
      </c>
      <c r="X360" t="s">
        <v>177</v>
      </c>
      <c r="Y360" t="s">
        <v>1044</v>
      </c>
      <c r="Z360">
        <v>2</v>
      </c>
      <c r="AA360" t="s">
        <v>1109</v>
      </c>
    </row>
    <row r="361" spans="1:27" ht="15" customHeight="1">
      <c r="A361">
        <v>57</v>
      </c>
      <c r="B361" s="139">
        <v>46168.847280092603</v>
      </c>
      <c r="C361" s="139">
        <v>46168.848229166673</v>
      </c>
      <c r="D361" t="s">
        <v>432</v>
      </c>
      <c r="E361" t="s">
        <v>433</v>
      </c>
      <c r="F361" t="s">
        <v>434</v>
      </c>
      <c r="G361" t="s">
        <v>435</v>
      </c>
      <c r="H361" s="139">
        <v>46161</v>
      </c>
      <c r="I361" t="s">
        <v>136</v>
      </c>
      <c r="J361" t="s">
        <v>161</v>
      </c>
      <c r="M361" t="s">
        <v>437</v>
      </c>
      <c r="N361" t="s">
        <v>443</v>
      </c>
      <c r="O361" t="s">
        <v>135</v>
      </c>
      <c r="P361" t="s">
        <v>108</v>
      </c>
      <c r="Q361" t="s">
        <v>109</v>
      </c>
      <c r="R361" t="s">
        <v>21</v>
      </c>
      <c r="S361" t="s">
        <v>149</v>
      </c>
      <c r="T361" t="s">
        <v>449</v>
      </c>
      <c r="V361" t="s">
        <v>116</v>
      </c>
      <c r="W361" t="s">
        <v>130</v>
      </c>
      <c r="X361" t="s">
        <v>177</v>
      </c>
      <c r="Y361" t="s">
        <v>1044</v>
      </c>
      <c r="Z361">
        <v>3</v>
      </c>
      <c r="AA361" t="s">
        <v>1110</v>
      </c>
    </row>
    <row r="362" spans="1:27" ht="15" customHeight="1">
      <c r="A362">
        <v>57</v>
      </c>
      <c r="B362" s="139">
        <v>46168.847280092603</v>
      </c>
      <c r="C362" s="139">
        <v>46168.848229166673</v>
      </c>
      <c r="D362" t="s">
        <v>432</v>
      </c>
      <c r="E362" t="s">
        <v>433</v>
      </c>
      <c r="F362" t="s">
        <v>434</v>
      </c>
      <c r="G362" t="s">
        <v>435</v>
      </c>
      <c r="H362" s="139">
        <v>46161</v>
      </c>
      <c r="I362" t="s">
        <v>136</v>
      </c>
      <c r="J362" t="s">
        <v>161</v>
      </c>
      <c r="M362" t="s">
        <v>437</v>
      </c>
      <c r="N362" t="s">
        <v>443</v>
      </c>
      <c r="O362" t="s">
        <v>135</v>
      </c>
      <c r="P362" t="s">
        <v>108</v>
      </c>
      <c r="Q362" t="s">
        <v>109</v>
      </c>
      <c r="R362" t="s">
        <v>21</v>
      </c>
      <c r="S362" t="s">
        <v>149</v>
      </c>
      <c r="T362" t="s">
        <v>449</v>
      </c>
      <c r="V362" t="s">
        <v>116</v>
      </c>
      <c r="W362" t="s">
        <v>130</v>
      </c>
      <c r="X362" t="s">
        <v>177</v>
      </c>
      <c r="Y362" t="s">
        <v>1044</v>
      </c>
      <c r="Z362">
        <v>4</v>
      </c>
      <c r="AA362" t="s">
        <v>1111</v>
      </c>
    </row>
    <row r="363" spans="1:27" ht="15" customHeight="1">
      <c r="A363">
        <v>90</v>
      </c>
      <c r="B363" s="139">
        <v>46178.503483796303</v>
      </c>
      <c r="C363" s="139">
        <v>46178.508368055547</v>
      </c>
      <c r="D363" t="s">
        <v>413</v>
      </c>
      <c r="E363" t="s">
        <v>414</v>
      </c>
      <c r="F363" t="s">
        <v>415</v>
      </c>
      <c r="G363" t="s">
        <v>416</v>
      </c>
      <c r="H363" s="139">
        <v>46161</v>
      </c>
      <c r="I363" t="s">
        <v>136</v>
      </c>
      <c r="J363" t="s">
        <v>161</v>
      </c>
      <c r="M363" t="s">
        <v>621</v>
      </c>
      <c r="N363" t="s">
        <v>622</v>
      </c>
      <c r="O363" t="s">
        <v>107</v>
      </c>
      <c r="P363" t="s">
        <v>108</v>
      </c>
      <c r="Q363" t="s">
        <v>109</v>
      </c>
      <c r="R363" t="s">
        <v>22</v>
      </c>
      <c r="S363" t="s">
        <v>143</v>
      </c>
      <c r="T363" t="s">
        <v>181</v>
      </c>
      <c r="U363" t="s">
        <v>626</v>
      </c>
      <c r="V363" t="s">
        <v>151</v>
      </c>
      <c r="W363" t="s">
        <v>130</v>
      </c>
      <c r="X363" t="s">
        <v>329</v>
      </c>
      <c r="Y363" t="s">
        <v>1040</v>
      </c>
      <c r="Z363">
        <v>1</v>
      </c>
      <c r="AA363" t="s">
        <v>1219</v>
      </c>
    </row>
    <row r="364" spans="1:27" ht="15" customHeight="1">
      <c r="A364">
        <v>90</v>
      </c>
      <c r="B364" s="139">
        <v>46178.503483796303</v>
      </c>
      <c r="C364" s="139">
        <v>46178.508368055547</v>
      </c>
      <c r="D364" t="s">
        <v>413</v>
      </c>
      <c r="E364" t="s">
        <v>414</v>
      </c>
      <c r="F364" t="s">
        <v>415</v>
      </c>
      <c r="G364" t="s">
        <v>416</v>
      </c>
      <c r="H364" s="139">
        <v>46161</v>
      </c>
      <c r="I364" t="s">
        <v>136</v>
      </c>
      <c r="J364" t="s">
        <v>161</v>
      </c>
      <c r="M364" t="s">
        <v>621</v>
      </c>
      <c r="N364" t="s">
        <v>622</v>
      </c>
      <c r="O364" t="s">
        <v>107</v>
      </c>
      <c r="P364" t="s">
        <v>108</v>
      </c>
      <c r="Q364" t="s">
        <v>109</v>
      </c>
      <c r="R364" t="s">
        <v>22</v>
      </c>
      <c r="S364" t="s">
        <v>143</v>
      </c>
      <c r="T364" t="s">
        <v>181</v>
      </c>
      <c r="U364" t="s">
        <v>626</v>
      </c>
      <c r="V364" t="s">
        <v>151</v>
      </c>
      <c r="W364" t="s">
        <v>130</v>
      </c>
      <c r="X364" t="s">
        <v>329</v>
      </c>
      <c r="Y364" t="s">
        <v>1042</v>
      </c>
      <c r="Z364">
        <v>1</v>
      </c>
      <c r="AA364" t="s">
        <v>1047</v>
      </c>
    </row>
    <row r="365" spans="1:27" ht="15" customHeight="1">
      <c r="A365">
        <v>90</v>
      </c>
      <c r="B365" s="139">
        <v>46178.503483796303</v>
      </c>
      <c r="C365" s="139">
        <v>46178.508368055547</v>
      </c>
      <c r="D365" t="s">
        <v>413</v>
      </c>
      <c r="E365" t="s">
        <v>414</v>
      </c>
      <c r="F365" t="s">
        <v>415</v>
      </c>
      <c r="G365" t="s">
        <v>416</v>
      </c>
      <c r="H365" s="139">
        <v>46161</v>
      </c>
      <c r="I365" t="s">
        <v>136</v>
      </c>
      <c r="J365" t="s">
        <v>161</v>
      </c>
      <c r="M365" t="s">
        <v>621</v>
      </c>
      <c r="N365" t="s">
        <v>622</v>
      </c>
      <c r="O365" t="s">
        <v>107</v>
      </c>
      <c r="P365" t="s">
        <v>108</v>
      </c>
      <c r="Q365" t="s">
        <v>109</v>
      </c>
      <c r="R365" t="s">
        <v>22</v>
      </c>
      <c r="S365" t="s">
        <v>143</v>
      </c>
      <c r="T365" t="s">
        <v>181</v>
      </c>
      <c r="U365" t="s">
        <v>626</v>
      </c>
      <c r="V365" t="s">
        <v>151</v>
      </c>
      <c r="W365" t="s">
        <v>130</v>
      </c>
      <c r="X365" t="s">
        <v>329</v>
      </c>
      <c r="Y365" t="s">
        <v>1042</v>
      </c>
      <c r="Z365">
        <v>2</v>
      </c>
      <c r="AA365" t="s">
        <v>1086</v>
      </c>
    </row>
    <row r="366" spans="1:27" ht="15" customHeight="1">
      <c r="A366">
        <v>90</v>
      </c>
      <c r="B366" s="139">
        <v>46178.503483796303</v>
      </c>
      <c r="C366" s="139">
        <v>46178.508368055547</v>
      </c>
      <c r="D366" t="s">
        <v>413</v>
      </c>
      <c r="E366" t="s">
        <v>414</v>
      </c>
      <c r="F366" t="s">
        <v>415</v>
      </c>
      <c r="G366" t="s">
        <v>416</v>
      </c>
      <c r="H366" s="139">
        <v>46161</v>
      </c>
      <c r="I366" t="s">
        <v>136</v>
      </c>
      <c r="J366" t="s">
        <v>161</v>
      </c>
      <c r="M366" t="s">
        <v>621</v>
      </c>
      <c r="N366" t="s">
        <v>622</v>
      </c>
      <c r="O366" t="s">
        <v>107</v>
      </c>
      <c r="P366" t="s">
        <v>108</v>
      </c>
      <c r="Q366" t="s">
        <v>109</v>
      </c>
      <c r="R366" t="s">
        <v>22</v>
      </c>
      <c r="S366" t="s">
        <v>143</v>
      </c>
      <c r="T366" t="s">
        <v>181</v>
      </c>
      <c r="U366" t="s">
        <v>626</v>
      </c>
      <c r="V366" t="s">
        <v>151</v>
      </c>
      <c r="W366" t="s">
        <v>130</v>
      </c>
      <c r="X366" t="s">
        <v>329</v>
      </c>
      <c r="Y366" t="s">
        <v>1044</v>
      </c>
      <c r="Z366">
        <v>1</v>
      </c>
      <c r="AA366" t="s">
        <v>1220</v>
      </c>
    </row>
    <row r="367" spans="1:27" ht="15" customHeight="1">
      <c r="A367">
        <v>136</v>
      </c>
      <c r="B367" s="139">
        <v>46181.452731481477</v>
      </c>
      <c r="C367" s="139">
        <v>46181.456597222219</v>
      </c>
      <c r="D367" t="s">
        <v>351</v>
      </c>
      <c r="E367" t="s">
        <v>352</v>
      </c>
      <c r="F367" t="s">
        <v>353</v>
      </c>
      <c r="G367" t="s">
        <v>354</v>
      </c>
      <c r="H367" s="139">
        <v>46161</v>
      </c>
      <c r="I367" t="s">
        <v>136</v>
      </c>
      <c r="J367" t="s">
        <v>161</v>
      </c>
      <c r="M367" t="s">
        <v>366</v>
      </c>
      <c r="N367" t="s">
        <v>390</v>
      </c>
      <c r="O367" t="s">
        <v>107</v>
      </c>
      <c r="P367" t="s">
        <v>108</v>
      </c>
      <c r="Q367" t="s">
        <v>109</v>
      </c>
      <c r="R367" t="s">
        <v>22</v>
      </c>
      <c r="S367" t="s">
        <v>114</v>
      </c>
      <c r="T367" t="s">
        <v>181</v>
      </c>
      <c r="U367" t="s">
        <v>816</v>
      </c>
      <c r="V367" t="s">
        <v>129</v>
      </c>
      <c r="W367" t="s">
        <v>130</v>
      </c>
      <c r="X367" t="s">
        <v>124</v>
      </c>
      <c r="Y367" t="s">
        <v>1040</v>
      </c>
      <c r="Z367">
        <v>1</v>
      </c>
      <c r="AA367" t="s">
        <v>1177</v>
      </c>
    </row>
    <row r="368" spans="1:27" ht="15" customHeight="1">
      <c r="A368">
        <v>136</v>
      </c>
      <c r="B368" s="139">
        <v>46181.452731481477</v>
      </c>
      <c r="C368" s="139">
        <v>46181.456597222219</v>
      </c>
      <c r="D368" t="s">
        <v>351</v>
      </c>
      <c r="E368" t="s">
        <v>352</v>
      </c>
      <c r="F368" t="s">
        <v>353</v>
      </c>
      <c r="G368" t="s">
        <v>354</v>
      </c>
      <c r="H368" s="139">
        <v>46161</v>
      </c>
      <c r="I368" t="s">
        <v>136</v>
      </c>
      <c r="J368" t="s">
        <v>161</v>
      </c>
      <c r="M368" t="s">
        <v>366</v>
      </c>
      <c r="N368" t="s">
        <v>390</v>
      </c>
      <c r="O368" t="s">
        <v>107</v>
      </c>
      <c r="P368" t="s">
        <v>108</v>
      </c>
      <c r="Q368" t="s">
        <v>109</v>
      </c>
      <c r="R368" t="s">
        <v>22</v>
      </c>
      <c r="S368" t="s">
        <v>114</v>
      </c>
      <c r="T368" t="s">
        <v>181</v>
      </c>
      <c r="U368" t="s">
        <v>816</v>
      </c>
      <c r="V368" t="s">
        <v>129</v>
      </c>
      <c r="W368" t="s">
        <v>130</v>
      </c>
      <c r="X368" t="s">
        <v>124</v>
      </c>
      <c r="Y368" t="s">
        <v>1042</v>
      </c>
      <c r="Z368">
        <v>1</v>
      </c>
      <c r="AA368" t="s">
        <v>1125</v>
      </c>
    </row>
    <row r="369" spans="1:27" ht="15" customHeight="1">
      <c r="A369">
        <v>136</v>
      </c>
      <c r="B369" s="139">
        <v>46181.452731481477</v>
      </c>
      <c r="C369" s="139">
        <v>46181.456597222219</v>
      </c>
      <c r="D369" t="s">
        <v>351</v>
      </c>
      <c r="E369" t="s">
        <v>352</v>
      </c>
      <c r="F369" t="s">
        <v>353</v>
      </c>
      <c r="G369" t="s">
        <v>354</v>
      </c>
      <c r="H369" s="139">
        <v>46161</v>
      </c>
      <c r="I369" t="s">
        <v>136</v>
      </c>
      <c r="J369" t="s">
        <v>161</v>
      </c>
      <c r="M369" t="s">
        <v>366</v>
      </c>
      <c r="N369" t="s">
        <v>390</v>
      </c>
      <c r="O369" t="s">
        <v>107</v>
      </c>
      <c r="P369" t="s">
        <v>108</v>
      </c>
      <c r="Q369" t="s">
        <v>109</v>
      </c>
      <c r="R369" t="s">
        <v>22</v>
      </c>
      <c r="S369" t="s">
        <v>114</v>
      </c>
      <c r="T369" t="s">
        <v>181</v>
      </c>
      <c r="U369" t="s">
        <v>816</v>
      </c>
      <c r="V369" t="s">
        <v>129</v>
      </c>
      <c r="W369" t="s">
        <v>130</v>
      </c>
      <c r="X369" t="s">
        <v>124</v>
      </c>
      <c r="Y369" t="s">
        <v>1042</v>
      </c>
      <c r="Z369">
        <v>2</v>
      </c>
      <c r="AA369" t="s">
        <v>1127</v>
      </c>
    </row>
    <row r="370" spans="1:27" ht="15" customHeight="1">
      <c r="A370">
        <v>136</v>
      </c>
      <c r="B370" s="139">
        <v>46181.452731481477</v>
      </c>
      <c r="C370" s="139">
        <v>46181.456597222219</v>
      </c>
      <c r="D370" t="s">
        <v>351</v>
      </c>
      <c r="E370" t="s">
        <v>352</v>
      </c>
      <c r="F370" t="s">
        <v>353</v>
      </c>
      <c r="G370" t="s">
        <v>354</v>
      </c>
      <c r="H370" s="139">
        <v>46161</v>
      </c>
      <c r="I370" t="s">
        <v>136</v>
      </c>
      <c r="J370" t="s">
        <v>161</v>
      </c>
      <c r="M370" t="s">
        <v>366</v>
      </c>
      <c r="N370" t="s">
        <v>390</v>
      </c>
      <c r="O370" t="s">
        <v>107</v>
      </c>
      <c r="P370" t="s">
        <v>108</v>
      </c>
      <c r="Q370" t="s">
        <v>109</v>
      </c>
      <c r="R370" t="s">
        <v>22</v>
      </c>
      <c r="S370" t="s">
        <v>114</v>
      </c>
      <c r="T370" t="s">
        <v>181</v>
      </c>
      <c r="U370" t="s">
        <v>816</v>
      </c>
      <c r="V370" t="s">
        <v>129</v>
      </c>
      <c r="W370" t="s">
        <v>130</v>
      </c>
      <c r="X370" t="s">
        <v>124</v>
      </c>
      <c r="Y370" t="s">
        <v>1044</v>
      </c>
      <c r="Z370">
        <v>1</v>
      </c>
      <c r="AA370" t="s">
        <v>1179</v>
      </c>
    </row>
    <row r="371" spans="1:27" ht="15" customHeight="1">
      <c r="A371">
        <v>136</v>
      </c>
      <c r="B371" s="139">
        <v>46181.452731481477</v>
      </c>
      <c r="C371" s="139">
        <v>46181.456597222219</v>
      </c>
      <c r="D371" t="s">
        <v>351</v>
      </c>
      <c r="E371" t="s">
        <v>352</v>
      </c>
      <c r="F371" t="s">
        <v>353</v>
      </c>
      <c r="G371" t="s">
        <v>354</v>
      </c>
      <c r="H371" s="139">
        <v>46161</v>
      </c>
      <c r="I371" t="s">
        <v>136</v>
      </c>
      <c r="J371" t="s">
        <v>161</v>
      </c>
      <c r="M371" t="s">
        <v>366</v>
      </c>
      <c r="N371" t="s">
        <v>390</v>
      </c>
      <c r="O371" t="s">
        <v>107</v>
      </c>
      <c r="P371" t="s">
        <v>108</v>
      </c>
      <c r="Q371" t="s">
        <v>109</v>
      </c>
      <c r="R371" t="s">
        <v>22</v>
      </c>
      <c r="S371" t="s">
        <v>114</v>
      </c>
      <c r="T371" t="s">
        <v>181</v>
      </c>
      <c r="U371" t="s">
        <v>816</v>
      </c>
      <c r="V371" t="s">
        <v>129</v>
      </c>
      <c r="W371" t="s">
        <v>130</v>
      </c>
      <c r="X371" t="s">
        <v>124</v>
      </c>
      <c r="Y371" t="s">
        <v>1044</v>
      </c>
      <c r="Z371">
        <v>2</v>
      </c>
      <c r="AA371" t="s">
        <v>1062</v>
      </c>
    </row>
    <row r="372" spans="1:27" ht="15" customHeight="1">
      <c r="A372">
        <v>2</v>
      </c>
      <c r="B372" s="139">
        <v>46164.620300925933</v>
      </c>
      <c r="C372" s="139">
        <v>46164.623298611114</v>
      </c>
      <c r="D372" t="s">
        <v>118</v>
      </c>
      <c r="E372" t="s">
        <v>119</v>
      </c>
      <c r="F372" t="s">
        <v>120</v>
      </c>
      <c r="G372" t="s">
        <v>121</v>
      </c>
      <c r="H372" s="139">
        <v>46162</v>
      </c>
      <c r="O372" t="s">
        <v>122</v>
      </c>
      <c r="P372" t="s">
        <v>108</v>
      </c>
      <c r="Q372" t="s">
        <v>123</v>
      </c>
      <c r="R372" t="s">
        <v>22</v>
      </c>
      <c r="S372" t="s">
        <v>114</v>
      </c>
      <c r="T372" t="s">
        <v>128</v>
      </c>
      <c r="V372" t="s">
        <v>129</v>
      </c>
      <c r="W372" t="s">
        <v>130</v>
      </c>
      <c r="X372" t="s">
        <v>124</v>
      </c>
      <c r="Y372" t="s">
        <v>1040</v>
      </c>
      <c r="Z372">
        <v>1</v>
      </c>
      <c r="AA372" t="s">
        <v>1058</v>
      </c>
    </row>
    <row r="373" spans="1:27" ht="15" customHeight="1">
      <c r="A373">
        <v>2</v>
      </c>
      <c r="B373" s="139">
        <v>46164.620300925933</v>
      </c>
      <c r="C373" s="139">
        <v>46164.623298611114</v>
      </c>
      <c r="D373" t="s">
        <v>118</v>
      </c>
      <c r="E373" t="s">
        <v>119</v>
      </c>
      <c r="F373" t="s">
        <v>120</v>
      </c>
      <c r="G373" t="s">
        <v>121</v>
      </c>
      <c r="H373" s="139">
        <v>46162</v>
      </c>
      <c r="O373" t="s">
        <v>122</v>
      </c>
      <c r="P373" t="s">
        <v>108</v>
      </c>
      <c r="Q373" t="s">
        <v>123</v>
      </c>
      <c r="R373" t="s">
        <v>22</v>
      </c>
      <c r="S373" t="s">
        <v>114</v>
      </c>
      <c r="T373" t="s">
        <v>128</v>
      </c>
      <c r="V373" t="s">
        <v>129</v>
      </c>
      <c r="W373" t="s">
        <v>130</v>
      </c>
      <c r="X373" t="s">
        <v>124</v>
      </c>
      <c r="Y373" t="s">
        <v>1042</v>
      </c>
      <c r="Z373">
        <v>1</v>
      </c>
      <c r="AA373" t="s">
        <v>1125</v>
      </c>
    </row>
    <row r="374" spans="1:27" ht="15" customHeight="1">
      <c r="A374">
        <v>2</v>
      </c>
      <c r="B374" s="139">
        <v>46164.620300925933</v>
      </c>
      <c r="C374" s="139">
        <v>46164.623298611114</v>
      </c>
      <c r="D374" t="s">
        <v>118</v>
      </c>
      <c r="E374" t="s">
        <v>119</v>
      </c>
      <c r="F374" t="s">
        <v>120</v>
      </c>
      <c r="G374" t="s">
        <v>121</v>
      </c>
      <c r="H374" s="139">
        <v>46162</v>
      </c>
      <c r="O374" t="s">
        <v>122</v>
      </c>
      <c r="P374" t="s">
        <v>108</v>
      </c>
      <c r="Q374" t="s">
        <v>123</v>
      </c>
      <c r="R374" t="s">
        <v>22</v>
      </c>
      <c r="S374" t="s">
        <v>114</v>
      </c>
      <c r="T374" t="s">
        <v>128</v>
      </c>
      <c r="V374" t="s">
        <v>129</v>
      </c>
      <c r="W374" t="s">
        <v>130</v>
      </c>
      <c r="X374" t="s">
        <v>124</v>
      </c>
      <c r="Y374" t="s">
        <v>1042</v>
      </c>
      <c r="Z374">
        <v>2</v>
      </c>
      <c r="AA374" t="s">
        <v>1126</v>
      </c>
    </row>
    <row r="375" spans="1:27" ht="15" customHeight="1">
      <c r="A375">
        <v>2</v>
      </c>
      <c r="B375" s="139">
        <v>46164.620300925933</v>
      </c>
      <c r="C375" s="139">
        <v>46164.623298611114</v>
      </c>
      <c r="D375" t="s">
        <v>118</v>
      </c>
      <c r="E375" t="s">
        <v>119</v>
      </c>
      <c r="F375" t="s">
        <v>120</v>
      </c>
      <c r="G375" t="s">
        <v>121</v>
      </c>
      <c r="H375" s="139">
        <v>46162</v>
      </c>
      <c r="O375" t="s">
        <v>122</v>
      </c>
      <c r="P375" t="s">
        <v>108</v>
      </c>
      <c r="Q375" t="s">
        <v>123</v>
      </c>
      <c r="R375" t="s">
        <v>22</v>
      </c>
      <c r="S375" t="s">
        <v>114</v>
      </c>
      <c r="T375" t="s">
        <v>128</v>
      </c>
      <c r="V375" t="s">
        <v>129</v>
      </c>
      <c r="W375" t="s">
        <v>130</v>
      </c>
      <c r="X375" t="s">
        <v>124</v>
      </c>
      <c r="Y375" t="s">
        <v>1042</v>
      </c>
      <c r="Z375">
        <v>3</v>
      </c>
      <c r="AA375" t="s">
        <v>1059</v>
      </c>
    </row>
    <row r="376" spans="1:27" ht="15" customHeight="1">
      <c r="A376">
        <v>2</v>
      </c>
      <c r="B376" s="139">
        <v>46164.620300925933</v>
      </c>
      <c r="C376" s="139">
        <v>46164.623298611114</v>
      </c>
      <c r="D376" t="s">
        <v>118</v>
      </c>
      <c r="E376" t="s">
        <v>119</v>
      </c>
      <c r="F376" t="s">
        <v>120</v>
      </c>
      <c r="G376" t="s">
        <v>121</v>
      </c>
      <c r="H376" s="139">
        <v>46162</v>
      </c>
      <c r="O376" t="s">
        <v>122</v>
      </c>
      <c r="P376" t="s">
        <v>108</v>
      </c>
      <c r="Q376" t="s">
        <v>123</v>
      </c>
      <c r="R376" t="s">
        <v>22</v>
      </c>
      <c r="S376" t="s">
        <v>114</v>
      </c>
      <c r="T376" t="s">
        <v>128</v>
      </c>
      <c r="V376" t="s">
        <v>129</v>
      </c>
      <c r="W376" t="s">
        <v>130</v>
      </c>
      <c r="X376" t="s">
        <v>124</v>
      </c>
      <c r="Y376" t="s">
        <v>1044</v>
      </c>
      <c r="Z376">
        <v>1</v>
      </c>
      <c r="AA376" t="s">
        <v>1179</v>
      </c>
    </row>
    <row r="377" spans="1:27" ht="15" customHeight="1">
      <c r="A377">
        <v>2</v>
      </c>
      <c r="B377" s="139">
        <v>46164.620300925933</v>
      </c>
      <c r="C377" s="139">
        <v>46164.623298611114</v>
      </c>
      <c r="D377" t="s">
        <v>118</v>
      </c>
      <c r="E377" t="s">
        <v>119</v>
      </c>
      <c r="F377" t="s">
        <v>120</v>
      </c>
      <c r="G377" t="s">
        <v>121</v>
      </c>
      <c r="H377" s="139">
        <v>46162</v>
      </c>
      <c r="O377" t="s">
        <v>122</v>
      </c>
      <c r="P377" t="s">
        <v>108</v>
      </c>
      <c r="Q377" t="s">
        <v>123</v>
      </c>
      <c r="R377" t="s">
        <v>22</v>
      </c>
      <c r="S377" t="s">
        <v>114</v>
      </c>
      <c r="T377" t="s">
        <v>128</v>
      </c>
      <c r="V377" t="s">
        <v>129</v>
      </c>
      <c r="W377" t="s">
        <v>130</v>
      </c>
      <c r="X377" t="s">
        <v>124</v>
      </c>
      <c r="Y377" t="s">
        <v>1044</v>
      </c>
      <c r="Z377">
        <v>2</v>
      </c>
      <c r="AA377" t="s">
        <v>1147</v>
      </c>
    </row>
    <row r="378" spans="1:27" ht="15" customHeight="1">
      <c r="A378">
        <v>9</v>
      </c>
      <c r="B378" s="139">
        <v>46167.613796296297</v>
      </c>
      <c r="C378" s="139">
        <v>46167.6169212963</v>
      </c>
      <c r="D378" t="s">
        <v>170</v>
      </c>
      <c r="E378" t="s">
        <v>171</v>
      </c>
      <c r="F378" t="s">
        <v>171</v>
      </c>
      <c r="G378" t="s">
        <v>172</v>
      </c>
      <c r="H378" s="139">
        <v>46162</v>
      </c>
      <c r="I378" t="s">
        <v>136</v>
      </c>
      <c r="J378" t="s">
        <v>187</v>
      </c>
      <c r="K378" t="s">
        <v>188</v>
      </c>
      <c r="N378" t="s">
        <v>189</v>
      </c>
      <c r="O378" t="s">
        <v>135</v>
      </c>
      <c r="P378" t="s">
        <v>108</v>
      </c>
      <c r="Q378" t="s">
        <v>123</v>
      </c>
      <c r="R378" t="s">
        <v>24</v>
      </c>
      <c r="S378" t="s">
        <v>143</v>
      </c>
      <c r="T378" t="s">
        <v>181</v>
      </c>
      <c r="U378" t="s">
        <v>194</v>
      </c>
      <c r="V378" t="s">
        <v>129</v>
      </c>
      <c r="W378" t="s">
        <v>130</v>
      </c>
      <c r="X378" t="s">
        <v>190</v>
      </c>
      <c r="Y378" t="s">
        <v>1040</v>
      </c>
      <c r="Z378">
        <v>1</v>
      </c>
      <c r="AA378" t="s">
        <v>1221</v>
      </c>
    </row>
    <row r="379" spans="1:27" ht="15" customHeight="1">
      <c r="A379">
        <v>9</v>
      </c>
      <c r="B379" s="139">
        <v>46167.613796296297</v>
      </c>
      <c r="C379" s="139">
        <v>46167.6169212963</v>
      </c>
      <c r="D379" t="s">
        <v>170</v>
      </c>
      <c r="E379" t="s">
        <v>171</v>
      </c>
      <c r="F379" t="s">
        <v>171</v>
      </c>
      <c r="G379" t="s">
        <v>172</v>
      </c>
      <c r="H379" s="139">
        <v>46162</v>
      </c>
      <c r="I379" t="s">
        <v>136</v>
      </c>
      <c r="J379" t="s">
        <v>187</v>
      </c>
      <c r="K379" t="s">
        <v>188</v>
      </c>
      <c r="N379" t="s">
        <v>189</v>
      </c>
      <c r="O379" t="s">
        <v>135</v>
      </c>
      <c r="P379" t="s">
        <v>108</v>
      </c>
      <c r="Q379" t="s">
        <v>123</v>
      </c>
      <c r="R379" t="s">
        <v>24</v>
      </c>
      <c r="S379" t="s">
        <v>143</v>
      </c>
      <c r="T379" t="s">
        <v>181</v>
      </c>
      <c r="U379" t="s">
        <v>194</v>
      </c>
      <c r="V379" t="s">
        <v>129</v>
      </c>
      <c r="W379" t="s">
        <v>130</v>
      </c>
      <c r="X379" t="s">
        <v>190</v>
      </c>
      <c r="Y379" t="s">
        <v>1042</v>
      </c>
      <c r="Z379">
        <v>1</v>
      </c>
      <c r="AA379" t="s">
        <v>1222</v>
      </c>
    </row>
    <row r="380" spans="1:27" ht="15" customHeight="1">
      <c r="A380">
        <v>9</v>
      </c>
      <c r="B380" s="139">
        <v>46167.613796296297</v>
      </c>
      <c r="C380" s="139">
        <v>46167.6169212963</v>
      </c>
      <c r="D380" t="s">
        <v>170</v>
      </c>
      <c r="E380" t="s">
        <v>171</v>
      </c>
      <c r="F380" t="s">
        <v>171</v>
      </c>
      <c r="G380" t="s">
        <v>172</v>
      </c>
      <c r="H380" s="139">
        <v>46162</v>
      </c>
      <c r="I380" t="s">
        <v>136</v>
      </c>
      <c r="J380" t="s">
        <v>187</v>
      </c>
      <c r="K380" t="s">
        <v>188</v>
      </c>
      <c r="N380" t="s">
        <v>189</v>
      </c>
      <c r="O380" t="s">
        <v>135</v>
      </c>
      <c r="P380" t="s">
        <v>108</v>
      </c>
      <c r="Q380" t="s">
        <v>123</v>
      </c>
      <c r="R380" t="s">
        <v>24</v>
      </c>
      <c r="S380" t="s">
        <v>143</v>
      </c>
      <c r="T380" t="s">
        <v>181</v>
      </c>
      <c r="U380" t="s">
        <v>194</v>
      </c>
      <c r="V380" t="s">
        <v>129</v>
      </c>
      <c r="W380" t="s">
        <v>130</v>
      </c>
      <c r="X380" t="s">
        <v>190</v>
      </c>
      <c r="Y380" t="s">
        <v>1044</v>
      </c>
      <c r="Z380">
        <v>1</v>
      </c>
      <c r="AA380" t="s">
        <v>1064</v>
      </c>
    </row>
    <row r="381" spans="1:27" ht="15" customHeight="1">
      <c r="A381">
        <v>14</v>
      </c>
      <c r="B381" s="139">
        <v>46167.643425925933</v>
      </c>
      <c r="C381" s="139">
        <v>46167.648206018523</v>
      </c>
      <c r="D381" t="s">
        <v>152</v>
      </c>
      <c r="E381" t="s">
        <v>153</v>
      </c>
      <c r="F381" t="s">
        <v>153</v>
      </c>
      <c r="G381" t="s">
        <v>154</v>
      </c>
      <c r="H381" s="139">
        <v>46162</v>
      </c>
      <c r="I381" t="s">
        <v>136</v>
      </c>
      <c r="M381" t="s">
        <v>222</v>
      </c>
      <c r="N381" t="s">
        <v>108</v>
      </c>
      <c r="O381" t="s">
        <v>195</v>
      </c>
      <c r="P381" t="s">
        <v>221</v>
      </c>
      <c r="Q381" t="s">
        <v>109</v>
      </c>
      <c r="R381" t="s">
        <v>22</v>
      </c>
      <c r="S381" t="s">
        <v>149</v>
      </c>
      <c r="T381" t="s">
        <v>226</v>
      </c>
      <c r="V381" t="s">
        <v>116</v>
      </c>
      <c r="W381" t="s">
        <v>169</v>
      </c>
      <c r="X381" t="s">
        <v>124</v>
      </c>
      <c r="Y381" t="s">
        <v>1040</v>
      </c>
      <c r="Z381">
        <v>1</v>
      </c>
      <c r="AA381" t="s">
        <v>1058</v>
      </c>
    </row>
    <row r="382" spans="1:27" ht="15" customHeight="1">
      <c r="A382">
        <v>14</v>
      </c>
      <c r="B382" s="139">
        <v>46167.643425925933</v>
      </c>
      <c r="C382" s="139">
        <v>46167.648206018523</v>
      </c>
      <c r="D382" t="s">
        <v>152</v>
      </c>
      <c r="E382" t="s">
        <v>153</v>
      </c>
      <c r="F382" t="s">
        <v>153</v>
      </c>
      <c r="G382" t="s">
        <v>154</v>
      </c>
      <c r="H382" s="139">
        <v>46162</v>
      </c>
      <c r="I382" t="s">
        <v>136</v>
      </c>
      <c r="M382" t="s">
        <v>222</v>
      </c>
      <c r="N382" t="s">
        <v>108</v>
      </c>
      <c r="O382" t="s">
        <v>195</v>
      </c>
      <c r="P382" t="s">
        <v>221</v>
      </c>
      <c r="Q382" t="s">
        <v>109</v>
      </c>
      <c r="R382" t="s">
        <v>22</v>
      </c>
      <c r="S382" t="s">
        <v>149</v>
      </c>
      <c r="T382" t="s">
        <v>226</v>
      </c>
      <c r="V382" t="s">
        <v>116</v>
      </c>
      <c r="W382" t="s">
        <v>169</v>
      </c>
      <c r="X382" t="s">
        <v>124</v>
      </c>
      <c r="Y382" t="s">
        <v>1040</v>
      </c>
      <c r="Z382">
        <v>2</v>
      </c>
      <c r="AA382" t="s">
        <v>1177</v>
      </c>
    </row>
    <row r="383" spans="1:27" ht="15" customHeight="1">
      <c r="A383">
        <v>14</v>
      </c>
      <c r="B383" s="139">
        <v>46167.643425925933</v>
      </c>
      <c r="C383" s="139">
        <v>46167.648206018523</v>
      </c>
      <c r="D383" t="s">
        <v>152</v>
      </c>
      <c r="E383" t="s">
        <v>153</v>
      </c>
      <c r="F383" t="s">
        <v>153</v>
      </c>
      <c r="G383" t="s">
        <v>154</v>
      </c>
      <c r="H383" s="139">
        <v>46162</v>
      </c>
      <c r="I383" t="s">
        <v>136</v>
      </c>
      <c r="M383" t="s">
        <v>222</v>
      </c>
      <c r="N383" t="s">
        <v>108</v>
      </c>
      <c r="O383" t="s">
        <v>195</v>
      </c>
      <c r="P383" t="s">
        <v>221</v>
      </c>
      <c r="Q383" t="s">
        <v>109</v>
      </c>
      <c r="R383" t="s">
        <v>22</v>
      </c>
      <c r="S383" t="s">
        <v>149</v>
      </c>
      <c r="T383" t="s">
        <v>226</v>
      </c>
      <c r="V383" t="s">
        <v>116</v>
      </c>
      <c r="W383" t="s">
        <v>169</v>
      </c>
      <c r="X383" t="s">
        <v>124</v>
      </c>
      <c r="Y383" t="s">
        <v>1042</v>
      </c>
      <c r="Z383">
        <v>1</v>
      </c>
      <c r="AA383" t="s">
        <v>1223</v>
      </c>
    </row>
    <row r="384" spans="1:27" ht="15" customHeight="1">
      <c r="A384">
        <v>14</v>
      </c>
      <c r="B384" s="139">
        <v>46167.643425925933</v>
      </c>
      <c r="C384" s="139">
        <v>46167.648206018523</v>
      </c>
      <c r="D384" t="s">
        <v>152</v>
      </c>
      <c r="E384" t="s">
        <v>153</v>
      </c>
      <c r="F384" t="s">
        <v>153</v>
      </c>
      <c r="G384" t="s">
        <v>154</v>
      </c>
      <c r="H384" s="139">
        <v>46162</v>
      </c>
      <c r="I384" t="s">
        <v>136</v>
      </c>
      <c r="M384" t="s">
        <v>222</v>
      </c>
      <c r="N384" t="s">
        <v>108</v>
      </c>
      <c r="O384" t="s">
        <v>195</v>
      </c>
      <c r="P384" t="s">
        <v>221</v>
      </c>
      <c r="Q384" t="s">
        <v>109</v>
      </c>
      <c r="R384" t="s">
        <v>22</v>
      </c>
      <c r="S384" t="s">
        <v>149</v>
      </c>
      <c r="T384" t="s">
        <v>226</v>
      </c>
      <c r="V384" t="s">
        <v>116</v>
      </c>
      <c r="W384" t="s">
        <v>169</v>
      </c>
      <c r="X384" t="s">
        <v>124</v>
      </c>
      <c r="Y384" t="s">
        <v>1044</v>
      </c>
      <c r="Z384">
        <v>1</v>
      </c>
      <c r="AA384" t="s">
        <v>1224</v>
      </c>
    </row>
    <row r="385" spans="1:27" ht="15" customHeight="1">
      <c r="A385">
        <v>45</v>
      </c>
      <c r="B385" s="139">
        <v>46168.714409722219</v>
      </c>
      <c r="C385" s="139">
        <v>46168.718912037039</v>
      </c>
      <c r="D385" t="s">
        <v>351</v>
      </c>
      <c r="E385" t="s">
        <v>352</v>
      </c>
      <c r="F385" t="s">
        <v>353</v>
      </c>
      <c r="G385" t="s">
        <v>354</v>
      </c>
      <c r="H385" s="139">
        <v>46162</v>
      </c>
      <c r="I385" t="s">
        <v>136</v>
      </c>
      <c r="J385" t="s">
        <v>187</v>
      </c>
      <c r="K385" t="s">
        <v>381</v>
      </c>
      <c r="N385" t="s">
        <v>382</v>
      </c>
      <c r="O385" t="s">
        <v>195</v>
      </c>
      <c r="P385" t="s">
        <v>108</v>
      </c>
      <c r="Q385" t="s">
        <v>123</v>
      </c>
      <c r="R385" t="s">
        <v>22</v>
      </c>
      <c r="S385" t="s">
        <v>149</v>
      </c>
      <c r="T385" t="s">
        <v>181</v>
      </c>
      <c r="U385" t="s">
        <v>385</v>
      </c>
      <c r="V385" t="s">
        <v>129</v>
      </c>
      <c r="W385" t="s">
        <v>130</v>
      </c>
      <c r="X385" t="s">
        <v>124</v>
      </c>
      <c r="Y385" t="s">
        <v>1040</v>
      </c>
      <c r="Z385">
        <v>1</v>
      </c>
      <c r="AA385" t="s">
        <v>1124</v>
      </c>
    </row>
    <row r="386" spans="1:27" ht="15" customHeight="1">
      <c r="A386">
        <v>45</v>
      </c>
      <c r="B386" s="139">
        <v>46168.714409722219</v>
      </c>
      <c r="C386" s="139">
        <v>46168.718912037039</v>
      </c>
      <c r="D386" t="s">
        <v>351</v>
      </c>
      <c r="E386" t="s">
        <v>352</v>
      </c>
      <c r="F386" t="s">
        <v>353</v>
      </c>
      <c r="G386" t="s">
        <v>354</v>
      </c>
      <c r="H386" s="139">
        <v>46162</v>
      </c>
      <c r="I386" t="s">
        <v>136</v>
      </c>
      <c r="J386" t="s">
        <v>187</v>
      </c>
      <c r="K386" t="s">
        <v>381</v>
      </c>
      <c r="N386" t="s">
        <v>382</v>
      </c>
      <c r="O386" t="s">
        <v>195</v>
      </c>
      <c r="P386" t="s">
        <v>108</v>
      </c>
      <c r="Q386" t="s">
        <v>123</v>
      </c>
      <c r="R386" t="s">
        <v>22</v>
      </c>
      <c r="S386" t="s">
        <v>149</v>
      </c>
      <c r="T386" t="s">
        <v>181</v>
      </c>
      <c r="U386" t="s">
        <v>385</v>
      </c>
      <c r="V386" t="s">
        <v>129</v>
      </c>
      <c r="W386" t="s">
        <v>130</v>
      </c>
      <c r="X386" t="s">
        <v>124</v>
      </c>
      <c r="Y386" t="s">
        <v>1042</v>
      </c>
      <c r="Z386">
        <v>1</v>
      </c>
      <c r="AA386" t="s">
        <v>1125</v>
      </c>
    </row>
    <row r="387" spans="1:27" ht="15" customHeight="1">
      <c r="A387">
        <v>45</v>
      </c>
      <c r="B387" s="139">
        <v>46168.714409722219</v>
      </c>
      <c r="C387" s="139">
        <v>46168.718912037039</v>
      </c>
      <c r="D387" t="s">
        <v>351</v>
      </c>
      <c r="E387" t="s">
        <v>352</v>
      </c>
      <c r="F387" t="s">
        <v>353</v>
      </c>
      <c r="G387" t="s">
        <v>354</v>
      </c>
      <c r="H387" s="139">
        <v>46162</v>
      </c>
      <c r="I387" t="s">
        <v>136</v>
      </c>
      <c r="J387" t="s">
        <v>187</v>
      </c>
      <c r="K387" t="s">
        <v>381</v>
      </c>
      <c r="N387" t="s">
        <v>382</v>
      </c>
      <c r="O387" t="s">
        <v>195</v>
      </c>
      <c r="P387" t="s">
        <v>108</v>
      </c>
      <c r="Q387" t="s">
        <v>123</v>
      </c>
      <c r="R387" t="s">
        <v>22</v>
      </c>
      <c r="S387" t="s">
        <v>149</v>
      </c>
      <c r="T387" t="s">
        <v>181</v>
      </c>
      <c r="U387" t="s">
        <v>385</v>
      </c>
      <c r="V387" t="s">
        <v>129</v>
      </c>
      <c r="W387" t="s">
        <v>130</v>
      </c>
      <c r="X387" t="s">
        <v>124</v>
      </c>
      <c r="Y387" t="s">
        <v>1042</v>
      </c>
      <c r="Z387">
        <v>2</v>
      </c>
      <c r="AA387" t="s">
        <v>1127</v>
      </c>
    </row>
    <row r="388" spans="1:27" ht="15" customHeight="1">
      <c r="A388">
        <v>45</v>
      </c>
      <c r="B388" s="139">
        <v>46168.714409722219</v>
      </c>
      <c r="C388" s="139">
        <v>46168.718912037039</v>
      </c>
      <c r="D388" t="s">
        <v>351</v>
      </c>
      <c r="E388" t="s">
        <v>352</v>
      </c>
      <c r="F388" t="s">
        <v>353</v>
      </c>
      <c r="G388" t="s">
        <v>354</v>
      </c>
      <c r="H388" s="139">
        <v>46162</v>
      </c>
      <c r="I388" t="s">
        <v>136</v>
      </c>
      <c r="J388" t="s">
        <v>187</v>
      </c>
      <c r="K388" t="s">
        <v>381</v>
      </c>
      <c r="N388" t="s">
        <v>382</v>
      </c>
      <c r="O388" t="s">
        <v>195</v>
      </c>
      <c r="P388" t="s">
        <v>108</v>
      </c>
      <c r="Q388" t="s">
        <v>123</v>
      </c>
      <c r="R388" t="s">
        <v>22</v>
      </c>
      <c r="S388" t="s">
        <v>149</v>
      </c>
      <c r="T388" t="s">
        <v>181</v>
      </c>
      <c r="U388" t="s">
        <v>385</v>
      </c>
      <c r="V388" t="s">
        <v>129</v>
      </c>
      <c r="W388" t="s">
        <v>130</v>
      </c>
      <c r="X388" t="s">
        <v>124</v>
      </c>
      <c r="Y388" t="s">
        <v>1042</v>
      </c>
      <c r="Z388">
        <v>3</v>
      </c>
      <c r="AA388" t="s">
        <v>1059</v>
      </c>
    </row>
    <row r="389" spans="1:27" ht="15" customHeight="1">
      <c r="A389">
        <v>45</v>
      </c>
      <c r="B389" s="139">
        <v>46168.714409722219</v>
      </c>
      <c r="C389" s="139">
        <v>46168.718912037039</v>
      </c>
      <c r="D389" t="s">
        <v>351</v>
      </c>
      <c r="E389" t="s">
        <v>352</v>
      </c>
      <c r="F389" t="s">
        <v>353</v>
      </c>
      <c r="G389" t="s">
        <v>354</v>
      </c>
      <c r="H389" s="139">
        <v>46162</v>
      </c>
      <c r="I389" t="s">
        <v>136</v>
      </c>
      <c r="J389" t="s">
        <v>187</v>
      </c>
      <c r="K389" t="s">
        <v>381</v>
      </c>
      <c r="N389" t="s">
        <v>382</v>
      </c>
      <c r="O389" t="s">
        <v>195</v>
      </c>
      <c r="P389" t="s">
        <v>108</v>
      </c>
      <c r="Q389" t="s">
        <v>123</v>
      </c>
      <c r="R389" t="s">
        <v>22</v>
      </c>
      <c r="S389" t="s">
        <v>149</v>
      </c>
      <c r="T389" t="s">
        <v>181</v>
      </c>
      <c r="U389" t="s">
        <v>385</v>
      </c>
      <c r="V389" t="s">
        <v>129</v>
      </c>
      <c r="W389" t="s">
        <v>130</v>
      </c>
      <c r="X389" t="s">
        <v>124</v>
      </c>
      <c r="Y389" t="s">
        <v>1044</v>
      </c>
      <c r="Z389">
        <v>1</v>
      </c>
      <c r="AA389" t="s">
        <v>1225</v>
      </c>
    </row>
    <row r="390" spans="1:27" ht="15" customHeight="1">
      <c r="A390">
        <v>45</v>
      </c>
      <c r="B390" s="139">
        <v>46168.714409722219</v>
      </c>
      <c r="C390" s="139">
        <v>46168.718912037039</v>
      </c>
      <c r="D390" t="s">
        <v>351</v>
      </c>
      <c r="E390" t="s">
        <v>352</v>
      </c>
      <c r="F390" t="s">
        <v>353</v>
      </c>
      <c r="G390" t="s">
        <v>354</v>
      </c>
      <c r="H390" s="139">
        <v>46162</v>
      </c>
      <c r="I390" t="s">
        <v>136</v>
      </c>
      <c r="J390" t="s">
        <v>187</v>
      </c>
      <c r="K390" t="s">
        <v>381</v>
      </c>
      <c r="N390" t="s">
        <v>382</v>
      </c>
      <c r="O390" t="s">
        <v>195</v>
      </c>
      <c r="P390" t="s">
        <v>108</v>
      </c>
      <c r="Q390" t="s">
        <v>123</v>
      </c>
      <c r="R390" t="s">
        <v>22</v>
      </c>
      <c r="S390" t="s">
        <v>149</v>
      </c>
      <c r="T390" t="s">
        <v>181</v>
      </c>
      <c r="U390" t="s">
        <v>385</v>
      </c>
      <c r="V390" t="s">
        <v>129</v>
      </c>
      <c r="W390" t="s">
        <v>130</v>
      </c>
      <c r="X390" t="s">
        <v>124</v>
      </c>
      <c r="Y390" t="s">
        <v>1044</v>
      </c>
      <c r="Z390">
        <v>2</v>
      </c>
      <c r="AA390" t="s">
        <v>1226</v>
      </c>
    </row>
    <row r="391" spans="1:27" ht="15" customHeight="1">
      <c r="A391">
        <v>45</v>
      </c>
      <c r="B391" s="139">
        <v>46168.714409722219</v>
      </c>
      <c r="C391" s="139">
        <v>46168.718912037039</v>
      </c>
      <c r="D391" t="s">
        <v>351</v>
      </c>
      <c r="E391" t="s">
        <v>352</v>
      </c>
      <c r="F391" t="s">
        <v>353</v>
      </c>
      <c r="G391" t="s">
        <v>354</v>
      </c>
      <c r="H391" s="139">
        <v>46162</v>
      </c>
      <c r="I391" t="s">
        <v>136</v>
      </c>
      <c r="J391" t="s">
        <v>187</v>
      </c>
      <c r="K391" t="s">
        <v>381</v>
      </c>
      <c r="N391" t="s">
        <v>382</v>
      </c>
      <c r="O391" t="s">
        <v>195</v>
      </c>
      <c r="P391" t="s">
        <v>108</v>
      </c>
      <c r="Q391" t="s">
        <v>123</v>
      </c>
      <c r="R391" t="s">
        <v>22</v>
      </c>
      <c r="S391" t="s">
        <v>149</v>
      </c>
      <c r="T391" t="s">
        <v>181</v>
      </c>
      <c r="U391" t="s">
        <v>385</v>
      </c>
      <c r="V391" t="s">
        <v>129</v>
      </c>
      <c r="W391" t="s">
        <v>130</v>
      </c>
      <c r="X391" t="s">
        <v>124</v>
      </c>
      <c r="Y391" t="s">
        <v>1044</v>
      </c>
      <c r="Z391">
        <v>3</v>
      </c>
      <c r="AA391" t="s">
        <v>1130</v>
      </c>
    </row>
    <row r="392" spans="1:27" ht="15" customHeight="1">
      <c r="A392">
        <v>45</v>
      </c>
      <c r="B392" s="139">
        <v>46168.714409722219</v>
      </c>
      <c r="C392" s="139">
        <v>46168.718912037039</v>
      </c>
      <c r="D392" t="s">
        <v>351</v>
      </c>
      <c r="E392" t="s">
        <v>352</v>
      </c>
      <c r="F392" t="s">
        <v>353</v>
      </c>
      <c r="G392" t="s">
        <v>354</v>
      </c>
      <c r="H392" s="139">
        <v>46162</v>
      </c>
      <c r="I392" t="s">
        <v>136</v>
      </c>
      <c r="J392" t="s">
        <v>187</v>
      </c>
      <c r="K392" t="s">
        <v>381</v>
      </c>
      <c r="N392" t="s">
        <v>382</v>
      </c>
      <c r="O392" t="s">
        <v>195</v>
      </c>
      <c r="P392" t="s">
        <v>108</v>
      </c>
      <c r="Q392" t="s">
        <v>123</v>
      </c>
      <c r="R392" t="s">
        <v>22</v>
      </c>
      <c r="S392" t="s">
        <v>149</v>
      </c>
      <c r="T392" t="s">
        <v>181</v>
      </c>
      <c r="U392" t="s">
        <v>385</v>
      </c>
      <c r="V392" t="s">
        <v>129</v>
      </c>
      <c r="W392" t="s">
        <v>130</v>
      </c>
      <c r="X392" t="s">
        <v>124</v>
      </c>
      <c r="Y392" t="s">
        <v>1044</v>
      </c>
      <c r="Z392">
        <v>4</v>
      </c>
      <c r="AA392" t="s">
        <v>1062</v>
      </c>
    </row>
    <row r="393" spans="1:27" ht="15" customHeight="1">
      <c r="A393">
        <v>45</v>
      </c>
      <c r="B393" s="139">
        <v>46168.714409722219</v>
      </c>
      <c r="C393" s="139">
        <v>46168.718912037039</v>
      </c>
      <c r="D393" t="s">
        <v>351</v>
      </c>
      <c r="E393" t="s">
        <v>352</v>
      </c>
      <c r="F393" t="s">
        <v>353</v>
      </c>
      <c r="G393" t="s">
        <v>354</v>
      </c>
      <c r="H393" s="139">
        <v>46162</v>
      </c>
      <c r="I393" t="s">
        <v>136</v>
      </c>
      <c r="J393" t="s">
        <v>187</v>
      </c>
      <c r="K393" t="s">
        <v>381</v>
      </c>
      <c r="N393" t="s">
        <v>382</v>
      </c>
      <c r="O393" t="s">
        <v>195</v>
      </c>
      <c r="P393" t="s">
        <v>108</v>
      </c>
      <c r="Q393" t="s">
        <v>123</v>
      </c>
      <c r="R393" t="s">
        <v>22</v>
      </c>
      <c r="S393" t="s">
        <v>149</v>
      </c>
      <c r="T393" t="s">
        <v>181</v>
      </c>
      <c r="U393" t="s">
        <v>385</v>
      </c>
      <c r="V393" t="s">
        <v>129</v>
      </c>
      <c r="W393" t="s">
        <v>130</v>
      </c>
      <c r="X393" t="s">
        <v>124</v>
      </c>
      <c r="Y393" t="s">
        <v>1044</v>
      </c>
      <c r="Z393">
        <v>5</v>
      </c>
      <c r="AA393" t="s">
        <v>1178</v>
      </c>
    </row>
    <row r="394" spans="1:27" ht="15" customHeight="1">
      <c r="A394">
        <v>48</v>
      </c>
      <c r="B394" s="139">
        <v>46168.720995370371</v>
      </c>
      <c r="C394" s="139">
        <v>46168.722638888888</v>
      </c>
      <c r="D394" t="s">
        <v>351</v>
      </c>
      <c r="E394" t="s">
        <v>352</v>
      </c>
      <c r="F394" t="s">
        <v>353</v>
      </c>
      <c r="G394" t="s">
        <v>354</v>
      </c>
      <c r="H394" s="139">
        <v>46162</v>
      </c>
      <c r="I394" t="s">
        <v>136</v>
      </c>
      <c r="J394" t="s">
        <v>161</v>
      </c>
      <c r="M394" t="s">
        <v>394</v>
      </c>
      <c r="N394" t="s">
        <v>395</v>
      </c>
      <c r="O394" t="s">
        <v>195</v>
      </c>
      <c r="P394" t="s">
        <v>108</v>
      </c>
      <c r="Q394" t="s">
        <v>109</v>
      </c>
      <c r="R394" t="s">
        <v>22</v>
      </c>
      <c r="S394" t="s">
        <v>114</v>
      </c>
      <c r="T394" t="s">
        <v>181</v>
      </c>
      <c r="U394" t="s">
        <v>397</v>
      </c>
      <c r="V394" t="s">
        <v>129</v>
      </c>
      <c r="W394" t="s">
        <v>130</v>
      </c>
      <c r="X394" t="s">
        <v>124</v>
      </c>
      <c r="Y394" t="s">
        <v>1040</v>
      </c>
      <c r="Z394">
        <v>1</v>
      </c>
      <c r="AA394" t="s">
        <v>1177</v>
      </c>
    </row>
    <row r="395" spans="1:27" ht="15" customHeight="1">
      <c r="A395">
        <v>48</v>
      </c>
      <c r="B395" s="139">
        <v>46168.720995370371</v>
      </c>
      <c r="C395" s="139">
        <v>46168.722638888888</v>
      </c>
      <c r="D395" t="s">
        <v>351</v>
      </c>
      <c r="E395" t="s">
        <v>352</v>
      </c>
      <c r="F395" t="s">
        <v>353</v>
      </c>
      <c r="G395" t="s">
        <v>354</v>
      </c>
      <c r="H395" s="139">
        <v>46162</v>
      </c>
      <c r="I395" t="s">
        <v>136</v>
      </c>
      <c r="J395" t="s">
        <v>161</v>
      </c>
      <c r="M395" t="s">
        <v>394</v>
      </c>
      <c r="N395" t="s">
        <v>395</v>
      </c>
      <c r="O395" t="s">
        <v>195</v>
      </c>
      <c r="P395" t="s">
        <v>108</v>
      </c>
      <c r="Q395" t="s">
        <v>109</v>
      </c>
      <c r="R395" t="s">
        <v>22</v>
      </c>
      <c r="S395" t="s">
        <v>114</v>
      </c>
      <c r="T395" t="s">
        <v>181</v>
      </c>
      <c r="U395" t="s">
        <v>397</v>
      </c>
      <c r="V395" t="s">
        <v>129</v>
      </c>
      <c r="W395" t="s">
        <v>130</v>
      </c>
      <c r="X395" t="s">
        <v>124</v>
      </c>
      <c r="Y395" t="s">
        <v>1042</v>
      </c>
      <c r="Z395">
        <v>1</v>
      </c>
      <c r="AA395" t="s">
        <v>1125</v>
      </c>
    </row>
    <row r="396" spans="1:27" ht="15" customHeight="1">
      <c r="A396">
        <v>48</v>
      </c>
      <c r="B396" s="139">
        <v>46168.720995370371</v>
      </c>
      <c r="C396" s="139">
        <v>46168.722638888888</v>
      </c>
      <c r="D396" t="s">
        <v>351</v>
      </c>
      <c r="E396" t="s">
        <v>352</v>
      </c>
      <c r="F396" t="s">
        <v>353</v>
      </c>
      <c r="G396" t="s">
        <v>354</v>
      </c>
      <c r="H396" s="139">
        <v>46162</v>
      </c>
      <c r="I396" t="s">
        <v>136</v>
      </c>
      <c r="J396" t="s">
        <v>161</v>
      </c>
      <c r="M396" t="s">
        <v>394</v>
      </c>
      <c r="N396" t="s">
        <v>395</v>
      </c>
      <c r="O396" t="s">
        <v>195</v>
      </c>
      <c r="P396" t="s">
        <v>108</v>
      </c>
      <c r="Q396" t="s">
        <v>109</v>
      </c>
      <c r="R396" t="s">
        <v>22</v>
      </c>
      <c r="S396" t="s">
        <v>114</v>
      </c>
      <c r="T396" t="s">
        <v>181</v>
      </c>
      <c r="U396" t="s">
        <v>397</v>
      </c>
      <c r="V396" t="s">
        <v>129</v>
      </c>
      <c r="W396" t="s">
        <v>130</v>
      </c>
      <c r="X396" t="s">
        <v>124</v>
      </c>
      <c r="Y396" t="s">
        <v>1044</v>
      </c>
      <c r="Z396">
        <v>1</v>
      </c>
      <c r="AA396" t="s">
        <v>1130</v>
      </c>
    </row>
    <row r="397" spans="1:27" ht="15" customHeight="1">
      <c r="A397">
        <v>53</v>
      </c>
      <c r="B397" s="139">
        <v>46168.756539351853</v>
      </c>
      <c r="C397" s="139">
        <v>46168.761979166673</v>
      </c>
      <c r="D397" t="s">
        <v>413</v>
      </c>
      <c r="E397" t="s">
        <v>414</v>
      </c>
      <c r="F397" t="s">
        <v>415</v>
      </c>
      <c r="G397" t="s">
        <v>416</v>
      </c>
      <c r="H397" s="139">
        <v>46162</v>
      </c>
      <c r="I397" t="s">
        <v>136</v>
      </c>
      <c r="J397" t="s">
        <v>187</v>
      </c>
      <c r="K397" t="s">
        <v>341</v>
      </c>
      <c r="N397" t="s">
        <v>418</v>
      </c>
      <c r="O397" t="s">
        <v>417</v>
      </c>
      <c r="P397" t="s">
        <v>108</v>
      </c>
      <c r="Q397" t="s">
        <v>123</v>
      </c>
      <c r="R397" t="s">
        <v>24</v>
      </c>
      <c r="S397" t="s">
        <v>143</v>
      </c>
      <c r="T397" t="s">
        <v>226</v>
      </c>
      <c r="U397" t="s">
        <v>423</v>
      </c>
      <c r="V397" t="s">
        <v>151</v>
      </c>
      <c r="W397" t="s">
        <v>169</v>
      </c>
      <c r="X397" t="s">
        <v>419</v>
      </c>
      <c r="Y397" t="s">
        <v>1040</v>
      </c>
      <c r="Z397">
        <v>1</v>
      </c>
      <c r="AA397" t="s">
        <v>1181</v>
      </c>
    </row>
    <row r="398" spans="1:27" ht="15" customHeight="1">
      <c r="A398">
        <v>53</v>
      </c>
      <c r="B398" s="139">
        <v>46168.756539351853</v>
      </c>
      <c r="C398" s="139">
        <v>46168.761979166673</v>
      </c>
      <c r="D398" t="s">
        <v>413</v>
      </c>
      <c r="E398" t="s">
        <v>414</v>
      </c>
      <c r="F398" t="s">
        <v>415</v>
      </c>
      <c r="G398" t="s">
        <v>416</v>
      </c>
      <c r="H398" s="139">
        <v>46162</v>
      </c>
      <c r="I398" t="s">
        <v>136</v>
      </c>
      <c r="J398" t="s">
        <v>187</v>
      </c>
      <c r="K398" t="s">
        <v>341</v>
      </c>
      <c r="N398" t="s">
        <v>418</v>
      </c>
      <c r="O398" t="s">
        <v>417</v>
      </c>
      <c r="P398" t="s">
        <v>108</v>
      </c>
      <c r="Q398" t="s">
        <v>123</v>
      </c>
      <c r="R398" t="s">
        <v>24</v>
      </c>
      <c r="S398" t="s">
        <v>143</v>
      </c>
      <c r="T398" t="s">
        <v>226</v>
      </c>
      <c r="U398" t="s">
        <v>423</v>
      </c>
      <c r="V398" t="s">
        <v>151</v>
      </c>
      <c r="W398" t="s">
        <v>169</v>
      </c>
      <c r="X398" t="s">
        <v>419</v>
      </c>
      <c r="Y398" t="s">
        <v>1040</v>
      </c>
      <c r="Z398">
        <v>2</v>
      </c>
      <c r="AA398" t="s">
        <v>1227</v>
      </c>
    </row>
    <row r="399" spans="1:27" ht="15" customHeight="1">
      <c r="A399">
        <v>53</v>
      </c>
      <c r="B399" s="139">
        <v>46168.756539351853</v>
      </c>
      <c r="C399" s="139">
        <v>46168.761979166673</v>
      </c>
      <c r="D399" t="s">
        <v>413</v>
      </c>
      <c r="E399" t="s">
        <v>414</v>
      </c>
      <c r="F399" t="s">
        <v>415</v>
      </c>
      <c r="G399" t="s">
        <v>416</v>
      </c>
      <c r="H399" s="139">
        <v>46162</v>
      </c>
      <c r="I399" t="s">
        <v>136</v>
      </c>
      <c r="J399" t="s">
        <v>187</v>
      </c>
      <c r="K399" t="s">
        <v>341</v>
      </c>
      <c r="N399" t="s">
        <v>418</v>
      </c>
      <c r="O399" t="s">
        <v>417</v>
      </c>
      <c r="P399" t="s">
        <v>108</v>
      </c>
      <c r="Q399" t="s">
        <v>123</v>
      </c>
      <c r="R399" t="s">
        <v>24</v>
      </c>
      <c r="S399" t="s">
        <v>143</v>
      </c>
      <c r="T399" t="s">
        <v>226</v>
      </c>
      <c r="U399" t="s">
        <v>423</v>
      </c>
      <c r="V399" t="s">
        <v>151</v>
      </c>
      <c r="W399" t="s">
        <v>169</v>
      </c>
      <c r="X399" t="s">
        <v>419</v>
      </c>
      <c r="Y399" t="s">
        <v>1042</v>
      </c>
      <c r="Z399">
        <v>1</v>
      </c>
      <c r="AA399" t="s">
        <v>1228</v>
      </c>
    </row>
    <row r="400" spans="1:27" ht="15" customHeight="1">
      <c r="A400">
        <v>53</v>
      </c>
      <c r="B400" s="139">
        <v>46168.756539351853</v>
      </c>
      <c r="C400" s="139">
        <v>46168.761979166673</v>
      </c>
      <c r="D400" t="s">
        <v>413</v>
      </c>
      <c r="E400" t="s">
        <v>414</v>
      </c>
      <c r="F400" t="s">
        <v>415</v>
      </c>
      <c r="G400" t="s">
        <v>416</v>
      </c>
      <c r="H400" s="139">
        <v>46162</v>
      </c>
      <c r="I400" t="s">
        <v>136</v>
      </c>
      <c r="J400" t="s">
        <v>187</v>
      </c>
      <c r="K400" t="s">
        <v>341</v>
      </c>
      <c r="N400" t="s">
        <v>418</v>
      </c>
      <c r="O400" t="s">
        <v>417</v>
      </c>
      <c r="P400" t="s">
        <v>108</v>
      </c>
      <c r="Q400" t="s">
        <v>123</v>
      </c>
      <c r="R400" t="s">
        <v>24</v>
      </c>
      <c r="S400" t="s">
        <v>143</v>
      </c>
      <c r="T400" t="s">
        <v>226</v>
      </c>
      <c r="U400" t="s">
        <v>423</v>
      </c>
      <c r="V400" t="s">
        <v>151</v>
      </c>
      <c r="W400" t="s">
        <v>169</v>
      </c>
      <c r="X400" t="s">
        <v>419</v>
      </c>
      <c r="Y400" t="s">
        <v>1042</v>
      </c>
      <c r="Z400">
        <v>2</v>
      </c>
      <c r="AA400" t="s">
        <v>1229</v>
      </c>
    </row>
    <row r="401" spans="1:27" ht="15" customHeight="1">
      <c r="A401">
        <v>53</v>
      </c>
      <c r="B401" s="139">
        <v>46168.756539351853</v>
      </c>
      <c r="C401" s="139">
        <v>46168.761979166673</v>
      </c>
      <c r="D401" t="s">
        <v>413</v>
      </c>
      <c r="E401" t="s">
        <v>414</v>
      </c>
      <c r="F401" t="s">
        <v>415</v>
      </c>
      <c r="G401" t="s">
        <v>416</v>
      </c>
      <c r="H401" s="139">
        <v>46162</v>
      </c>
      <c r="I401" t="s">
        <v>136</v>
      </c>
      <c r="J401" t="s">
        <v>187</v>
      </c>
      <c r="K401" t="s">
        <v>341</v>
      </c>
      <c r="N401" t="s">
        <v>418</v>
      </c>
      <c r="O401" t="s">
        <v>417</v>
      </c>
      <c r="P401" t="s">
        <v>108</v>
      </c>
      <c r="Q401" t="s">
        <v>123</v>
      </c>
      <c r="R401" t="s">
        <v>24</v>
      </c>
      <c r="S401" t="s">
        <v>143</v>
      </c>
      <c r="T401" t="s">
        <v>226</v>
      </c>
      <c r="U401" t="s">
        <v>423</v>
      </c>
      <c r="V401" t="s">
        <v>151</v>
      </c>
      <c r="W401" t="s">
        <v>169</v>
      </c>
      <c r="X401" t="s">
        <v>419</v>
      </c>
      <c r="Y401" t="s">
        <v>1042</v>
      </c>
      <c r="Z401">
        <v>3</v>
      </c>
      <c r="AA401" t="s">
        <v>1230</v>
      </c>
    </row>
    <row r="402" spans="1:27" ht="15" customHeight="1">
      <c r="A402">
        <v>53</v>
      </c>
      <c r="B402" s="139">
        <v>46168.756539351853</v>
      </c>
      <c r="C402" s="139">
        <v>46168.761979166673</v>
      </c>
      <c r="D402" t="s">
        <v>413</v>
      </c>
      <c r="E402" t="s">
        <v>414</v>
      </c>
      <c r="F402" t="s">
        <v>415</v>
      </c>
      <c r="G402" t="s">
        <v>416</v>
      </c>
      <c r="H402" s="139">
        <v>46162</v>
      </c>
      <c r="I402" t="s">
        <v>136</v>
      </c>
      <c r="J402" t="s">
        <v>187</v>
      </c>
      <c r="K402" t="s">
        <v>341</v>
      </c>
      <c r="N402" t="s">
        <v>418</v>
      </c>
      <c r="O402" t="s">
        <v>417</v>
      </c>
      <c r="P402" t="s">
        <v>108</v>
      </c>
      <c r="Q402" t="s">
        <v>123</v>
      </c>
      <c r="R402" t="s">
        <v>24</v>
      </c>
      <c r="S402" t="s">
        <v>143</v>
      </c>
      <c r="T402" t="s">
        <v>226</v>
      </c>
      <c r="U402" t="s">
        <v>423</v>
      </c>
      <c r="V402" t="s">
        <v>151</v>
      </c>
      <c r="W402" t="s">
        <v>169</v>
      </c>
      <c r="X402" t="s">
        <v>419</v>
      </c>
      <c r="Y402" t="s">
        <v>1042</v>
      </c>
      <c r="Z402">
        <v>4</v>
      </c>
      <c r="AA402" t="s">
        <v>1182</v>
      </c>
    </row>
    <row r="403" spans="1:27" ht="15" customHeight="1">
      <c r="A403">
        <v>53</v>
      </c>
      <c r="B403" s="139">
        <v>46168.756539351853</v>
      </c>
      <c r="C403" s="139">
        <v>46168.761979166673</v>
      </c>
      <c r="D403" t="s">
        <v>413</v>
      </c>
      <c r="E403" t="s">
        <v>414</v>
      </c>
      <c r="F403" t="s">
        <v>415</v>
      </c>
      <c r="G403" t="s">
        <v>416</v>
      </c>
      <c r="H403" s="139">
        <v>46162</v>
      </c>
      <c r="I403" t="s">
        <v>136</v>
      </c>
      <c r="J403" t="s">
        <v>187</v>
      </c>
      <c r="K403" t="s">
        <v>341</v>
      </c>
      <c r="N403" t="s">
        <v>418</v>
      </c>
      <c r="O403" t="s">
        <v>417</v>
      </c>
      <c r="P403" t="s">
        <v>108</v>
      </c>
      <c r="Q403" t="s">
        <v>123</v>
      </c>
      <c r="R403" t="s">
        <v>24</v>
      </c>
      <c r="S403" t="s">
        <v>143</v>
      </c>
      <c r="T403" t="s">
        <v>226</v>
      </c>
      <c r="U403" t="s">
        <v>423</v>
      </c>
      <c r="V403" t="s">
        <v>151</v>
      </c>
      <c r="W403" t="s">
        <v>169</v>
      </c>
      <c r="X403" t="s">
        <v>419</v>
      </c>
      <c r="Y403" t="s">
        <v>1044</v>
      </c>
      <c r="Z403">
        <v>1</v>
      </c>
      <c r="AA403" t="s">
        <v>1231</v>
      </c>
    </row>
    <row r="404" spans="1:27" ht="15" customHeight="1">
      <c r="A404">
        <v>53</v>
      </c>
      <c r="B404" s="139">
        <v>46168.756539351853</v>
      </c>
      <c r="C404" s="139">
        <v>46168.761979166673</v>
      </c>
      <c r="D404" t="s">
        <v>413</v>
      </c>
      <c r="E404" t="s">
        <v>414</v>
      </c>
      <c r="F404" t="s">
        <v>415</v>
      </c>
      <c r="G404" t="s">
        <v>416</v>
      </c>
      <c r="H404" s="139">
        <v>46162</v>
      </c>
      <c r="I404" t="s">
        <v>136</v>
      </c>
      <c r="J404" t="s">
        <v>187</v>
      </c>
      <c r="K404" t="s">
        <v>341</v>
      </c>
      <c r="N404" t="s">
        <v>418</v>
      </c>
      <c r="O404" t="s">
        <v>417</v>
      </c>
      <c r="P404" t="s">
        <v>108</v>
      </c>
      <c r="Q404" t="s">
        <v>123</v>
      </c>
      <c r="R404" t="s">
        <v>24</v>
      </c>
      <c r="S404" t="s">
        <v>143</v>
      </c>
      <c r="T404" t="s">
        <v>226</v>
      </c>
      <c r="U404" t="s">
        <v>423</v>
      </c>
      <c r="V404" t="s">
        <v>151</v>
      </c>
      <c r="W404" t="s">
        <v>169</v>
      </c>
      <c r="X404" t="s">
        <v>419</v>
      </c>
      <c r="Y404" t="s">
        <v>1044</v>
      </c>
      <c r="Z404">
        <v>2</v>
      </c>
      <c r="AA404" t="s">
        <v>1232</v>
      </c>
    </row>
    <row r="405" spans="1:27" ht="15" customHeight="1">
      <c r="A405">
        <v>69</v>
      </c>
      <c r="B405" s="139">
        <v>46175.810972222222</v>
      </c>
      <c r="C405" s="139">
        <v>46175.815162037034</v>
      </c>
      <c r="D405" t="s">
        <v>513</v>
      </c>
      <c r="E405" t="s">
        <v>514</v>
      </c>
      <c r="F405" t="s">
        <v>515</v>
      </c>
      <c r="G405" t="s">
        <v>516</v>
      </c>
      <c r="H405" s="139">
        <v>46162</v>
      </c>
      <c r="I405" t="s">
        <v>472</v>
      </c>
      <c r="J405" t="s">
        <v>174</v>
      </c>
      <c r="L405" t="s">
        <v>522</v>
      </c>
      <c r="N405" t="s">
        <v>523</v>
      </c>
      <c r="O405" t="s">
        <v>135</v>
      </c>
      <c r="P405" t="s">
        <v>108</v>
      </c>
      <c r="Q405" t="s">
        <v>109</v>
      </c>
      <c r="R405" t="s">
        <v>24</v>
      </c>
      <c r="S405" t="s">
        <v>143</v>
      </c>
      <c r="T405" t="s">
        <v>150</v>
      </c>
      <c r="U405" t="s">
        <v>528</v>
      </c>
      <c r="V405" t="s">
        <v>116</v>
      </c>
      <c r="W405" t="s">
        <v>117</v>
      </c>
      <c r="X405" t="s">
        <v>524</v>
      </c>
      <c r="Y405" t="s">
        <v>1040</v>
      </c>
      <c r="Z405">
        <v>1</v>
      </c>
      <c r="AA405" t="s">
        <v>1233</v>
      </c>
    </row>
    <row r="406" spans="1:27" ht="15" customHeight="1">
      <c r="A406">
        <v>69</v>
      </c>
      <c r="B406" s="139">
        <v>46175.810972222222</v>
      </c>
      <c r="C406" s="139">
        <v>46175.815162037034</v>
      </c>
      <c r="D406" t="s">
        <v>513</v>
      </c>
      <c r="E406" t="s">
        <v>514</v>
      </c>
      <c r="F406" t="s">
        <v>515</v>
      </c>
      <c r="G406" t="s">
        <v>516</v>
      </c>
      <c r="H406" s="139">
        <v>46162</v>
      </c>
      <c r="I406" t="s">
        <v>472</v>
      </c>
      <c r="J406" t="s">
        <v>174</v>
      </c>
      <c r="L406" t="s">
        <v>522</v>
      </c>
      <c r="N406" t="s">
        <v>523</v>
      </c>
      <c r="O406" t="s">
        <v>135</v>
      </c>
      <c r="P406" t="s">
        <v>108</v>
      </c>
      <c r="Q406" t="s">
        <v>109</v>
      </c>
      <c r="R406" t="s">
        <v>24</v>
      </c>
      <c r="S406" t="s">
        <v>143</v>
      </c>
      <c r="T406" t="s">
        <v>150</v>
      </c>
      <c r="U406" t="s">
        <v>528</v>
      </c>
      <c r="V406" t="s">
        <v>116</v>
      </c>
      <c r="W406" t="s">
        <v>117</v>
      </c>
      <c r="X406" t="s">
        <v>524</v>
      </c>
      <c r="Y406" t="s">
        <v>1042</v>
      </c>
      <c r="Z406">
        <v>1</v>
      </c>
      <c r="AA406" t="s">
        <v>1234</v>
      </c>
    </row>
    <row r="407" spans="1:27" ht="15" customHeight="1">
      <c r="A407">
        <v>69</v>
      </c>
      <c r="B407" s="139">
        <v>46175.810972222222</v>
      </c>
      <c r="C407" s="139">
        <v>46175.815162037034</v>
      </c>
      <c r="D407" t="s">
        <v>513</v>
      </c>
      <c r="E407" t="s">
        <v>514</v>
      </c>
      <c r="F407" t="s">
        <v>515</v>
      </c>
      <c r="G407" t="s">
        <v>516</v>
      </c>
      <c r="H407" s="139">
        <v>46162</v>
      </c>
      <c r="I407" t="s">
        <v>472</v>
      </c>
      <c r="J407" t="s">
        <v>174</v>
      </c>
      <c r="L407" t="s">
        <v>522</v>
      </c>
      <c r="N407" t="s">
        <v>523</v>
      </c>
      <c r="O407" t="s">
        <v>135</v>
      </c>
      <c r="P407" t="s">
        <v>108</v>
      </c>
      <c r="Q407" t="s">
        <v>109</v>
      </c>
      <c r="R407" t="s">
        <v>24</v>
      </c>
      <c r="S407" t="s">
        <v>143</v>
      </c>
      <c r="T407" t="s">
        <v>150</v>
      </c>
      <c r="U407" t="s">
        <v>528</v>
      </c>
      <c r="V407" t="s">
        <v>116</v>
      </c>
      <c r="W407" t="s">
        <v>117</v>
      </c>
      <c r="X407" t="s">
        <v>524</v>
      </c>
      <c r="Y407" t="s">
        <v>1044</v>
      </c>
      <c r="Z407">
        <v>1</v>
      </c>
      <c r="AA407" t="s">
        <v>1235</v>
      </c>
    </row>
    <row r="408" spans="1:27" ht="15" customHeight="1">
      <c r="A408">
        <v>86</v>
      </c>
      <c r="B408" s="139">
        <v>46177.025972222233</v>
      </c>
      <c r="C408" s="139">
        <v>46177.027037037027</v>
      </c>
      <c r="D408" t="s">
        <v>468</v>
      </c>
      <c r="E408" t="s">
        <v>469</v>
      </c>
      <c r="F408" t="s">
        <v>469</v>
      </c>
      <c r="G408" t="s">
        <v>471</v>
      </c>
      <c r="H408" s="139">
        <v>46162</v>
      </c>
      <c r="I408" t="s">
        <v>472</v>
      </c>
      <c r="J408" t="s">
        <v>161</v>
      </c>
      <c r="M408" t="s">
        <v>473</v>
      </c>
      <c r="N408" t="s">
        <v>607</v>
      </c>
      <c r="O408" t="s">
        <v>122</v>
      </c>
      <c r="P408" t="s">
        <v>108</v>
      </c>
      <c r="Q408" t="s">
        <v>123</v>
      </c>
      <c r="R408" t="s">
        <v>25</v>
      </c>
      <c r="S408" t="s">
        <v>149</v>
      </c>
      <c r="T408" t="s">
        <v>478</v>
      </c>
      <c r="V408" t="s">
        <v>151</v>
      </c>
      <c r="W408" t="s">
        <v>117</v>
      </c>
      <c r="X408" t="s">
        <v>256</v>
      </c>
      <c r="Y408" t="s">
        <v>1040</v>
      </c>
      <c r="Z408">
        <v>1</v>
      </c>
      <c r="AA408" t="s">
        <v>1236</v>
      </c>
    </row>
    <row r="409" spans="1:27" ht="15" customHeight="1">
      <c r="A409">
        <v>86</v>
      </c>
      <c r="B409" s="139">
        <v>46177.025972222233</v>
      </c>
      <c r="C409" s="139">
        <v>46177.027037037027</v>
      </c>
      <c r="D409" t="s">
        <v>468</v>
      </c>
      <c r="E409" t="s">
        <v>469</v>
      </c>
      <c r="F409" t="s">
        <v>469</v>
      </c>
      <c r="G409" t="s">
        <v>471</v>
      </c>
      <c r="H409" s="139">
        <v>46162</v>
      </c>
      <c r="I409" t="s">
        <v>472</v>
      </c>
      <c r="J409" t="s">
        <v>161</v>
      </c>
      <c r="M409" t="s">
        <v>473</v>
      </c>
      <c r="N409" t="s">
        <v>607</v>
      </c>
      <c r="O409" t="s">
        <v>122</v>
      </c>
      <c r="P409" t="s">
        <v>108</v>
      </c>
      <c r="Q409" t="s">
        <v>123</v>
      </c>
      <c r="R409" t="s">
        <v>25</v>
      </c>
      <c r="S409" t="s">
        <v>149</v>
      </c>
      <c r="T409" t="s">
        <v>478</v>
      </c>
      <c r="V409" t="s">
        <v>151</v>
      </c>
      <c r="W409" t="s">
        <v>117</v>
      </c>
      <c r="X409" t="s">
        <v>256</v>
      </c>
      <c r="Y409" t="s">
        <v>1042</v>
      </c>
      <c r="Z409">
        <v>1</v>
      </c>
      <c r="AA409" t="s">
        <v>1132</v>
      </c>
    </row>
    <row r="410" spans="1:27" ht="15" customHeight="1">
      <c r="A410">
        <v>86</v>
      </c>
      <c r="B410" s="139">
        <v>46177.025972222233</v>
      </c>
      <c r="C410" s="139">
        <v>46177.027037037027</v>
      </c>
      <c r="D410" t="s">
        <v>468</v>
      </c>
      <c r="E410" t="s">
        <v>469</v>
      </c>
      <c r="F410" t="s">
        <v>469</v>
      </c>
      <c r="G410" t="s">
        <v>471</v>
      </c>
      <c r="H410" s="139">
        <v>46162</v>
      </c>
      <c r="I410" t="s">
        <v>472</v>
      </c>
      <c r="J410" t="s">
        <v>161</v>
      </c>
      <c r="M410" t="s">
        <v>473</v>
      </c>
      <c r="N410" t="s">
        <v>607</v>
      </c>
      <c r="O410" t="s">
        <v>122</v>
      </c>
      <c r="P410" t="s">
        <v>108</v>
      </c>
      <c r="Q410" t="s">
        <v>123</v>
      </c>
      <c r="R410" t="s">
        <v>25</v>
      </c>
      <c r="S410" t="s">
        <v>149</v>
      </c>
      <c r="T410" t="s">
        <v>478</v>
      </c>
      <c r="V410" t="s">
        <v>151</v>
      </c>
      <c r="W410" t="s">
        <v>117</v>
      </c>
      <c r="X410" t="s">
        <v>256</v>
      </c>
      <c r="Y410" t="s">
        <v>1042</v>
      </c>
      <c r="Z410">
        <v>2</v>
      </c>
      <c r="AA410" t="s">
        <v>1133</v>
      </c>
    </row>
    <row r="411" spans="1:27" ht="15" customHeight="1">
      <c r="A411">
        <v>86</v>
      </c>
      <c r="B411" s="139">
        <v>46177.025972222233</v>
      </c>
      <c r="C411" s="139">
        <v>46177.027037037027</v>
      </c>
      <c r="D411" t="s">
        <v>468</v>
      </c>
      <c r="E411" t="s">
        <v>469</v>
      </c>
      <c r="F411" t="s">
        <v>469</v>
      </c>
      <c r="G411" t="s">
        <v>471</v>
      </c>
      <c r="H411" s="139">
        <v>46162</v>
      </c>
      <c r="I411" t="s">
        <v>472</v>
      </c>
      <c r="J411" t="s">
        <v>161</v>
      </c>
      <c r="M411" t="s">
        <v>473</v>
      </c>
      <c r="N411" t="s">
        <v>607</v>
      </c>
      <c r="O411" t="s">
        <v>122</v>
      </c>
      <c r="P411" t="s">
        <v>108</v>
      </c>
      <c r="Q411" t="s">
        <v>123</v>
      </c>
      <c r="R411" t="s">
        <v>25</v>
      </c>
      <c r="S411" t="s">
        <v>149</v>
      </c>
      <c r="T411" t="s">
        <v>478</v>
      </c>
      <c r="V411" t="s">
        <v>151</v>
      </c>
      <c r="W411" t="s">
        <v>117</v>
      </c>
      <c r="X411" t="s">
        <v>256</v>
      </c>
      <c r="Y411" t="s">
        <v>1042</v>
      </c>
      <c r="Z411">
        <v>3</v>
      </c>
      <c r="AA411" t="s">
        <v>1237</v>
      </c>
    </row>
    <row r="412" spans="1:27" ht="15" customHeight="1">
      <c r="A412">
        <v>86</v>
      </c>
      <c r="B412" s="139">
        <v>46177.025972222233</v>
      </c>
      <c r="C412" s="139">
        <v>46177.027037037027</v>
      </c>
      <c r="D412" t="s">
        <v>468</v>
      </c>
      <c r="E412" t="s">
        <v>469</v>
      </c>
      <c r="F412" t="s">
        <v>469</v>
      </c>
      <c r="G412" t="s">
        <v>471</v>
      </c>
      <c r="H412" s="139">
        <v>46162</v>
      </c>
      <c r="I412" t="s">
        <v>472</v>
      </c>
      <c r="J412" t="s">
        <v>161</v>
      </c>
      <c r="M412" t="s">
        <v>473</v>
      </c>
      <c r="N412" t="s">
        <v>607</v>
      </c>
      <c r="O412" t="s">
        <v>122</v>
      </c>
      <c r="P412" t="s">
        <v>108</v>
      </c>
      <c r="Q412" t="s">
        <v>123</v>
      </c>
      <c r="R412" t="s">
        <v>25</v>
      </c>
      <c r="S412" t="s">
        <v>149</v>
      </c>
      <c r="T412" t="s">
        <v>478</v>
      </c>
      <c r="V412" t="s">
        <v>151</v>
      </c>
      <c r="W412" t="s">
        <v>117</v>
      </c>
      <c r="X412" t="s">
        <v>256</v>
      </c>
      <c r="Y412" t="s">
        <v>1044</v>
      </c>
      <c r="Z412">
        <v>1</v>
      </c>
      <c r="AA412" t="s">
        <v>1136</v>
      </c>
    </row>
    <row r="413" spans="1:27" ht="15" customHeight="1">
      <c r="A413">
        <v>86</v>
      </c>
      <c r="B413" s="139">
        <v>46177.025972222233</v>
      </c>
      <c r="C413" s="139">
        <v>46177.027037037027</v>
      </c>
      <c r="D413" t="s">
        <v>468</v>
      </c>
      <c r="E413" t="s">
        <v>469</v>
      </c>
      <c r="F413" t="s">
        <v>469</v>
      </c>
      <c r="G413" t="s">
        <v>471</v>
      </c>
      <c r="H413" s="139">
        <v>46162</v>
      </c>
      <c r="I413" t="s">
        <v>472</v>
      </c>
      <c r="J413" t="s">
        <v>161</v>
      </c>
      <c r="M413" t="s">
        <v>473</v>
      </c>
      <c r="N413" t="s">
        <v>607</v>
      </c>
      <c r="O413" t="s">
        <v>122</v>
      </c>
      <c r="P413" t="s">
        <v>108</v>
      </c>
      <c r="Q413" t="s">
        <v>123</v>
      </c>
      <c r="R413" t="s">
        <v>25</v>
      </c>
      <c r="S413" t="s">
        <v>149</v>
      </c>
      <c r="T413" t="s">
        <v>478</v>
      </c>
      <c r="V413" t="s">
        <v>151</v>
      </c>
      <c r="W413" t="s">
        <v>117</v>
      </c>
      <c r="X413" t="s">
        <v>256</v>
      </c>
      <c r="Y413" t="s">
        <v>1044</v>
      </c>
      <c r="Z413">
        <v>2</v>
      </c>
      <c r="AA413" t="s">
        <v>1056</v>
      </c>
    </row>
    <row r="414" spans="1:27" ht="15" customHeight="1">
      <c r="A414">
        <v>86</v>
      </c>
      <c r="B414" s="139">
        <v>46177.025972222233</v>
      </c>
      <c r="C414" s="139">
        <v>46177.027037037027</v>
      </c>
      <c r="D414" t="s">
        <v>468</v>
      </c>
      <c r="E414" t="s">
        <v>469</v>
      </c>
      <c r="F414" t="s">
        <v>469</v>
      </c>
      <c r="G414" t="s">
        <v>471</v>
      </c>
      <c r="H414" s="139">
        <v>46162</v>
      </c>
      <c r="I414" t="s">
        <v>472</v>
      </c>
      <c r="J414" t="s">
        <v>161</v>
      </c>
      <c r="M414" t="s">
        <v>473</v>
      </c>
      <c r="N414" t="s">
        <v>607</v>
      </c>
      <c r="O414" t="s">
        <v>122</v>
      </c>
      <c r="P414" t="s">
        <v>108</v>
      </c>
      <c r="Q414" t="s">
        <v>123</v>
      </c>
      <c r="R414" t="s">
        <v>25</v>
      </c>
      <c r="S414" t="s">
        <v>149</v>
      </c>
      <c r="T414" t="s">
        <v>478</v>
      </c>
      <c r="V414" t="s">
        <v>151</v>
      </c>
      <c r="W414" t="s">
        <v>117</v>
      </c>
      <c r="X414" t="s">
        <v>256</v>
      </c>
      <c r="Y414" t="s">
        <v>1044</v>
      </c>
      <c r="Z414">
        <v>3</v>
      </c>
      <c r="AA414" t="s">
        <v>1057</v>
      </c>
    </row>
    <row r="415" spans="1:27" ht="15" customHeight="1">
      <c r="A415">
        <v>91</v>
      </c>
      <c r="B415" s="139">
        <v>46178.508472222216</v>
      </c>
      <c r="C415" s="139">
        <v>46178.511331018519</v>
      </c>
      <c r="D415" t="s">
        <v>413</v>
      </c>
      <c r="E415" t="s">
        <v>414</v>
      </c>
      <c r="F415" t="s">
        <v>415</v>
      </c>
      <c r="G415" t="s">
        <v>416</v>
      </c>
      <c r="H415" s="139">
        <v>46162</v>
      </c>
      <c r="I415" t="s">
        <v>136</v>
      </c>
      <c r="J415" t="s">
        <v>174</v>
      </c>
      <c r="L415" t="s">
        <v>627</v>
      </c>
      <c r="N415" t="s">
        <v>418</v>
      </c>
      <c r="O415" t="s">
        <v>160</v>
      </c>
      <c r="P415" t="s">
        <v>108</v>
      </c>
      <c r="Q415" t="s">
        <v>123</v>
      </c>
      <c r="R415" t="s">
        <v>24</v>
      </c>
      <c r="S415" t="s">
        <v>149</v>
      </c>
      <c r="T415" t="s">
        <v>226</v>
      </c>
      <c r="U415" t="s">
        <v>631</v>
      </c>
      <c r="V415" t="s">
        <v>116</v>
      </c>
      <c r="W415" t="s">
        <v>169</v>
      </c>
      <c r="X415" t="s">
        <v>419</v>
      </c>
      <c r="Y415" t="s">
        <v>1040</v>
      </c>
      <c r="Z415">
        <v>1</v>
      </c>
      <c r="AA415" t="s">
        <v>1227</v>
      </c>
    </row>
    <row r="416" spans="1:27" ht="15" customHeight="1">
      <c r="A416">
        <v>91</v>
      </c>
      <c r="B416" s="139">
        <v>46178.508472222216</v>
      </c>
      <c r="C416" s="139">
        <v>46178.511331018519</v>
      </c>
      <c r="D416" t="s">
        <v>413</v>
      </c>
      <c r="E416" t="s">
        <v>414</v>
      </c>
      <c r="F416" t="s">
        <v>415</v>
      </c>
      <c r="G416" t="s">
        <v>416</v>
      </c>
      <c r="H416" s="139">
        <v>46162</v>
      </c>
      <c r="I416" t="s">
        <v>136</v>
      </c>
      <c r="J416" t="s">
        <v>174</v>
      </c>
      <c r="L416" t="s">
        <v>627</v>
      </c>
      <c r="N416" t="s">
        <v>418</v>
      </c>
      <c r="O416" t="s">
        <v>160</v>
      </c>
      <c r="P416" t="s">
        <v>108</v>
      </c>
      <c r="Q416" t="s">
        <v>123</v>
      </c>
      <c r="R416" t="s">
        <v>24</v>
      </c>
      <c r="S416" t="s">
        <v>149</v>
      </c>
      <c r="T416" t="s">
        <v>226</v>
      </c>
      <c r="U416" t="s">
        <v>631</v>
      </c>
      <c r="V416" t="s">
        <v>116</v>
      </c>
      <c r="W416" t="s">
        <v>169</v>
      </c>
      <c r="X416" t="s">
        <v>419</v>
      </c>
      <c r="Y416" t="s">
        <v>1042</v>
      </c>
      <c r="Z416">
        <v>1</v>
      </c>
      <c r="AA416" t="s">
        <v>1229</v>
      </c>
    </row>
    <row r="417" spans="1:27" ht="15" customHeight="1">
      <c r="A417">
        <v>91</v>
      </c>
      <c r="B417" s="139">
        <v>46178.508472222216</v>
      </c>
      <c r="C417" s="139">
        <v>46178.511331018519</v>
      </c>
      <c r="D417" t="s">
        <v>413</v>
      </c>
      <c r="E417" t="s">
        <v>414</v>
      </c>
      <c r="F417" t="s">
        <v>415</v>
      </c>
      <c r="G417" t="s">
        <v>416</v>
      </c>
      <c r="H417" s="139">
        <v>46162</v>
      </c>
      <c r="I417" t="s">
        <v>136</v>
      </c>
      <c r="J417" t="s">
        <v>174</v>
      </c>
      <c r="L417" t="s">
        <v>627</v>
      </c>
      <c r="N417" t="s">
        <v>418</v>
      </c>
      <c r="O417" t="s">
        <v>160</v>
      </c>
      <c r="P417" t="s">
        <v>108</v>
      </c>
      <c r="Q417" t="s">
        <v>123</v>
      </c>
      <c r="R417" t="s">
        <v>24</v>
      </c>
      <c r="S417" t="s">
        <v>149</v>
      </c>
      <c r="T417" t="s">
        <v>226</v>
      </c>
      <c r="U417" t="s">
        <v>631</v>
      </c>
      <c r="V417" t="s">
        <v>116</v>
      </c>
      <c r="W417" t="s">
        <v>169</v>
      </c>
      <c r="X417" t="s">
        <v>419</v>
      </c>
      <c r="Y417" t="s">
        <v>1042</v>
      </c>
      <c r="Z417">
        <v>2</v>
      </c>
      <c r="AA417" t="s">
        <v>1230</v>
      </c>
    </row>
    <row r="418" spans="1:27" ht="15" customHeight="1">
      <c r="A418">
        <v>91</v>
      </c>
      <c r="B418" s="139">
        <v>46178.508472222216</v>
      </c>
      <c r="C418" s="139">
        <v>46178.511331018519</v>
      </c>
      <c r="D418" t="s">
        <v>413</v>
      </c>
      <c r="E418" t="s">
        <v>414</v>
      </c>
      <c r="F418" t="s">
        <v>415</v>
      </c>
      <c r="G418" t="s">
        <v>416</v>
      </c>
      <c r="H418" s="139">
        <v>46162</v>
      </c>
      <c r="I418" t="s">
        <v>136</v>
      </c>
      <c r="J418" t="s">
        <v>174</v>
      </c>
      <c r="L418" t="s">
        <v>627</v>
      </c>
      <c r="N418" t="s">
        <v>418</v>
      </c>
      <c r="O418" t="s">
        <v>160</v>
      </c>
      <c r="P418" t="s">
        <v>108</v>
      </c>
      <c r="Q418" t="s">
        <v>123</v>
      </c>
      <c r="R418" t="s">
        <v>24</v>
      </c>
      <c r="S418" t="s">
        <v>149</v>
      </c>
      <c r="T418" t="s">
        <v>226</v>
      </c>
      <c r="U418" t="s">
        <v>631</v>
      </c>
      <c r="V418" t="s">
        <v>116</v>
      </c>
      <c r="W418" t="s">
        <v>169</v>
      </c>
      <c r="X418" t="s">
        <v>419</v>
      </c>
      <c r="Y418" t="s">
        <v>1042</v>
      </c>
      <c r="Z418">
        <v>3</v>
      </c>
      <c r="AA418" t="s">
        <v>1182</v>
      </c>
    </row>
    <row r="419" spans="1:27" ht="15" customHeight="1">
      <c r="A419">
        <v>91</v>
      </c>
      <c r="B419" s="139">
        <v>46178.508472222216</v>
      </c>
      <c r="C419" s="139">
        <v>46178.511331018519</v>
      </c>
      <c r="D419" t="s">
        <v>413</v>
      </c>
      <c r="E419" t="s">
        <v>414</v>
      </c>
      <c r="F419" t="s">
        <v>415</v>
      </c>
      <c r="G419" t="s">
        <v>416</v>
      </c>
      <c r="H419" s="139">
        <v>46162</v>
      </c>
      <c r="I419" t="s">
        <v>136</v>
      </c>
      <c r="J419" t="s">
        <v>174</v>
      </c>
      <c r="L419" t="s">
        <v>627</v>
      </c>
      <c r="N419" t="s">
        <v>418</v>
      </c>
      <c r="O419" t="s">
        <v>160</v>
      </c>
      <c r="P419" t="s">
        <v>108</v>
      </c>
      <c r="Q419" t="s">
        <v>123</v>
      </c>
      <c r="R419" t="s">
        <v>24</v>
      </c>
      <c r="S419" t="s">
        <v>149</v>
      </c>
      <c r="T419" t="s">
        <v>226</v>
      </c>
      <c r="U419" t="s">
        <v>631</v>
      </c>
      <c r="V419" t="s">
        <v>116</v>
      </c>
      <c r="W419" t="s">
        <v>169</v>
      </c>
      <c r="X419" t="s">
        <v>419</v>
      </c>
      <c r="Y419" t="s">
        <v>1044</v>
      </c>
      <c r="Z419">
        <v>1</v>
      </c>
      <c r="AA419" t="s">
        <v>1231</v>
      </c>
    </row>
    <row r="420" spans="1:27" ht="15" customHeight="1">
      <c r="A420">
        <v>91</v>
      </c>
      <c r="B420" s="139">
        <v>46178.508472222216</v>
      </c>
      <c r="C420" s="139">
        <v>46178.511331018519</v>
      </c>
      <c r="D420" t="s">
        <v>413</v>
      </c>
      <c r="E420" t="s">
        <v>414</v>
      </c>
      <c r="F420" t="s">
        <v>415</v>
      </c>
      <c r="G420" t="s">
        <v>416</v>
      </c>
      <c r="H420" s="139">
        <v>46162</v>
      </c>
      <c r="I420" t="s">
        <v>136</v>
      </c>
      <c r="J420" t="s">
        <v>174</v>
      </c>
      <c r="L420" t="s">
        <v>627</v>
      </c>
      <c r="N420" t="s">
        <v>418</v>
      </c>
      <c r="O420" t="s">
        <v>160</v>
      </c>
      <c r="P420" t="s">
        <v>108</v>
      </c>
      <c r="Q420" t="s">
        <v>123</v>
      </c>
      <c r="R420" t="s">
        <v>24</v>
      </c>
      <c r="S420" t="s">
        <v>149</v>
      </c>
      <c r="T420" t="s">
        <v>226</v>
      </c>
      <c r="U420" t="s">
        <v>631</v>
      </c>
      <c r="V420" t="s">
        <v>116</v>
      </c>
      <c r="W420" t="s">
        <v>169</v>
      </c>
      <c r="X420" t="s">
        <v>419</v>
      </c>
      <c r="Y420" t="s">
        <v>1044</v>
      </c>
      <c r="Z420">
        <v>2</v>
      </c>
      <c r="AA420" t="s">
        <v>1184</v>
      </c>
    </row>
    <row r="421" spans="1:27" ht="15" customHeight="1">
      <c r="A421">
        <v>91</v>
      </c>
      <c r="B421" s="139">
        <v>46178.508472222216</v>
      </c>
      <c r="C421" s="139">
        <v>46178.511331018519</v>
      </c>
      <c r="D421" t="s">
        <v>413</v>
      </c>
      <c r="E421" t="s">
        <v>414</v>
      </c>
      <c r="F421" t="s">
        <v>415</v>
      </c>
      <c r="G421" t="s">
        <v>416</v>
      </c>
      <c r="H421" s="139">
        <v>46162</v>
      </c>
      <c r="I421" t="s">
        <v>136</v>
      </c>
      <c r="J421" t="s">
        <v>174</v>
      </c>
      <c r="L421" t="s">
        <v>627</v>
      </c>
      <c r="N421" t="s">
        <v>418</v>
      </c>
      <c r="O421" t="s">
        <v>160</v>
      </c>
      <c r="P421" t="s">
        <v>108</v>
      </c>
      <c r="Q421" t="s">
        <v>123</v>
      </c>
      <c r="R421" t="s">
        <v>24</v>
      </c>
      <c r="S421" t="s">
        <v>149</v>
      </c>
      <c r="T421" t="s">
        <v>226</v>
      </c>
      <c r="U421" t="s">
        <v>631</v>
      </c>
      <c r="V421" t="s">
        <v>116</v>
      </c>
      <c r="W421" t="s">
        <v>169</v>
      </c>
      <c r="X421" t="s">
        <v>419</v>
      </c>
      <c r="Y421" t="s">
        <v>1044</v>
      </c>
      <c r="Z421">
        <v>3</v>
      </c>
      <c r="AA421" t="s">
        <v>1232</v>
      </c>
    </row>
    <row r="422" spans="1:27" ht="15" customHeight="1">
      <c r="A422">
        <v>92</v>
      </c>
      <c r="B422" s="139">
        <v>46178.511377314811</v>
      </c>
      <c r="C422" s="139">
        <v>46178.513935185183</v>
      </c>
      <c r="D422" t="s">
        <v>413</v>
      </c>
      <c r="E422" t="s">
        <v>414</v>
      </c>
      <c r="F422" t="s">
        <v>415</v>
      </c>
      <c r="G422" t="s">
        <v>416</v>
      </c>
      <c r="H422" s="139">
        <v>46162</v>
      </c>
      <c r="I422" t="s">
        <v>136</v>
      </c>
      <c r="J422" t="s">
        <v>187</v>
      </c>
      <c r="K422" t="s">
        <v>188</v>
      </c>
      <c r="N422" t="s">
        <v>632</v>
      </c>
      <c r="O422" t="s">
        <v>135</v>
      </c>
      <c r="P422" t="s">
        <v>108</v>
      </c>
      <c r="Q422" t="s">
        <v>123</v>
      </c>
      <c r="R422" t="s">
        <v>24</v>
      </c>
      <c r="S422" t="s">
        <v>149</v>
      </c>
      <c r="T422" t="s">
        <v>181</v>
      </c>
      <c r="V422" t="s">
        <v>151</v>
      </c>
      <c r="W422" t="s">
        <v>130</v>
      </c>
      <c r="X422" t="s">
        <v>190</v>
      </c>
      <c r="Y422" t="s">
        <v>1040</v>
      </c>
      <c r="Z422">
        <v>1</v>
      </c>
      <c r="AA422" t="s">
        <v>186</v>
      </c>
    </row>
    <row r="423" spans="1:27" ht="15" customHeight="1">
      <c r="A423">
        <v>92</v>
      </c>
      <c r="B423" s="139">
        <v>46178.511377314811</v>
      </c>
      <c r="C423" s="139">
        <v>46178.513935185183</v>
      </c>
      <c r="D423" t="s">
        <v>413</v>
      </c>
      <c r="E423" t="s">
        <v>414</v>
      </c>
      <c r="F423" t="s">
        <v>415</v>
      </c>
      <c r="G423" t="s">
        <v>416</v>
      </c>
      <c r="H423" s="139">
        <v>46162</v>
      </c>
      <c r="I423" t="s">
        <v>136</v>
      </c>
      <c r="J423" t="s">
        <v>187</v>
      </c>
      <c r="K423" t="s">
        <v>188</v>
      </c>
      <c r="N423" t="s">
        <v>632</v>
      </c>
      <c r="O423" t="s">
        <v>135</v>
      </c>
      <c r="P423" t="s">
        <v>108</v>
      </c>
      <c r="Q423" t="s">
        <v>123</v>
      </c>
      <c r="R423" t="s">
        <v>24</v>
      </c>
      <c r="S423" t="s">
        <v>149</v>
      </c>
      <c r="T423" t="s">
        <v>181</v>
      </c>
      <c r="V423" t="s">
        <v>151</v>
      </c>
      <c r="W423" t="s">
        <v>130</v>
      </c>
      <c r="X423" t="s">
        <v>190</v>
      </c>
      <c r="Y423" t="s">
        <v>1042</v>
      </c>
      <c r="Z423">
        <v>1</v>
      </c>
      <c r="AA423" t="s">
        <v>1238</v>
      </c>
    </row>
    <row r="424" spans="1:27" ht="15" customHeight="1">
      <c r="A424">
        <v>92</v>
      </c>
      <c r="B424" s="139">
        <v>46178.511377314811</v>
      </c>
      <c r="C424" s="139">
        <v>46178.513935185183</v>
      </c>
      <c r="D424" t="s">
        <v>413</v>
      </c>
      <c r="E424" t="s">
        <v>414</v>
      </c>
      <c r="F424" t="s">
        <v>415</v>
      </c>
      <c r="G424" t="s">
        <v>416</v>
      </c>
      <c r="H424" s="139">
        <v>46162</v>
      </c>
      <c r="I424" t="s">
        <v>136</v>
      </c>
      <c r="J424" t="s">
        <v>187</v>
      </c>
      <c r="K424" t="s">
        <v>188</v>
      </c>
      <c r="N424" t="s">
        <v>632</v>
      </c>
      <c r="O424" t="s">
        <v>135</v>
      </c>
      <c r="P424" t="s">
        <v>108</v>
      </c>
      <c r="Q424" t="s">
        <v>123</v>
      </c>
      <c r="R424" t="s">
        <v>24</v>
      </c>
      <c r="S424" t="s">
        <v>149</v>
      </c>
      <c r="T424" t="s">
        <v>181</v>
      </c>
      <c r="V424" t="s">
        <v>151</v>
      </c>
      <c r="W424" t="s">
        <v>130</v>
      </c>
      <c r="X424" t="s">
        <v>190</v>
      </c>
      <c r="Y424" t="s">
        <v>1044</v>
      </c>
      <c r="Z424">
        <v>1</v>
      </c>
      <c r="AA424" t="s">
        <v>1238</v>
      </c>
    </row>
    <row r="425" spans="1:27" ht="15" customHeight="1">
      <c r="A425">
        <v>110</v>
      </c>
      <c r="B425" s="139">
        <v>46178.651180555556</v>
      </c>
      <c r="C425" s="139">
        <v>46178.652743055558</v>
      </c>
      <c r="D425" t="s">
        <v>152</v>
      </c>
      <c r="E425" t="s">
        <v>153</v>
      </c>
      <c r="F425" t="s">
        <v>216</v>
      </c>
      <c r="G425" t="s">
        <v>154</v>
      </c>
      <c r="H425" s="139">
        <v>46162</v>
      </c>
      <c r="I425" t="s">
        <v>136</v>
      </c>
      <c r="J425" t="s">
        <v>174</v>
      </c>
      <c r="L425" t="s">
        <v>697</v>
      </c>
      <c r="N425" t="s">
        <v>698</v>
      </c>
      <c r="O425" t="s">
        <v>135</v>
      </c>
      <c r="P425" t="s">
        <v>196</v>
      </c>
      <c r="Q425" t="s">
        <v>109</v>
      </c>
      <c r="R425" t="s">
        <v>22</v>
      </c>
      <c r="S425" t="s">
        <v>149</v>
      </c>
      <c r="T425" t="s">
        <v>181</v>
      </c>
      <c r="U425" t="s">
        <v>702</v>
      </c>
      <c r="V425" t="s">
        <v>151</v>
      </c>
      <c r="W425" t="s">
        <v>130</v>
      </c>
      <c r="X425" t="s">
        <v>124</v>
      </c>
      <c r="Y425" t="s">
        <v>1040</v>
      </c>
      <c r="Z425">
        <v>1</v>
      </c>
      <c r="AA425" t="s">
        <v>1239</v>
      </c>
    </row>
    <row r="426" spans="1:27" ht="15" customHeight="1">
      <c r="A426">
        <v>110</v>
      </c>
      <c r="B426" s="139">
        <v>46178.651180555556</v>
      </c>
      <c r="C426" s="139">
        <v>46178.652743055558</v>
      </c>
      <c r="D426" t="s">
        <v>152</v>
      </c>
      <c r="E426" t="s">
        <v>153</v>
      </c>
      <c r="F426" t="s">
        <v>216</v>
      </c>
      <c r="G426" t="s">
        <v>154</v>
      </c>
      <c r="H426" s="139">
        <v>46162</v>
      </c>
      <c r="I426" t="s">
        <v>136</v>
      </c>
      <c r="J426" t="s">
        <v>174</v>
      </c>
      <c r="L426" t="s">
        <v>697</v>
      </c>
      <c r="N426" t="s">
        <v>698</v>
      </c>
      <c r="O426" t="s">
        <v>135</v>
      </c>
      <c r="P426" t="s">
        <v>196</v>
      </c>
      <c r="Q426" t="s">
        <v>109</v>
      </c>
      <c r="R426" t="s">
        <v>22</v>
      </c>
      <c r="S426" t="s">
        <v>149</v>
      </c>
      <c r="T426" t="s">
        <v>181</v>
      </c>
      <c r="U426" t="s">
        <v>702</v>
      </c>
      <c r="V426" t="s">
        <v>151</v>
      </c>
      <c r="W426" t="s">
        <v>130</v>
      </c>
      <c r="X426" t="s">
        <v>124</v>
      </c>
      <c r="Y426" t="s">
        <v>1042</v>
      </c>
      <c r="Z426">
        <v>1</v>
      </c>
      <c r="AA426" t="s">
        <v>1125</v>
      </c>
    </row>
    <row r="427" spans="1:27" ht="15" customHeight="1">
      <c r="A427">
        <v>110</v>
      </c>
      <c r="B427" s="139">
        <v>46178.651180555556</v>
      </c>
      <c r="C427" s="139">
        <v>46178.652743055558</v>
      </c>
      <c r="D427" t="s">
        <v>152</v>
      </c>
      <c r="E427" t="s">
        <v>153</v>
      </c>
      <c r="F427" t="s">
        <v>216</v>
      </c>
      <c r="G427" t="s">
        <v>154</v>
      </c>
      <c r="H427" s="139">
        <v>46162</v>
      </c>
      <c r="I427" t="s">
        <v>136</v>
      </c>
      <c r="J427" t="s">
        <v>174</v>
      </c>
      <c r="L427" t="s">
        <v>697</v>
      </c>
      <c r="N427" t="s">
        <v>698</v>
      </c>
      <c r="O427" t="s">
        <v>135</v>
      </c>
      <c r="P427" t="s">
        <v>196</v>
      </c>
      <c r="Q427" t="s">
        <v>109</v>
      </c>
      <c r="R427" t="s">
        <v>22</v>
      </c>
      <c r="S427" t="s">
        <v>149</v>
      </c>
      <c r="T427" t="s">
        <v>181</v>
      </c>
      <c r="U427" t="s">
        <v>702</v>
      </c>
      <c r="V427" t="s">
        <v>151</v>
      </c>
      <c r="W427" t="s">
        <v>130</v>
      </c>
      <c r="X427" t="s">
        <v>124</v>
      </c>
      <c r="Y427" t="s">
        <v>1042</v>
      </c>
      <c r="Z427">
        <v>2</v>
      </c>
      <c r="AA427" t="s">
        <v>1073</v>
      </c>
    </row>
    <row r="428" spans="1:27" ht="15" customHeight="1">
      <c r="A428">
        <v>110</v>
      </c>
      <c r="B428" s="139">
        <v>46178.651180555556</v>
      </c>
      <c r="C428" s="139">
        <v>46178.652743055558</v>
      </c>
      <c r="D428" t="s">
        <v>152</v>
      </c>
      <c r="E428" t="s">
        <v>153</v>
      </c>
      <c r="F428" t="s">
        <v>216</v>
      </c>
      <c r="G428" t="s">
        <v>154</v>
      </c>
      <c r="H428" s="139">
        <v>46162</v>
      </c>
      <c r="I428" t="s">
        <v>136</v>
      </c>
      <c r="J428" t="s">
        <v>174</v>
      </c>
      <c r="L428" t="s">
        <v>697</v>
      </c>
      <c r="N428" t="s">
        <v>698</v>
      </c>
      <c r="O428" t="s">
        <v>135</v>
      </c>
      <c r="P428" t="s">
        <v>196</v>
      </c>
      <c r="Q428" t="s">
        <v>109</v>
      </c>
      <c r="R428" t="s">
        <v>22</v>
      </c>
      <c r="S428" t="s">
        <v>149</v>
      </c>
      <c r="T428" t="s">
        <v>181</v>
      </c>
      <c r="U428" t="s">
        <v>702</v>
      </c>
      <c r="V428" t="s">
        <v>151</v>
      </c>
      <c r="W428" t="s">
        <v>130</v>
      </c>
      <c r="X428" t="s">
        <v>124</v>
      </c>
      <c r="Y428" t="s">
        <v>1042</v>
      </c>
      <c r="Z428">
        <v>3</v>
      </c>
      <c r="AA428" t="s">
        <v>1240</v>
      </c>
    </row>
    <row r="429" spans="1:27" ht="15" customHeight="1">
      <c r="A429">
        <v>110</v>
      </c>
      <c r="B429" s="139">
        <v>46178.651180555556</v>
      </c>
      <c r="C429" s="139">
        <v>46178.652743055558</v>
      </c>
      <c r="D429" t="s">
        <v>152</v>
      </c>
      <c r="E429" t="s">
        <v>153</v>
      </c>
      <c r="F429" t="s">
        <v>216</v>
      </c>
      <c r="G429" t="s">
        <v>154</v>
      </c>
      <c r="H429" s="139">
        <v>46162</v>
      </c>
      <c r="I429" t="s">
        <v>136</v>
      </c>
      <c r="J429" t="s">
        <v>174</v>
      </c>
      <c r="L429" t="s">
        <v>697</v>
      </c>
      <c r="N429" t="s">
        <v>698</v>
      </c>
      <c r="O429" t="s">
        <v>135</v>
      </c>
      <c r="P429" t="s">
        <v>196</v>
      </c>
      <c r="Q429" t="s">
        <v>109</v>
      </c>
      <c r="R429" t="s">
        <v>22</v>
      </c>
      <c r="S429" t="s">
        <v>149</v>
      </c>
      <c r="T429" t="s">
        <v>181</v>
      </c>
      <c r="U429" t="s">
        <v>702</v>
      </c>
      <c r="V429" t="s">
        <v>151</v>
      </c>
      <c r="W429" t="s">
        <v>130</v>
      </c>
      <c r="X429" t="s">
        <v>124</v>
      </c>
      <c r="Y429" t="s">
        <v>1044</v>
      </c>
      <c r="Z429">
        <v>1</v>
      </c>
      <c r="AA429" t="s">
        <v>291</v>
      </c>
    </row>
    <row r="430" spans="1:27" ht="15" customHeight="1">
      <c r="A430">
        <v>52</v>
      </c>
      <c r="B430" s="139">
        <v>46168.75677083333</v>
      </c>
      <c r="C430" s="139">
        <v>46168.761006944442</v>
      </c>
      <c r="D430" t="s">
        <v>227</v>
      </c>
      <c r="E430" t="s">
        <v>228</v>
      </c>
      <c r="F430" t="s">
        <v>409</v>
      </c>
      <c r="G430" t="s">
        <v>229</v>
      </c>
      <c r="H430" s="139">
        <v>46163</v>
      </c>
      <c r="I430" t="s">
        <v>136</v>
      </c>
      <c r="J430" t="s">
        <v>174</v>
      </c>
      <c r="L430" t="s">
        <v>217</v>
      </c>
      <c r="N430" t="s">
        <v>114</v>
      </c>
      <c r="O430" t="s">
        <v>135</v>
      </c>
      <c r="P430" t="s">
        <v>108</v>
      </c>
      <c r="Q430" t="s">
        <v>109</v>
      </c>
      <c r="R430" t="s">
        <v>22</v>
      </c>
      <c r="S430" t="s">
        <v>149</v>
      </c>
      <c r="T430" t="s">
        <v>181</v>
      </c>
      <c r="V430" t="s">
        <v>151</v>
      </c>
      <c r="W430" t="s">
        <v>130</v>
      </c>
      <c r="X430" t="s">
        <v>321</v>
      </c>
      <c r="Y430" t="s">
        <v>1040</v>
      </c>
      <c r="Z430">
        <v>1</v>
      </c>
      <c r="AA430" t="s">
        <v>1241</v>
      </c>
    </row>
    <row r="431" spans="1:27" ht="15" customHeight="1">
      <c r="A431">
        <v>52</v>
      </c>
      <c r="B431" s="139">
        <v>46168.75677083333</v>
      </c>
      <c r="C431" s="139">
        <v>46168.761006944442</v>
      </c>
      <c r="D431" t="s">
        <v>227</v>
      </c>
      <c r="E431" t="s">
        <v>228</v>
      </c>
      <c r="F431" t="s">
        <v>409</v>
      </c>
      <c r="G431" t="s">
        <v>229</v>
      </c>
      <c r="H431" s="139">
        <v>46163</v>
      </c>
      <c r="I431" t="s">
        <v>136</v>
      </c>
      <c r="J431" t="s">
        <v>174</v>
      </c>
      <c r="L431" t="s">
        <v>217</v>
      </c>
      <c r="N431" t="s">
        <v>114</v>
      </c>
      <c r="O431" t="s">
        <v>135</v>
      </c>
      <c r="P431" t="s">
        <v>108</v>
      </c>
      <c r="Q431" t="s">
        <v>109</v>
      </c>
      <c r="R431" t="s">
        <v>22</v>
      </c>
      <c r="S431" t="s">
        <v>149</v>
      </c>
      <c r="T431" t="s">
        <v>181</v>
      </c>
      <c r="V431" t="s">
        <v>151</v>
      </c>
      <c r="W431" t="s">
        <v>130</v>
      </c>
      <c r="X431" t="s">
        <v>321</v>
      </c>
      <c r="Y431" t="s">
        <v>1042</v>
      </c>
      <c r="Z431">
        <v>1</v>
      </c>
      <c r="AA431" t="s">
        <v>1242</v>
      </c>
    </row>
    <row r="432" spans="1:27" ht="15" customHeight="1">
      <c r="A432">
        <v>52</v>
      </c>
      <c r="B432" s="139">
        <v>46168.75677083333</v>
      </c>
      <c r="C432" s="139">
        <v>46168.761006944442</v>
      </c>
      <c r="D432" t="s">
        <v>227</v>
      </c>
      <c r="E432" t="s">
        <v>228</v>
      </c>
      <c r="F432" t="s">
        <v>409</v>
      </c>
      <c r="G432" t="s">
        <v>229</v>
      </c>
      <c r="H432" s="139">
        <v>46163</v>
      </c>
      <c r="I432" t="s">
        <v>136</v>
      </c>
      <c r="J432" t="s">
        <v>174</v>
      </c>
      <c r="L432" t="s">
        <v>217</v>
      </c>
      <c r="N432" t="s">
        <v>114</v>
      </c>
      <c r="O432" t="s">
        <v>135</v>
      </c>
      <c r="P432" t="s">
        <v>108</v>
      </c>
      <c r="Q432" t="s">
        <v>109</v>
      </c>
      <c r="R432" t="s">
        <v>22</v>
      </c>
      <c r="S432" t="s">
        <v>149</v>
      </c>
      <c r="T432" t="s">
        <v>181</v>
      </c>
      <c r="V432" t="s">
        <v>151</v>
      </c>
      <c r="W432" t="s">
        <v>130</v>
      </c>
      <c r="X432" t="s">
        <v>321</v>
      </c>
      <c r="Y432" t="s">
        <v>1042</v>
      </c>
      <c r="Z432">
        <v>2</v>
      </c>
      <c r="AA432" t="s">
        <v>1243</v>
      </c>
    </row>
    <row r="433" spans="1:27" ht="15" customHeight="1">
      <c r="A433">
        <v>52</v>
      </c>
      <c r="B433" s="139">
        <v>46168.75677083333</v>
      </c>
      <c r="C433" s="139">
        <v>46168.761006944442</v>
      </c>
      <c r="D433" t="s">
        <v>227</v>
      </c>
      <c r="E433" t="s">
        <v>228</v>
      </c>
      <c r="F433" t="s">
        <v>409</v>
      </c>
      <c r="G433" t="s">
        <v>229</v>
      </c>
      <c r="H433" s="139">
        <v>46163</v>
      </c>
      <c r="I433" t="s">
        <v>136</v>
      </c>
      <c r="J433" t="s">
        <v>174</v>
      </c>
      <c r="L433" t="s">
        <v>217</v>
      </c>
      <c r="N433" t="s">
        <v>114</v>
      </c>
      <c r="O433" t="s">
        <v>135</v>
      </c>
      <c r="P433" t="s">
        <v>108</v>
      </c>
      <c r="Q433" t="s">
        <v>109</v>
      </c>
      <c r="R433" t="s">
        <v>22</v>
      </c>
      <c r="S433" t="s">
        <v>149</v>
      </c>
      <c r="T433" t="s">
        <v>181</v>
      </c>
      <c r="V433" t="s">
        <v>151</v>
      </c>
      <c r="W433" t="s">
        <v>130</v>
      </c>
      <c r="X433" t="s">
        <v>321</v>
      </c>
      <c r="Y433" t="s">
        <v>1044</v>
      </c>
      <c r="Z433">
        <v>1</v>
      </c>
      <c r="AA433" t="s">
        <v>1244</v>
      </c>
    </row>
    <row r="434" spans="1:27" ht="15" customHeight="1">
      <c r="A434">
        <v>93</v>
      </c>
      <c r="B434" s="139">
        <v>46178.513993055552</v>
      </c>
      <c r="C434" s="139">
        <v>46178.516863425917</v>
      </c>
      <c r="D434" t="s">
        <v>413</v>
      </c>
      <c r="E434" t="s">
        <v>414</v>
      </c>
      <c r="F434" t="s">
        <v>415</v>
      </c>
      <c r="G434" t="s">
        <v>416</v>
      </c>
      <c r="H434" s="139">
        <v>46163</v>
      </c>
      <c r="I434" t="s">
        <v>136</v>
      </c>
      <c r="J434" t="s">
        <v>187</v>
      </c>
      <c r="K434" t="s">
        <v>634</v>
      </c>
      <c r="N434" t="s">
        <v>418</v>
      </c>
      <c r="O434" t="s">
        <v>160</v>
      </c>
      <c r="P434" t="s">
        <v>108</v>
      </c>
      <c r="Q434" t="s">
        <v>123</v>
      </c>
      <c r="R434" t="s">
        <v>24</v>
      </c>
      <c r="S434" t="s">
        <v>149</v>
      </c>
      <c r="T434" t="s">
        <v>150</v>
      </c>
      <c r="U434" t="s">
        <v>638</v>
      </c>
      <c r="V434" t="s">
        <v>151</v>
      </c>
      <c r="W434" t="s">
        <v>130</v>
      </c>
      <c r="X434" t="s">
        <v>190</v>
      </c>
      <c r="Y434" t="s">
        <v>1040</v>
      </c>
      <c r="Z434">
        <v>1</v>
      </c>
      <c r="AA434" t="s">
        <v>1192</v>
      </c>
    </row>
    <row r="435" spans="1:27" ht="15" customHeight="1">
      <c r="A435">
        <v>93</v>
      </c>
      <c r="B435" s="139">
        <v>46178.513993055552</v>
      </c>
      <c r="C435" s="139">
        <v>46178.516863425917</v>
      </c>
      <c r="D435" t="s">
        <v>413</v>
      </c>
      <c r="E435" t="s">
        <v>414</v>
      </c>
      <c r="F435" t="s">
        <v>415</v>
      </c>
      <c r="G435" t="s">
        <v>416</v>
      </c>
      <c r="H435" s="139">
        <v>46163</v>
      </c>
      <c r="I435" t="s">
        <v>136</v>
      </c>
      <c r="J435" t="s">
        <v>187</v>
      </c>
      <c r="K435" t="s">
        <v>634</v>
      </c>
      <c r="N435" t="s">
        <v>418</v>
      </c>
      <c r="O435" t="s">
        <v>160</v>
      </c>
      <c r="P435" t="s">
        <v>108</v>
      </c>
      <c r="Q435" t="s">
        <v>123</v>
      </c>
      <c r="R435" t="s">
        <v>24</v>
      </c>
      <c r="S435" t="s">
        <v>149</v>
      </c>
      <c r="T435" t="s">
        <v>150</v>
      </c>
      <c r="U435" t="s">
        <v>638</v>
      </c>
      <c r="V435" t="s">
        <v>151</v>
      </c>
      <c r="W435" t="s">
        <v>130</v>
      </c>
      <c r="X435" t="s">
        <v>190</v>
      </c>
      <c r="Y435" t="s">
        <v>1042</v>
      </c>
      <c r="Z435">
        <v>1</v>
      </c>
      <c r="AA435" t="s">
        <v>1245</v>
      </c>
    </row>
    <row r="436" spans="1:27" ht="15" customHeight="1">
      <c r="A436">
        <v>93</v>
      </c>
      <c r="B436" s="139">
        <v>46178.513993055552</v>
      </c>
      <c r="C436" s="139">
        <v>46178.516863425917</v>
      </c>
      <c r="D436" t="s">
        <v>413</v>
      </c>
      <c r="E436" t="s">
        <v>414</v>
      </c>
      <c r="F436" t="s">
        <v>415</v>
      </c>
      <c r="G436" t="s">
        <v>416</v>
      </c>
      <c r="H436" s="139">
        <v>46163</v>
      </c>
      <c r="I436" t="s">
        <v>136</v>
      </c>
      <c r="J436" t="s">
        <v>187</v>
      </c>
      <c r="K436" t="s">
        <v>634</v>
      </c>
      <c r="N436" t="s">
        <v>418</v>
      </c>
      <c r="O436" t="s">
        <v>160</v>
      </c>
      <c r="P436" t="s">
        <v>108</v>
      </c>
      <c r="Q436" t="s">
        <v>123</v>
      </c>
      <c r="R436" t="s">
        <v>24</v>
      </c>
      <c r="S436" t="s">
        <v>149</v>
      </c>
      <c r="T436" t="s">
        <v>150</v>
      </c>
      <c r="U436" t="s">
        <v>638</v>
      </c>
      <c r="V436" t="s">
        <v>151</v>
      </c>
      <c r="W436" t="s">
        <v>130</v>
      </c>
      <c r="X436" t="s">
        <v>190</v>
      </c>
      <c r="Y436" t="s">
        <v>1042</v>
      </c>
      <c r="Z436">
        <v>2</v>
      </c>
      <c r="AA436" t="s">
        <v>1246</v>
      </c>
    </row>
    <row r="437" spans="1:27" ht="15" customHeight="1">
      <c r="A437">
        <v>93</v>
      </c>
      <c r="B437" s="139">
        <v>46178.513993055552</v>
      </c>
      <c r="C437" s="139">
        <v>46178.516863425917</v>
      </c>
      <c r="D437" t="s">
        <v>413</v>
      </c>
      <c r="E437" t="s">
        <v>414</v>
      </c>
      <c r="F437" t="s">
        <v>415</v>
      </c>
      <c r="G437" t="s">
        <v>416</v>
      </c>
      <c r="H437" s="139">
        <v>46163</v>
      </c>
      <c r="I437" t="s">
        <v>136</v>
      </c>
      <c r="J437" t="s">
        <v>187</v>
      </c>
      <c r="K437" t="s">
        <v>634</v>
      </c>
      <c r="N437" t="s">
        <v>418</v>
      </c>
      <c r="O437" t="s">
        <v>160</v>
      </c>
      <c r="P437" t="s">
        <v>108</v>
      </c>
      <c r="Q437" t="s">
        <v>123</v>
      </c>
      <c r="R437" t="s">
        <v>24</v>
      </c>
      <c r="S437" t="s">
        <v>149</v>
      </c>
      <c r="T437" t="s">
        <v>150</v>
      </c>
      <c r="U437" t="s">
        <v>638</v>
      </c>
      <c r="V437" t="s">
        <v>151</v>
      </c>
      <c r="W437" t="s">
        <v>130</v>
      </c>
      <c r="X437" t="s">
        <v>190</v>
      </c>
      <c r="Y437" t="s">
        <v>1044</v>
      </c>
      <c r="Z437">
        <v>1</v>
      </c>
      <c r="AA437" t="s">
        <v>1247</v>
      </c>
    </row>
    <row r="438" spans="1:27" ht="15" customHeight="1">
      <c r="A438">
        <v>94</v>
      </c>
      <c r="B438" s="139">
        <v>46178.516944444447</v>
      </c>
      <c r="C438" s="139">
        <v>46178.519085648149</v>
      </c>
      <c r="D438" t="s">
        <v>413</v>
      </c>
      <c r="E438" t="s">
        <v>414</v>
      </c>
      <c r="F438" t="s">
        <v>415</v>
      </c>
      <c r="G438" t="s">
        <v>416</v>
      </c>
      <c r="H438" s="139">
        <v>46163</v>
      </c>
      <c r="I438" t="s">
        <v>136</v>
      </c>
      <c r="J438" t="s">
        <v>187</v>
      </c>
      <c r="K438" t="s">
        <v>634</v>
      </c>
      <c r="N438" t="s">
        <v>639</v>
      </c>
      <c r="O438" t="s">
        <v>160</v>
      </c>
      <c r="P438" t="s">
        <v>108</v>
      </c>
      <c r="Q438" t="s">
        <v>248</v>
      </c>
      <c r="R438" t="s">
        <v>23</v>
      </c>
      <c r="S438" t="s">
        <v>149</v>
      </c>
      <c r="T438" t="s">
        <v>181</v>
      </c>
      <c r="U438" t="s">
        <v>641</v>
      </c>
      <c r="V438" t="s">
        <v>151</v>
      </c>
      <c r="W438" t="s">
        <v>130</v>
      </c>
      <c r="X438" t="s">
        <v>252</v>
      </c>
      <c r="Y438" t="s">
        <v>1039</v>
      </c>
      <c r="Z438">
        <v>1</v>
      </c>
      <c r="AA438" t="s">
        <v>640</v>
      </c>
    </row>
    <row r="439" spans="1:27" ht="15" customHeight="1">
      <c r="A439">
        <v>123</v>
      </c>
      <c r="B439" s="139">
        <v>46178.842534722222</v>
      </c>
      <c r="C439" s="139">
        <v>46178.843506944453</v>
      </c>
      <c r="D439" t="s">
        <v>270</v>
      </c>
      <c r="E439" t="s">
        <v>271</v>
      </c>
      <c r="F439" t="s">
        <v>271</v>
      </c>
      <c r="G439" t="s">
        <v>273</v>
      </c>
      <c r="H439" s="139">
        <v>46163</v>
      </c>
      <c r="I439" t="s">
        <v>136</v>
      </c>
      <c r="J439" t="s">
        <v>187</v>
      </c>
      <c r="K439" t="s">
        <v>188</v>
      </c>
      <c r="N439" t="s">
        <v>745</v>
      </c>
      <c r="O439" t="s">
        <v>122</v>
      </c>
      <c r="P439" t="s">
        <v>108</v>
      </c>
      <c r="Q439" t="s">
        <v>123</v>
      </c>
      <c r="R439" t="s">
        <v>22</v>
      </c>
      <c r="S439" t="s">
        <v>149</v>
      </c>
      <c r="T439" t="s">
        <v>181</v>
      </c>
      <c r="U439" t="s">
        <v>291</v>
      </c>
      <c r="V439" t="s">
        <v>129</v>
      </c>
      <c r="W439" t="s">
        <v>130</v>
      </c>
      <c r="X439" t="s">
        <v>329</v>
      </c>
      <c r="Y439" t="s">
        <v>1040</v>
      </c>
      <c r="Z439">
        <v>1</v>
      </c>
      <c r="AA439" t="s">
        <v>1248</v>
      </c>
    </row>
    <row r="440" spans="1:27" ht="15" customHeight="1">
      <c r="A440">
        <v>123</v>
      </c>
      <c r="B440" s="139">
        <v>46178.842534722222</v>
      </c>
      <c r="C440" s="139">
        <v>46178.843506944453</v>
      </c>
      <c r="D440" t="s">
        <v>270</v>
      </c>
      <c r="E440" t="s">
        <v>271</v>
      </c>
      <c r="F440" t="s">
        <v>271</v>
      </c>
      <c r="G440" t="s">
        <v>273</v>
      </c>
      <c r="H440" s="139">
        <v>46163</v>
      </c>
      <c r="I440" t="s">
        <v>136</v>
      </c>
      <c r="J440" t="s">
        <v>187</v>
      </c>
      <c r="K440" t="s">
        <v>188</v>
      </c>
      <c r="N440" t="s">
        <v>745</v>
      </c>
      <c r="O440" t="s">
        <v>122</v>
      </c>
      <c r="P440" t="s">
        <v>108</v>
      </c>
      <c r="Q440" t="s">
        <v>123</v>
      </c>
      <c r="R440" t="s">
        <v>22</v>
      </c>
      <c r="S440" t="s">
        <v>149</v>
      </c>
      <c r="T440" t="s">
        <v>181</v>
      </c>
      <c r="U440" t="s">
        <v>291</v>
      </c>
      <c r="V440" t="s">
        <v>129</v>
      </c>
      <c r="W440" t="s">
        <v>130</v>
      </c>
      <c r="X440" t="s">
        <v>329</v>
      </c>
      <c r="Y440" t="s">
        <v>1042</v>
      </c>
      <c r="Z440">
        <v>1</v>
      </c>
      <c r="AA440" t="s">
        <v>1047</v>
      </c>
    </row>
    <row r="441" spans="1:27" ht="15" customHeight="1">
      <c r="A441">
        <v>123</v>
      </c>
      <c r="B441" s="139">
        <v>46178.842534722222</v>
      </c>
      <c r="C441" s="139">
        <v>46178.843506944453</v>
      </c>
      <c r="D441" t="s">
        <v>270</v>
      </c>
      <c r="E441" t="s">
        <v>271</v>
      </c>
      <c r="F441" t="s">
        <v>271</v>
      </c>
      <c r="G441" t="s">
        <v>273</v>
      </c>
      <c r="H441" s="139">
        <v>46163</v>
      </c>
      <c r="I441" t="s">
        <v>136</v>
      </c>
      <c r="J441" t="s">
        <v>187</v>
      </c>
      <c r="K441" t="s">
        <v>188</v>
      </c>
      <c r="N441" t="s">
        <v>745</v>
      </c>
      <c r="O441" t="s">
        <v>122</v>
      </c>
      <c r="P441" t="s">
        <v>108</v>
      </c>
      <c r="Q441" t="s">
        <v>123</v>
      </c>
      <c r="R441" t="s">
        <v>22</v>
      </c>
      <c r="S441" t="s">
        <v>149</v>
      </c>
      <c r="T441" t="s">
        <v>181</v>
      </c>
      <c r="U441" t="s">
        <v>291</v>
      </c>
      <c r="V441" t="s">
        <v>129</v>
      </c>
      <c r="W441" t="s">
        <v>130</v>
      </c>
      <c r="X441" t="s">
        <v>329</v>
      </c>
      <c r="Y441" t="s">
        <v>1044</v>
      </c>
      <c r="Z441">
        <v>1</v>
      </c>
      <c r="AA441" t="s">
        <v>1195</v>
      </c>
    </row>
    <row r="442" spans="1:27" ht="15" customHeight="1">
      <c r="A442">
        <v>139</v>
      </c>
      <c r="B442" s="139">
        <v>46181.533564814818</v>
      </c>
      <c r="C442" s="139">
        <v>46181.536064814813</v>
      </c>
      <c r="D442" t="s">
        <v>825</v>
      </c>
      <c r="E442" t="s">
        <v>826</v>
      </c>
      <c r="F442" t="s">
        <v>827</v>
      </c>
      <c r="G442" t="s">
        <v>828</v>
      </c>
      <c r="H442" s="139">
        <v>46163</v>
      </c>
      <c r="I442" t="s">
        <v>772</v>
      </c>
      <c r="J442" t="s">
        <v>187</v>
      </c>
      <c r="K442" t="s">
        <v>835</v>
      </c>
      <c r="N442" t="s">
        <v>836</v>
      </c>
      <c r="O442" t="s">
        <v>135</v>
      </c>
      <c r="P442" t="s">
        <v>108</v>
      </c>
      <c r="Q442" t="s">
        <v>123</v>
      </c>
      <c r="R442" t="s">
        <v>25</v>
      </c>
      <c r="S442" t="s">
        <v>149</v>
      </c>
      <c r="T442" t="s">
        <v>144</v>
      </c>
      <c r="U442" t="s">
        <v>710</v>
      </c>
      <c r="V442" t="s">
        <v>129</v>
      </c>
      <c r="W442" t="s">
        <v>169</v>
      </c>
      <c r="X442" t="s">
        <v>837</v>
      </c>
      <c r="Y442" t="s">
        <v>1040</v>
      </c>
      <c r="Z442">
        <v>1</v>
      </c>
      <c r="AA442" t="s">
        <v>1249</v>
      </c>
    </row>
    <row r="443" spans="1:27" ht="15" customHeight="1">
      <c r="A443">
        <v>139</v>
      </c>
      <c r="B443" s="139">
        <v>46181.533564814818</v>
      </c>
      <c r="C443" s="139">
        <v>46181.536064814813</v>
      </c>
      <c r="D443" t="s">
        <v>825</v>
      </c>
      <c r="E443" t="s">
        <v>826</v>
      </c>
      <c r="F443" t="s">
        <v>827</v>
      </c>
      <c r="G443" t="s">
        <v>828</v>
      </c>
      <c r="H443" s="139">
        <v>46163</v>
      </c>
      <c r="I443" t="s">
        <v>772</v>
      </c>
      <c r="J443" t="s">
        <v>187</v>
      </c>
      <c r="K443" t="s">
        <v>835</v>
      </c>
      <c r="N443" t="s">
        <v>836</v>
      </c>
      <c r="O443" t="s">
        <v>135</v>
      </c>
      <c r="P443" t="s">
        <v>108</v>
      </c>
      <c r="Q443" t="s">
        <v>123</v>
      </c>
      <c r="R443" t="s">
        <v>25</v>
      </c>
      <c r="S443" t="s">
        <v>149</v>
      </c>
      <c r="T443" t="s">
        <v>144</v>
      </c>
      <c r="U443" t="s">
        <v>710</v>
      </c>
      <c r="V443" t="s">
        <v>129</v>
      </c>
      <c r="W443" t="s">
        <v>169</v>
      </c>
      <c r="X443" t="s">
        <v>837</v>
      </c>
      <c r="Y443" t="s">
        <v>1040</v>
      </c>
      <c r="Z443">
        <v>2</v>
      </c>
      <c r="AA443" t="s">
        <v>1250</v>
      </c>
    </row>
    <row r="444" spans="1:27" ht="15" customHeight="1">
      <c r="A444">
        <v>139</v>
      </c>
      <c r="B444" s="139">
        <v>46181.533564814818</v>
      </c>
      <c r="C444" s="139">
        <v>46181.536064814813</v>
      </c>
      <c r="D444" t="s">
        <v>825</v>
      </c>
      <c r="E444" t="s">
        <v>826</v>
      </c>
      <c r="F444" t="s">
        <v>827</v>
      </c>
      <c r="G444" t="s">
        <v>828</v>
      </c>
      <c r="H444" s="139">
        <v>46163</v>
      </c>
      <c r="I444" t="s">
        <v>772</v>
      </c>
      <c r="J444" t="s">
        <v>187</v>
      </c>
      <c r="K444" t="s">
        <v>835</v>
      </c>
      <c r="N444" t="s">
        <v>836</v>
      </c>
      <c r="O444" t="s">
        <v>135</v>
      </c>
      <c r="P444" t="s">
        <v>108</v>
      </c>
      <c r="Q444" t="s">
        <v>123</v>
      </c>
      <c r="R444" t="s">
        <v>25</v>
      </c>
      <c r="S444" t="s">
        <v>149</v>
      </c>
      <c r="T444" t="s">
        <v>144</v>
      </c>
      <c r="U444" t="s">
        <v>710</v>
      </c>
      <c r="V444" t="s">
        <v>129</v>
      </c>
      <c r="W444" t="s">
        <v>169</v>
      </c>
      <c r="X444" t="s">
        <v>837</v>
      </c>
      <c r="Y444" t="s">
        <v>1042</v>
      </c>
      <c r="Z444">
        <v>1</v>
      </c>
      <c r="AA444" t="s">
        <v>1251</v>
      </c>
    </row>
    <row r="445" spans="1:27" ht="15" customHeight="1">
      <c r="A445">
        <v>139</v>
      </c>
      <c r="B445" s="139">
        <v>46181.533564814818</v>
      </c>
      <c r="C445" s="139">
        <v>46181.536064814813</v>
      </c>
      <c r="D445" t="s">
        <v>825</v>
      </c>
      <c r="E445" t="s">
        <v>826</v>
      </c>
      <c r="F445" t="s">
        <v>827</v>
      </c>
      <c r="G445" t="s">
        <v>828</v>
      </c>
      <c r="H445" s="139">
        <v>46163</v>
      </c>
      <c r="I445" t="s">
        <v>772</v>
      </c>
      <c r="J445" t="s">
        <v>187</v>
      </c>
      <c r="K445" t="s">
        <v>835</v>
      </c>
      <c r="N445" t="s">
        <v>836</v>
      </c>
      <c r="O445" t="s">
        <v>135</v>
      </c>
      <c r="P445" t="s">
        <v>108</v>
      </c>
      <c r="Q445" t="s">
        <v>123</v>
      </c>
      <c r="R445" t="s">
        <v>25</v>
      </c>
      <c r="S445" t="s">
        <v>149</v>
      </c>
      <c r="T445" t="s">
        <v>144</v>
      </c>
      <c r="U445" t="s">
        <v>710</v>
      </c>
      <c r="V445" t="s">
        <v>129</v>
      </c>
      <c r="W445" t="s">
        <v>169</v>
      </c>
      <c r="X445" t="s">
        <v>837</v>
      </c>
      <c r="Y445" t="s">
        <v>1042</v>
      </c>
      <c r="Z445">
        <v>2</v>
      </c>
      <c r="AA445" t="s">
        <v>1252</v>
      </c>
    </row>
    <row r="446" spans="1:27" ht="15" customHeight="1">
      <c r="A446">
        <v>139</v>
      </c>
      <c r="B446" s="139">
        <v>46181.533564814818</v>
      </c>
      <c r="C446" s="139">
        <v>46181.536064814813</v>
      </c>
      <c r="D446" t="s">
        <v>825</v>
      </c>
      <c r="E446" t="s">
        <v>826</v>
      </c>
      <c r="F446" t="s">
        <v>827</v>
      </c>
      <c r="G446" t="s">
        <v>828</v>
      </c>
      <c r="H446" s="139">
        <v>46163</v>
      </c>
      <c r="I446" t="s">
        <v>772</v>
      </c>
      <c r="J446" t="s">
        <v>187</v>
      </c>
      <c r="K446" t="s">
        <v>835</v>
      </c>
      <c r="N446" t="s">
        <v>836</v>
      </c>
      <c r="O446" t="s">
        <v>135</v>
      </c>
      <c r="P446" t="s">
        <v>108</v>
      </c>
      <c r="Q446" t="s">
        <v>123</v>
      </c>
      <c r="R446" t="s">
        <v>25</v>
      </c>
      <c r="S446" t="s">
        <v>149</v>
      </c>
      <c r="T446" t="s">
        <v>144</v>
      </c>
      <c r="U446" t="s">
        <v>710</v>
      </c>
      <c r="V446" t="s">
        <v>129</v>
      </c>
      <c r="W446" t="s">
        <v>169</v>
      </c>
      <c r="X446" t="s">
        <v>837</v>
      </c>
      <c r="Y446" t="s">
        <v>1042</v>
      </c>
      <c r="Z446">
        <v>3</v>
      </c>
      <c r="AA446" t="s">
        <v>1253</v>
      </c>
    </row>
    <row r="447" spans="1:27" ht="15" customHeight="1">
      <c r="A447">
        <v>139</v>
      </c>
      <c r="B447" s="139">
        <v>46181.533564814818</v>
      </c>
      <c r="C447" s="139">
        <v>46181.536064814813</v>
      </c>
      <c r="D447" t="s">
        <v>825</v>
      </c>
      <c r="E447" t="s">
        <v>826</v>
      </c>
      <c r="F447" t="s">
        <v>827</v>
      </c>
      <c r="G447" t="s">
        <v>828</v>
      </c>
      <c r="H447" s="139">
        <v>46163</v>
      </c>
      <c r="I447" t="s">
        <v>772</v>
      </c>
      <c r="J447" t="s">
        <v>187</v>
      </c>
      <c r="K447" t="s">
        <v>835</v>
      </c>
      <c r="N447" t="s">
        <v>836</v>
      </c>
      <c r="O447" t="s">
        <v>135</v>
      </c>
      <c r="P447" t="s">
        <v>108</v>
      </c>
      <c r="Q447" t="s">
        <v>123</v>
      </c>
      <c r="R447" t="s">
        <v>25</v>
      </c>
      <c r="S447" t="s">
        <v>149</v>
      </c>
      <c r="T447" t="s">
        <v>144</v>
      </c>
      <c r="U447" t="s">
        <v>710</v>
      </c>
      <c r="V447" t="s">
        <v>129</v>
      </c>
      <c r="W447" t="s">
        <v>169</v>
      </c>
      <c r="X447" t="s">
        <v>837</v>
      </c>
      <c r="Y447" t="s">
        <v>1044</v>
      </c>
      <c r="Z447">
        <v>1</v>
      </c>
      <c r="AA447" t="s">
        <v>1254</v>
      </c>
    </row>
    <row r="448" spans="1:27" ht="15" customHeight="1">
      <c r="A448">
        <v>139</v>
      </c>
      <c r="B448" s="139">
        <v>46181.533564814818</v>
      </c>
      <c r="C448" s="139">
        <v>46181.536064814813</v>
      </c>
      <c r="D448" t="s">
        <v>825</v>
      </c>
      <c r="E448" t="s">
        <v>826</v>
      </c>
      <c r="F448" t="s">
        <v>827</v>
      </c>
      <c r="G448" t="s">
        <v>828</v>
      </c>
      <c r="H448" s="139">
        <v>46163</v>
      </c>
      <c r="I448" t="s">
        <v>772</v>
      </c>
      <c r="J448" t="s">
        <v>187</v>
      </c>
      <c r="K448" t="s">
        <v>835</v>
      </c>
      <c r="N448" t="s">
        <v>836</v>
      </c>
      <c r="O448" t="s">
        <v>135</v>
      </c>
      <c r="P448" t="s">
        <v>108</v>
      </c>
      <c r="Q448" t="s">
        <v>123</v>
      </c>
      <c r="R448" t="s">
        <v>25</v>
      </c>
      <c r="S448" t="s">
        <v>149</v>
      </c>
      <c r="T448" t="s">
        <v>144</v>
      </c>
      <c r="U448" t="s">
        <v>710</v>
      </c>
      <c r="V448" t="s">
        <v>129</v>
      </c>
      <c r="W448" t="s">
        <v>169</v>
      </c>
      <c r="X448" t="s">
        <v>837</v>
      </c>
      <c r="Y448" t="s">
        <v>1044</v>
      </c>
      <c r="Z448">
        <v>2</v>
      </c>
      <c r="AA448" t="s">
        <v>1255</v>
      </c>
    </row>
    <row r="449" spans="1:27" ht="15" customHeight="1">
      <c r="A449">
        <v>139</v>
      </c>
      <c r="B449" s="139">
        <v>46181.533564814818</v>
      </c>
      <c r="C449" s="139">
        <v>46181.536064814813</v>
      </c>
      <c r="D449" t="s">
        <v>825</v>
      </c>
      <c r="E449" t="s">
        <v>826</v>
      </c>
      <c r="F449" t="s">
        <v>827</v>
      </c>
      <c r="G449" t="s">
        <v>828</v>
      </c>
      <c r="H449" s="139">
        <v>46163</v>
      </c>
      <c r="I449" t="s">
        <v>772</v>
      </c>
      <c r="J449" t="s">
        <v>187</v>
      </c>
      <c r="K449" t="s">
        <v>835</v>
      </c>
      <c r="N449" t="s">
        <v>836</v>
      </c>
      <c r="O449" t="s">
        <v>135</v>
      </c>
      <c r="P449" t="s">
        <v>108</v>
      </c>
      <c r="Q449" t="s">
        <v>123</v>
      </c>
      <c r="R449" t="s">
        <v>25</v>
      </c>
      <c r="S449" t="s">
        <v>149</v>
      </c>
      <c r="T449" t="s">
        <v>144</v>
      </c>
      <c r="U449" t="s">
        <v>710</v>
      </c>
      <c r="V449" t="s">
        <v>129</v>
      </c>
      <c r="W449" t="s">
        <v>169</v>
      </c>
      <c r="X449" t="s">
        <v>837</v>
      </c>
      <c r="Y449" t="s">
        <v>1044</v>
      </c>
      <c r="Z449">
        <v>3</v>
      </c>
      <c r="AA449" t="s">
        <v>1256</v>
      </c>
    </row>
    <row r="450" spans="1:27" ht="15" customHeight="1">
      <c r="A450">
        <v>1</v>
      </c>
      <c r="B450" s="139">
        <v>46164.619791666657</v>
      </c>
      <c r="C450" s="139">
        <v>46164.623171296298</v>
      </c>
      <c r="D450" t="s">
        <v>103</v>
      </c>
      <c r="E450" t="s">
        <v>104</v>
      </c>
      <c r="F450" t="s">
        <v>105</v>
      </c>
      <c r="G450" t="s">
        <v>106</v>
      </c>
      <c r="H450" s="139">
        <v>46164</v>
      </c>
      <c r="O450" t="s">
        <v>107</v>
      </c>
      <c r="P450" t="s">
        <v>108</v>
      </c>
      <c r="Q450" t="s">
        <v>109</v>
      </c>
      <c r="R450" t="s">
        <v>22</v>
      </c>
      <c r="S450" t="s">
        <v>114</v>
      </c>
      <c r="T450" t="s">
        <v>115</v>
      </c>
      <c r="V450" t="s">
        <v>116</v>
      </c>
      <c r="W450" t="s">
        <v>117</v>
      </c>
      <c r="X450" t="s">
        <v>110</v>
      </c>
      <c r="Y450" t="s">
        <v>1040</v>
      </c>
      <c r="Z450">
        <v>1</v>
      </c>
      <c r="AA450" t="s">
        <v>1257</v>
      </c>
    </row>
    <row r="451" spans="1:27" ht="15" customHeight="1">
      <c r="A451">
        <v>1</v>
      </c>
      <c r="B451" s="139">
        <v>46164.619791666657</v>
      </c>
      <c r="C451" s="139">
        <v>46164.623171296298</v>
      </c>
      <c r="D451" t="s">
        <v>103</v>
      </c>
      <c r="E451" t="s">
        <v>104</v>
      </c>
      <c r="F451" t="s">
        <v>105</v>
      </c>
      <c r="G451" t="s">
        <v>106</v>
      </c>
      <c r="H451" s="139">
        <v>46164</v>
      </c>
      <c r="O451" t="s">
        <v>107</v>
      </c>
      <c r="P451" t="s">
        <v>108</v>
      </c>
      <c r="Q451" t="s">
        <v>109</v>
      </c>
      <c r="R451" t="s">
        <v>22</v>
      </c>
      <c r="S451" t="s">
        <v>114</v>
      </c>
      <c r="T451" t="s">
        <v>115</v>
      </c>
      <c r="V451" t="s">
        <v>116</v>
      </c>
      <c r="W451" t="s">
        <v>117</v>
      </c>
      <c r="X451" t="s">
        <v>110</v>
      </c>
      <c r="Y451" t="s">
        <v>1042</v>
      </c>
      <c r="Z451">
        <v>1</v>
      </c>
      <c r="AA451" t="s">
        <v>1153</v>
      </c>
    </row>
    <row r="452" spans="1:27" ht="15" customHeight="1">
      <c r="A452">
        <v>1</v>
      </c>
      <c r="B452" s="139">
        <v>46164.619791666657</v>
      </c>
      <c r="C452" s="139">
        <v>46164.623171296298</v>
      </c>
      <c r="D452" t="s">
        <v>103</v>
      </c>
      <c r="E452" t="s">
        <v>104</v>
      </c>
      <c r="F452" t="s">
        <v>105</v>
      </c>
      <c r="G452" t="s">
        <v>106</v>
      </c>
      <c r="H452" s="139">
        <v>46164</v>
      </c>
      <c r="O452" t="s">
        <v>107</v>
      </c>
      <c r="P452" t="s">
        <v>108</v>
      </c>
      <c r="Q452" t="s">
        <v>109</v>
      </c>
      <c r="R452" t="s">
        <v>22</v>
      </c>
      <c r="S452" t="s">
        <v>114</v>
      </c>
      <c r="T452" t="s">
        <v>115</v>
      </c>
      <c r="V452" t="s">
        <v>116</v>
      </c>
      <c r="W452" t="s">
        <v>117</v>
      </c>
      <c r="X452" t="s">
        <v>110</v>
      </c>
      <c r="Y452" t="s">
        <v>1044</v>
      </c>
      <c r="Z452">
        <v>1</v>
      </c>
      <c r="AA452" t="s">
        <v>1258</v>
      </c>
    </row>
    <row r="453" spans="1:27" ht="15" customHeight="1">
      <c r="A453">
        <v>10</v>
      </c>
      <c r="B453" s="139">
        <v>46167.616956018523</v>
      </c>
      <c r="C453" s="139">
        <v>46167.618587962963</v>
      </c>
      <c r="D453" t="s">
        <v>170</v>
      </c>
      <c r="E453" t="s">
        <v>171</v>
      </c>
      <c r="F453" t="s">
        <v>171</v>
      </c>
      <c r="G453" t="s">
        <v>172</v>
      </c>
      <c r="H453" s="139">
        <v>46164</v>
      </c>
      <c r="I453" t="s">
        <v>136</v>
      </c>
      <c r="J453" t="s">
        <v>161</v>
      </c>
      <c r="M453" t="s">
        <v>197</v>
      </c>
      <c r="N453" t="s">
        <v>198</v>
      </c>
      <c r="O453" t="s">
        <v>195</v>
      </c>
      <c r="P453" t="s">
        <v>196</v>
      </c>
      <c r="Q453" t="s">
        <v>109</v>
      </c>
      <c r="R453" t="s">
        <v>22</v>
      </c>
      <c r="S453" t="s">
        <v>149</v>
      </c>
      <c r="T453" t="s">
        <v>203</v>
      </c>
      <c r="U453" t="s">
        <v>204</v>
      </c>
      <c r="V453" t="s">
        <v>151</v>
      </c>
      <c r="W453" t="s">
        <v>130</v>
      </c>
      <c r="X453" t="s">
        <v>199</v>
      </c>
      <c r="Y453" t="s">
        <v>1040</v>
      </c>
      <c r="Z453">
        <v>1</v>
      </c>
      <c r="AA453" t="s">
        <v>1207</v>
      </c>
    </row>
    <row r="454" spans="1:27" ht="15" customHeight="1">
      <c r="A454">
        <v>10</v>
      </c>
      <c r="B454" s="139">
        <v>46167.616956018523</v>
      </c>
      <c r="C454" s="139">
        <v>46167.618587962963</v>
      </c>
      <c r="D454" t="s">
        <v>170</v>
      </c>
      <c r="E454" t="s">
        <v>171</v>
      </c>
      <c r="F454" t="s">
        <v>171</v>
      </c>
      <c r="G454" t="s">
        <v>172</v>
      </c>
      <c r="H454" s="139">
        <v>46164</v>
      </c>
      <c r="I454" t="s">
        <v>136</v>
      </c>
      <c r="J454" t="s">
        <v>161</v>
      </c>
      <c r="M454" t="s">
        <v>197</v>
      </c>
      <c r="N454" t="s">
        <v>198</v>
      </c>
      <c r="O454" t="s">
        <v>195</v>
      </c>
      <c r="P454" t="s">
        <v>196</v>
      </c>
      <c r="Q454" t="s">
        <v>109</v>
      </c>
      <c r="R454" t="s">
        <v>22</v>
      </c>
      <c r="S454" t="s">
        <v>149</v>
      </c>
      <c r="T454" t="s">
        <v>203</v>
      </c>
      <c r="U454" t="s">
        <v>204</v>
      </c>
      <c r="V454" t="s">
        <v>151</v>
      </c>
      <c r="W454" t="s">
        <v>130</v>
      </c>
      <c r="X454" t="s">
        <v>199</v>
      </c>
      <c r="Y454" t="s">
        <v>1042</v>
      </c>
      <c r="Z454">
        <v>1</v>
      </c>
      <c r="AA454" t="s">
        <v>1204</v>
      </c>
    </row>
    <row r="455" spans="1:27" ht="15" customHeight="1">
      <c r="A455">
        <v>10</v>
      </c>
      <c r="B455" s="139">
        <v>46167.616956018523</v>
      </c>
      <c r="C455" s="139">
        <v>46167.618587962963</v>
      </c>
      <c r="D455" t="s">
        <v>170</v>
      </c>
      <c r="E455" t="s">
        <v>171</v>
      </c>
      <c r="F455" t="s">
        <v>171</v>
      </c>
      <c r="G455" t="s">
        <v>172</v>
      </c>
      <c r="H455" s="139">
        <v>46164</v>
      </c>
      <c r="I455" t="s">
        <v>136</v>
      </c>
      <c r="J455" t="s">
        <v>161</v>
      </c>
      <c r="M455" t="s">
        <v>197</v>
      </c>
      <c r="N455" t="s">
        <v>198</v>
      </c>
      <c r="O455" t="s">
        <v>195</v>
      </c>
      <c r="P455" t="s">
        <v>196</v>
      </c>
      <c r="Q455" t="s">
        <v>109</v>
      </c>
      <c r="R455" t="s">
        <v>22</v>
      </c>
      <c r="S455" t="s">
        <v>149</v>
      </c>
      <c r="T455" t="s">
        <v>203</v>
      </c>
      <c r="U455" t="s">
        <v>204</v>
      </c>
      <c r="V455" t="s">
        <v>151</v>
      </c>
      <c r="W455" t="s">
        <v>130</v>
      </c>
      <c r="X455" t="s">
        <v>199</v>
      </c>
      <c r="Y455" t="s">
        <v>1042</v>
      </c>
      <c r="Z455">
        <v>2</v>
      </c>
      <c r="AA455" t="s">
        <v>1120</v>
      </c>
    </row>
    <row r="456" spans="1:27" ht="15" customHeight="1">
      <c r="A456">
        <v>10</v>
      </c>
      <c r="B456" s="139">
        <v>46167.616956018523</v>
      </c>
      <c r="C456" s="139">
        <v>46167.618587962963</v>
      </c>
      <c r="D456" t="s">
        <v>170</v>
      </c>
      <c r="E456" t="s">
        <v>171</v>
      </c>
      <c r="F456" t="s">
        <v>171</v>
      </c>
      <c r="G456" t="s">
        <v>172</v>
      </c>
      <c r="H456" s="139">
        <v>46164</v>
      </c>
      <c r="I456" t="s">
        <v>136</v>
      </c>
      <c r="J456" t="s">
        <v>161</v>
      </c>
      <c r="M456" t="s">
        <v>197</v>
      </c>
      <c r="N456" t="s">
        <v>198</v>
      </c>
      <c r="O456" t="s">
        <v>195</v>
      </c>
      <c r="P456" t="s">
        <v>196</v>
      </c>
      <c r="Q456" t="s">
        <v>109</v>
      </c>
      <c r="R456" t="s">
        <v>22</v>
      </c>
      <c r="S456" t="s">
        <v>149</v>
      </c>
      <c r="T456" t="s">
        <v>203</v>
      </c>
      <c r="U456" t="s">
        <v>204</v>
      </c>
      <c r="V456" t="s">
        <v>151</v>
      </c>
      <c r="W456" t="s">
        <v>130</v>
      </c>
      <c r="X456" t="s">
        <v>199</v>
      </c>
      <c r="Y456" t="s">
        <v>1042</v>
      </c>
      <c r="Z456">
        <v>3</v>
      </c>
      <c r="AA456" t="s">
        <v>1091</v>
      </c>
    </row>
    <row r="457" spans="1:27" ht="15" customHeight="1">
      <c r="A457">
        <v>10</v>
      </c>
      <c r="B457" s="139">
        <v>46167.616956018523</v>
      </c>
      <c r="C457" s="139">
        <v>46167.618587962963</v>
      </c>
      <c r="D457" t="s">
        <v>170</v>
      </c>
      <c r="E457" t="s">
        <v>171</v>
      </c>
      <c r="F457" t="s">
        <v>171</v>
      </c>
      <c r="G457" t="s">
        <v>172</v>
      </c>
      <c r="H457" s="139">
        <v>46164</v>
      </c>
      <c r="I457" t="s">
        <v>136</v>
      </c>
      <c r="J457" t="s">
        <v>161</v>
      </c>
      <c r="M457" t="s">
        <v>197</v>
      </c>
      <c r="N457" t="s">
        <v>198</v>
      </c>
      <c r="O457" t="s">
        <v>195</v>
      </c>
      <c r="P457" t="s">
        <v>196</v>
      </c>
      <c r="Q457" t="s">
        <v>109</v>
      </c>
      <c r="R457" t="s">
        <v>22</v>
      </c>
      <c r="S457" t="s">
        <v>149</v>
      </c>
      <c r="T457" t="s">
        <v>203</v>
      </c>
      <c r="U457" t="s">
        <v>204</v>
      </c>
      <c r="V457" t="s">
        <v>151</v>
      </c>
      <c r="W457" t="s">
        <v>130</v>
      </c>
      <c r="X457" t="s">
        <v>199</v>
      </c>
      <c r="Y457" t="s">
        <v>1042</v>
      </c>
      <c r="Z457">
        <v>4</v>
      </c>
      <c r="AA457" t="s">
        <v>1090</v>
      </c>
    </row>
    <row r="458" spans="1:27" ht="15" customHeight="1">
      <c r="A458">
        <v>10</v>
      </c>
      <c r="B458" s="139">
        <v>46167.616956018523</v>
      </c>
      <c r="C458" s="139">
        <v>46167.618587962963</v>
      </c>
      <c r="D458" t="s">
        <v>170</v>
      </c>
      <c r="E458" t="s">
        <v>171</v>
      </c>
      <c r="F458" t="s">
        <v>171</v>
      </c>
      <c r="G458" t="s">
        <v>172</v>
      </c>
      <c r="H458" s="139">
        <v>46164</v>
      </c>
      <c r="I458" t="s">
        <v>136</v>
      </c>
      <c r="J458" t="s">
        <v>161</v>
      </c>
      <c r="M458" t="s">
        <v>197</v>
      </c>
      <c r="N458" t="s">
        <v>198</v>
      </c>
      <c r="O458" t="s">
        <v>195</v>
      </c>
      <c r="P458" t="s">
        <v>196</v>
      </c>
      <c r="Q458" t="s">
        <v>109</v>
      </c>
      <c r="R458" t="s">
        <v>22</v>
      </c>
      <c r="S458" t="s">
        <v>149</v>
      </c>
      <c r="T458" t="s">
        <v>203</v>
      </c>
      <c r="U458" t="s">
        <v>204</v>
      </c>
      <c r="V458" t="s">
        <v>151</v>
      </c>
      <c r="W458" t="s">
        <v>130</v>
      </c>
      <c r="X458" t="s">
        <v>199</v>
      </c>
      <c r="Y458" t="s">
        <v>1042</v>
      </c>
      <c r="Z458">
        <v>5</v>
      </c>
      <c r="AA458" t="s">
        <v>1089</v>
      </c>
    </row>
    <row r="459" spans="1:27" ht="15" customHeight="1">
      <c r="A459">
        <v>10</v>
      </c>
      <c r="B459" s="139">
        <v>46167.616956018523</v>
      </c>
      <c r="C459" s="139">
        <v>46167.618587962963</v>
      </c>
      <c r="D459" t="s">
        <v>170</v>
      </c>
      <c r="E459" t="s">
        <v>171</v>
      </c>
      <c r="F459" t="s">
        <v>171</v>
      </c>
      <c r="G459" t="s">
        <v>172</v>
      </c>
      <c r="H459" s="139">
        <v>46164</v>
      </c>
      <c r="I459" t="s">
        <v>136</v>
      </c>
      <c r="J459" t="s">
        <v>161</v>
      </c>
      <c r="M459" t="s">
        <v>197</v>
      </c>
      <c r="N459" t="s">
        <v>198</v>
      </c>
      <c r="O459" t="s">
        <v>195</v>
      </c>
      <c r="P459" t="s">
        <v>196</v>
      </c>
      <c r="Q459" t="s">
        <v>109</v>
      </c>
      <c r="R459" t="s">
        <v>22</v>
      </c>
      <c r="S459" t="s">
        <v>149</v>
      </c>
      <c r="T459" t="s">
        <v>203</v>
      </c>
      <c r="U459" t="s">
        <v>204</v>
      </c>
      <c r="V459" t="s">
        <v>151</v>
      </c>
      <c r="W459" t="s">
        <v>130</v>
      </c>
      <c r="X459" t="s">
        <v>199</v>
      </c>
      <c r="Y459" t="s">
        <v>1044</v>
      </c>
      <c r="Z459">
        <v>1</v>
      </c>
      <c r="AA459" t="s">
        <v>1123</v>
      </c>
    </row>
    <row r="460" spans="1:27" ht="15" customHeight="1">
      <c r="A460">
        <v>11</v>
      </c>
      <c r="B460" s="139">
        <v>46167.618622685193</v>
      </c>
      <c r="C460" s="139">
        <v>46167.620173611111</v>
      </c>
      <c r="D460" t="s">
        <v>170</v>
      </c>
      <c r="E460" t="s">
        <v>171</v>
      </c>
      <c r="F460" t="s">
        <v>171</v>
      </c>
      <c r="G460" t="s">
        <v>172</v>
      </c>
      <c r="H460" s="139">
        <v>46164</v>
      </c>
      <c r="I460" t="s">
        <v>136</v>
      </c>
      <c r="J460" t="s">
        <v>161</v>
      </c>
      <c r="M460" t="s">
        <v>205</v>
      </c>
      <c r="N460" t="s">
        <v>206</v>
      </c>
      <c r="O460" t="s">
        <v>195</v>
      </c>
      <c r="P460" t="s">
        <v>196</v>
      </c>
      <c r="Q460" t="s">
        <v>109</v>
      </c>
      <c r="R460" t="s">
        <v>22</v>
      </c>
      <c r="S460" t="s">
        <v>149</v>
      </c>
      <c r="T460" t="s">
        <v>181</v>
      </c>
      <c r="U460" t="s">
        <v>210</v>
      </c>
      <c r="V460" t="s">
        <v>129</v>
      </c>
      <c r="W460" t="s">
        <v>130</v>
      </c>
      <c r="X460" t="s">
        <v>199</v>
      </c>
      <c r="Y460" t="s">
        <v>1040</v>
      </c>
      <c r="Z460">
        <v>1</v>
      </c>
      <c r="AA460" t="s">
        <v>1259</v>
      </c>
    </row>
    <row r="461" spans="1:27" ht="15" customHeight="1">
      <c r="A461">
        <v>11</v>
      </c>
      <c r="B461" s="139">
        <v>46167.618622685193</v>
      </c>
      <c r="C461" s="139">
        <v>46167.620173611111</v>
      </c>
      <c r="D461" t="s">
        <v>170</v>
      </c>
      <c r="E461" t="s">
        <v>171</v>
      </c>
      <c r="F461" t="s">
        <v>171</v>
      </c>
      <c r="G461" t="s">
        <v>172</v>
      </c>
      <c r="H461" s="139">
        <v>46164</v>
      </c>
      <c r="I461" t="s">
        <v>136</v>
      </c>
      <c r="J461" t="s">
        <v>161</v>
      </c>
      <c r="M461" t="s">
        <v>205</v>
      </c>
      <c r="N461" t="s">
        <v>206</v>
      </c>
      <c r="O461" t="s">
        <v>195</v>
      </c>
      <c r="P461" t="s">
        <v>196</v>
      </c>
      <c r="Q461" t="s">
        <v>109</v>
      </c>
      <c r="R461" t="s">
        <v>22</v>
      </c>
      <c r="S461" t="s">
        <v>149</v>
      </c>
      <c r="T461" t="s">
        <v>181</v>
      </c>
      <c r="U461" t="s">
        <v>210</v>
      </c>
      <c r="V461" t="s">
        <v>129</v>
      </c>
      <c r="W461" t="s">
        <v>130</v>
      </c>
      <c r="X461" t="s">
        <v>199</v>
      </c>
      <c r="Y461" t="s">
        <v>1042</v>
      </c>
      <c r="Z461">
        <v>1</v>
      </c>
      <c r="AA461" t="s">
        <v>1120</v>
      </c>
    </row>
    <row r="462" spans="1:27" ht="15" customHeight="1">
      <c r="A462">
        <v>11</v>
      </c>
      <c r="B462" s="139">
        <v>46167.618622685193</v>
      </c>
      <c r="C462" s="139">
        <v>46167.620173611111</v>
      </c>
      <c r="D462" t="s">
        <v>170</v>
      </c>
      <c r="E462" t="s">
        <v>171</v>
      </c>
      <c r="F462" t="s">
        <v>171</v>
      </c>
      <c r="G462" t="s">
        <v>172</v>
      </c>
      <c r="H462" s="139">
        <v>46164</v>
      </c>
      <c r="I462" t="s">
        <v>136</v>
      </c>
      <c r="J462" t="s">
        <v>161</v>
      </c>
      <c r="M462" t="s">
        <v>205</v>
      </c>
      <c r="N462" t="s">
        <v>206</v>
      </c>
      <c r="O462" t="s">
        <v>195</v>
      </c>
      <c r="P462" t="s">
        <v>196</v>
      </c>
      <c r="Q462" t="s">
        <v>109</v>
      </c>
      <c r="R462" t="s">
        <v>22</v>
      </c>
      <c r="S462" t="s">
        <v>149</v>
      </c>
      <c r="T462" t="s">
        <v>181</v>
      </c>
      <c r="U462" t="s">
        <v>210</v>
      </c>
      <c r="V462" t="s">
        <v>129</v>
      </c>
      <c r="W462" t="s">
        <v>130</v>
      </c>
      <c r="X462" t="s">
        <v>199</v>
      </c>
      <c r="Y462" t="s">
        <v>1042</v>
      </c>
      <c r="Z462">
        <v>2</v>
      </c>
      <c r="AA462" t="s">
        <v>1091</v>
      </c>
    </row>
    <row r="463" spans="1:27" ht="15" customHeight="1">
      <c r="A463">
        <v>11</v>
      </c>
      <c r="B463" s="139">
        <v>46167.618622685193</v>
      </c>
      <c r="C463" s="139">
        <v>46167.620173611111</v>
      </c>
      <c r="D463" t="s">
        <v>170</v>
      </c>
      <c r="E463" t="s">
        <v>171</v>
      </c>
      <c r="F463" t="s">
        <v>171</v>
      </c>
      <c r="G463" t="s">
        <v>172</v>
      </c>
      <c r="H463" s="139">
        <v>46164</v>
      </c>
      <c r="I463" t="s">
        <v>136</v>
      </c>
      <c r="J463" t="s">
        <v>161</v>
      </c>
      <c r="M463" t="s">
        <v>205</v>
      </c>
      <c r="N463" t="s">
        <v>206</v>
      </c>
      <c r="O463" t="s">
        <v>195</v>
      </c>
      <c r="P463" t="s">
        <v>196</v>
      </c>
      <c r="Q463" t="s">
        <v>109</v>
      </c>
      <c r="R463" t="s">
        <v>22</v>
      </c>
      <c r="S463" t="s">
        <v>149</v>
      </c>
      <c r="T463" t="s">
        <v>181</v>
      </c>
      <c r="U463" t="s">
        <v>210</v>
      </c>
      <c r="V463" t="s">
        <v>129</v>
      </c>
      <c r="W463" t="s">
        <v>130</v>
      </c>
      <c r="X463" t="s">
        <v>199</v>
      </c>
      <c r="Y463" t="s">
        <v>1042</v>
      </c>
      <c r="Z463">
        <v>3</v>
      </c>
      <c r="AA463" t="s">
        <v>1090</v>
      </c>
    </row>
    <row r="464" spans="1:27" ht="15" customHeight="1">
      <c r="A464">
        <v>11</v>
      </c>
      <c r="B464" s="139">
        <v>46167.618622685193</v>
      </c>
      <c r="C464" s="139">
        <v>46167.620173611111</v>
      </c>
      <c r="D464" t="s">
        <v>170</v>
      </c>
      <c r="E464" t="s">
        <v>171</v>
      </c>
      <c r="F464" t="s">
        <v>171</v>
      </c>
      <c r="G464" t="s">
        <v>172</v>
      </c>
      <c r="H464" s="139">
        <v>46164</v>
      </c>
      <c r="I464" t="s">
        <v>136</v>
      </c>
      <c r="J464" t="s">
        <v>161</v>
      </c>
      <c r="M464" t="s">
        <v>205</v>
      </c>
      <c r="N464" t="s">
        <v>206</v>
      </c>
      <c r="O464" t="s">
        <v>195</v>
      </c>
      <c r="P464" t="s">
        <v>196</v>
      </c>
      <c r="Q464" t="s">
        <v>109</v>
      </c>
      <c r="R464" t="s">
        <v>22</v>
      </c>
      <c r="S464" t="s">
        <v>149</v>
      </c>
      <c r="T464" t="s">
        <v>181</v>
      </c>
      <c r="U464" t="s">
        <v>210</v>
      </c>
      <c r="V464" t="s">
        <v>129</v>
      </c>
      <c r="W464" t="s">
        <v>130</v>
      </c>
      <c r="X464" t="s">
        <v>199</v>
      </c>
      <c r="Y464" t="s">
        <v>1042</v>
      </c>
      <c r="Z464">
        <v>4</v>
      </c>
      <c r="AA464" t="s">
        <v>1204</v>
      </c>
    </row>
    <row r="465" spans="1:27" ht="15" customHeight="1">
      <c r="A465">
        <v>11</v>
      </c>
      <c r="B465" s="139">
        <v>46167.618622685193</v>
      </c>
      <c r="C465" s="139">
        <v>46167.620173611111</v>
      </c>
      <c r="D465" t="s">
        <v>170</v>
      </c>
      <c r="E465" t="s">
        <v>171</v>
      </c>
      <c r="F465" t="s">
        <v>171</v>
      </c>
      <c r="G465" t="s">
        <v>172</v>
      </c>
      <c r="H465" s="139">
        <v>46164</v>
      </c>
      <c r="I465" t="s">
        <v>136</v>
      </c>
      <c r="J465" t="s">
        <v>161</v>
      </c>
      <c r="M465" t="s">
        <v>205</v>
      </c>
      <c r="N465" t="s">
        <v>206</v>
      </c>
      <c r="O465" t="s">
        <v>195</v>
      </c>
      <c r="P465" t="s">
        <v>196</v>
      </c>
      <c r="Q465" t="s">
        <v>109</v>
      </c>
      <c r="R465" t="s">
        <v>22</v>
      </c>
      <c r="S465" t="s">
        <v>149</v>
      </c>
      <c r="T465" t="s">
        <v>181</v>
      </c>
      <c r="U465" t="s">
        <v>210</v>
      </c>
      <c r="V465" t="s">
        <v>129</v>
      </c>
      <c r="W465" t="s">
        <v>130</v>
      </c>
      <c r="X465" t="s">
        <v>199</v>
      </c>
      <c r="Y465" t="s">
        <v>1042</v>
      </c>
      <c r="Z465">
        <v>5</v>
      </c>
      <c r="AA465" t="s">
        <v>1089</v>
      </c>
    </row>
    <row r="466" spans="1:27" ht="15" customHeight="1">
      <c r="A466">
        <v>11</v>
      </c>
      <c r="B466" s="139">
        <v>46167.618622685193</v>
      </c>
      <c r="C466" s="139">
        <v>46167.620173611111</v>
      </c>
      <c r="D466" t="s">
        <v>170</v>
      </c>
      <c r="E466" t="s">
        <v>171</v>
      </c>
      <c r="F466" t="s">
        <v>171</v>
      </c>
      <c r="G466" t="s">
        <v>172</v>
      </c>
      <c r="H466" s="139">
        <v>46164</v>
      </c>
      <c r="I466" t="s">
        <v>136</v>
      </c>
      <c r="J466" t="s">
        <v>161</v>
      </c>
      <c r="M466" t="s">
        <v>205</v>
      </c>
      <c r="N466" t="s">
        <v>206</v>
      </c>
      <c r="O466" t="s">
        <v>195</v>
      </c>
      <c r="P466" t="s">
        <v>196</v>
      </c>
      <c r="Q466" t="s">
        <v>109</v>
      </c>
      <c r="R466" t="s">
        <v>22</v>
      </c>
      <c r="S466" t="s">
        <v>149</v>
      </c>
      <c r="T466" t="s">
        <v>181</v>
      </c>
      <c r="U466" t="s">
        <v>210</v>
      </c>
      <c r="V466" t="s">
        <v>129</v>
      </c>
      <c r="W466" t="s">
        <v>130</v>
      </c>
      <c r="X466" t="s">
        <v>199</v>
      </c>
      <c r="Y466" t="s">
        <v>1044</v>
      </c>
      <c r="Z466">
        <v>1</v>
      </c>
      <c r="AA466" t="s">
        <v>1122</v>
      </c>
    </row>
    <row r="467" spans="1:27" ht="15" customHeight="1">
      <c r="A467">
        <v>27</v>
      </c>
      <c r="B467" s="139">
        <v>46168.592523148152</v>
      </c>
      <c r="C467" s="139">
        <v>46168.595775462964</v>
      </c>
      <c r="D467" t="s">
        <v>103</v>
      </c>
      <c r="E467" t="s">
        <v>104</v>
      </c>
      <c r="F467" t="s">
        <v>105</v>
      </c>
      <c r="G467" t="s">
        <v>106</v>
      </c>
      <c r="H467" s="139">
        <v>46164</v>
      </c>
      <c r="I467" t="s">
        <v>136</v>
      </c>
      <c r="J467" t="s">
        <v>174</v>
      </c>
      <c r="L467" t="s">
        <v>292</v>
      </c>
      <c r="N467" t="s">
        <v>293</v>
      </c>
      <c r="O467" t="s">
        <v>107</v>
      </c>
      <c r="P467" t="s">
        <v>108</v>
      </c>
      <c r="Q467" t="s">
        <v>109</v>
      </c>
      <c r="R467" t="s">
        <v>22</v>
      </c>
      <c r="S467" t="s">
        <v>143</v>
      </c>
      <c r="T467" t="s">
        <v>181</v>
      </c>
      <c r="V467" t="s">
        <v>151</v>
      </c>
      <c r="W467" t="s">
        <v>130</v>
      </c>
      <c r="X467" t="s">
        <v>199</v>
      </c>
      <c r="Y467" t="s">
        <v>1040</v>
      </c>
      <c r="Z467">
        <v>1</v>
      </c>
      <c r="AA467" t="s">
        <v>1119</v>
      </c>
    </row>
    <row r="468" spans="1:27" ht="15" customHeight="1">
      <c r="A468">
        <v>27</v>
      </c>
      <c r="B468" s="139">
        <v>46168.592523148152</v>
      </c>
      <c r="C468" s="139">
        <v>46168.595775462964</v>
      </c>
      <c r="D468" t="s">
        <v>103</v>
      </c>
      <c r="E468" t="s">
        <v>104</v>
      </c>
      <c r="F468" t="s">
        <v>105</v>
      </c>
      <c r="G468" t="s">
        <v>106</v>
      </c>
      <c r="H468" s="139">
        <v>46164</v>
      </c>
      <c r="I468" t="s">
        <v>136</v>
      </c>
      <c r="J468" t="s">
        <v>174</v>
      </c>
      <c r="L468" t="s">
        <v>292</v>
      </c>
      <c r="N468" t="s">
        <v>293</v>
      </c>
      <c r="O468" t="s">
        <v>107</v>
      </c>
      <c r="P468" t="s">
        <v>108</v>
      </c>
      <c r="Q468" t="s">
        <v>109</v>
      </c>
      <c r="R468" t="s">
        <v>22</v>
      </c>
      <c r="S468" t="s">
        <v>143</v>
      </c>
      <c r="T468" t="s">
        <v>181</v>
      </c>
      <c r="V468" t="s">
        <v>151</v>
      </c>
      <c r="W468" t="s">
        <v>130</v>
      </c>
      <c r="X468" t="s">
        <v>199</v>
      </c>
      <c r="Y468" t="s">
        <v>1042</v>
      </c>
      <c r="Z468">
        <v>1</v>
      </c>
      <c r="AA468" t="s">
        <v>1204</v>
      </c>
    </row>
    <row r="469" spans="1:27" ht="15" customHeight="1">
      <c r="A469">
        <v>27</v>
      </c>
      <c r="B469" s="139">
        <v>46168.592523148152</v>
      </c>
      <c r="C469" s="139">
        <v>46168.595775462964</v>
      </c>
      <c r="D469" t="s">
        <v>103</v>
      </c>
      <c r="E469" t="s">
        <v>104</v>
      </c>
      <c r="F469" t="s">
        <v>105</v>
      </c>
      <c r="G469" t="s">
        <v>106</v>
      </c>
      <c r="H469" s="139">
        <v>46164</v>
      </c>
      <c r="I469" t="s">
        <v>136</v>
      </c>
      <c r="J469" t="s">
        <v>174</v>
      </c>
      <c r="L469" t="s">
        <v>292</v>
      </c>
      <c r="N469" t="s">
        <v>293</v>
      </c>
      <c r="O469" t="s">
        <v>107</v>
      </c>
      <c r="P469" t="s">
        <v>108</v>
      </c>
      <c r="Q469" t="s">
        <v>109</v>
      </c>
      <c r="R469" t="s">
        <v>22</v>
      </c>
      <c r="S469" t="s">
        <v>143</v>
      </c>
      <c r="T469" t="s">
        <v>181</v>
      </c>
      <c r="V469" t="s">
        <v>151</v>
      </c>
      <c r="W469" t="s">
        <v>130</v>
      </c>
      <c r="X469" t="s">
        <v>199</v>
      </c>
      <c r="Y469" t="s">
        <v>1042</v>
      </c>
      <c r="Z469">
        <v>2</v>
      </c>
      <c r="AA469" t="s">
        <v>1120</v>
      </c>
    </row>
    <row r="470" spans="1:27" ht="15" customHeight="1">
      <c r="A470">
        <v>27</v>
      </c>
      <c r="B470" s="139">
        <v>46168.592523148152</v>
      </c>
      <c r="C470" s="139">
        <v>46168.595775462964</v>
      </c>
      <c r="D470" t="s">
        <v>103</v>
      </c>
      <c r="E470" t="s">
        <v>104</v>
      </c>
      <c r="F470" t="s">
        <v>105</v>
      </c>
      <c r="G470" t="s">
        <v>106</v>
      </c>
      <c r="H470" s="139">
        <v>46164</v>
      </c>
      <c r="I470" t="s">
        <v>136</v>
      </c>
      <c r="J470" t="s">
        <v>174</v>
      </c>
      <c r="L470" t="s">
        <v>292</v>
      </c>
      <c r="N470" t="s">
        <v>293</v>
      </c>
      <c r="O470" t="s">
        <v>107</v>
      </c>
      <c r="P470" t="s">
        <v>108</v>
      </c>
      <c r="Q470" t="s">
        <v>109</v>
      </c>
      <c r="R470" t="s">
        <v>22</v>
      </c>
      <c r="S470" t="s">
        <v>143</v>
      </c>
      <c r="T470" t="s">
        <v>181</v>
      </c>
      <c r="V470" t="s">
        <v>151</v>
      </c>
      <c r="W470" t="s">
        <v>130</v>
      </c>
      <c r="X470" t="s">
        <v>199</v>
      </c>
      <c r="Y470" t="s">
        <v>1042</v>
      </c>
      <c r="Z470">
        <v>3</v>
      </c>
      <c r="AA470" t="s">
        <v>1089</v>
      </c>
    </row>
    <row r="471" spans="1:27" ht="15" customHeight="1">
      <c r="A471">
        <v>27</v>
      </c>
      <c r="B471" s="139">
        <v>46168.592523148152</v>
      </c>
      <c r="C471" s="139">
        <v>46168.595775462964</v>
      </c>
      <c r="D471" t="s">
        <v>103</v>
      </c>
      <c r="E471" t="s">
        <v>104</v>
      </c>
      <c r="F471" t="s">
        <v>105</v>
      </c>
      <c r="G471" t="s">
        <v>106</v>
      </c>
      <c r="H471" s="139">
        <v>46164</v>
      </c>
      <c r="I471" t="s">
        <v>136</v>
      </c>
      <c r="J471" t="s">
        <v>174</v>
      </c>
      <c r="L471" t="s">
        <v>292</v>
      </c>
      <c r="N471" t="s">
        <v>293</v>
      </c>
      <c r="O471" t="s">
        <v>107</v>
      </c>
      <c r="P471" t="s">
        <v>108</v>
      </c>
      <c r="Q471" t="s">
        <v>109</v>
      </c>
      <c r="R471" t="s">
        <v>22</v>
      </c>
      <c r="S471" t="s">
        <v>143</v>
      </c>
      <c r="T471" t="s">
        <v>181</v>
      </c>
      <c r="V471" t="s">
        <v>151</v>
      </c>
      <c r="W471" t="s">
        <v>130</v>
      </c>
      <c r="X471" t="s">
        <v>199</v>
      </c>
      <c r="Y471" t="s">
        <v>1044</v>
      </c>
      <c r="Z471">
        <v>1</v>
      </c>
      <c r="AA471" t="s">
        <v>1122</v>
      </c>
    </row>
    <row r="472" spans="1:27" ht="15" customHeight="1">
      <c r="A472">
        <v>31</v>
      </c>
      <c r="B472" s="139">
        <v>46168.595833333333</v>
      </c>
      <c r="C472" s="139">
        <v>46168.673634259263</v>
      </c>
      <c r="D472" t="s">
        <v>103</v>
      </c>
      <c r="E472" t="s">
        <v>104</v>
      </c>
      <c r="F472" t="s">
        <v>105</v>
      </c>
      <c r="G472" t="s">
        <v>106</v>
      </c>
      <c r="H472" s="139">
        <v>46164</v>
      </c>
      <c r="I472" t="s">
        <v>136</v>
      </c>
      <c r="J472" t="s">
        <v>174</v>
      </c>
      <c r="L472" t="s">
        <v>292</v>
      </c>
      <c r="N472" t="s">
        <v>293</v>
      </c>
      <c r="O472" t="s">
        <v>107</v>
      </c>
      <c r="P472" t="s">
        <v>108</v>
      </c>
      <c r="Q472" t="s">
        <v>109</v>
      </c>
      <c r="R472" t="s">
        <v>22</v>
      </c>
      <c r="S472" t="s">
        <v>114</v>
      </c>
      <c r="T472" t="s">
        <v>319</v>
      </c>
      <c r="U472" t="s">
        <v>320</v>
      </c>
      <c r="V472" t="s">
        <v>151</v>
      </c>
      <c r="W472" t="s">
        <v>130</v>
      </c>
      <c r="X472" t="s">
        <v>146</v>
      </c>
      <c r="Y472" t="s">
        <v>1040</v>
      </c>
      <c r="Z472">
        <v>1</v>
      </c>
      <c r="AA472" t="s">
        <v>1260</v>
      </c>
    </row>
    <row r="473" spans="1:27" ht="15" customHeight="1">
      <c r="A473">
        <v>31</v>
      </c>
      <c r="B473" s="139">
        <v>46168.595833333333</v>
      </c>
      <c r="C473" s="139">
        <v>46168.673634259263</v>
      </c>
      <c r="D473" t="s">
        <v>103</v>
      </c>
      <c r="E473" t="s">
        <v>104</v>
      </c>
      <c r="F473" t="s">
        <v>105</v>
      </c>
      <c r="G473" t="s">
        <v>106</v>
      </c>
      <c r="H473" s="139">
        <v>46164</v>
      </c>
      <c r="I473" t="s">
        <v>136</v>
      </c>
      <c r="J473" t="s">
        <v>174</v>
      </c>
      <c r="L473" t="s">
        <v>292</v>
      </c>
      <c r="N473" t="s">
        <v>293</v>
      </c>
      <c r="O473" t="s">
        <v>107</v>
      </c>
      <c r="P473" t="s">
        <v>108</v>
      </c>
      <c r="Q473" t="s">
        <v>109</v>
      </c>
      <c r="R473" t="s">
        <v>22</v>
      </c>
      <c r="S473" t="s">
        <v>114</v>
      </c>
      <c r="T473" t="s">
        <v>319</v>
      </c>
      <c r="U473" t="s">
        <v>320</v>
      </c>
      <c r="V473" t="s">
        <v>151</v>
      </c>
      <c r="W473" t="s">
        <v>130</v>
      </c>
      <c r="X473" t="s">
        <v>146</v>
      </c>
      <c r="Y473" t="s">
        <v>1042</v>
      </c>
      <c r="Z473">
        <v>1</v>
      </c>
      <c r="AA473" t="s">
        <v>1140</v>
      </c>
    </row>
    <row r="474" spans="1:27" ht="15" customHeight="1">
      <c r="A474">
        <v>31</v>
      </c>
      <c r="B474" s="139">
        <v>46168.595833333333</v>
      </c>
      <c r="C474" s="139">
        <v>46168.673634259263</v>
      </c>
      <c r="D474" t="s">
        <v>103</v>
      </c>
      <c r="E474" t="s">
        <v>104</v>
      </c>
      <c r="F474" t="s">
        <v>105</v>
      </c>
      <c r="G474" t="s">
        <v>106</v>
      </c>
      <c r="H474" s="139">
        <v>46164</v>
      </c>
      <c r="I474" t="s">
        <v>136</v>
      </c>
      <c r="J474" t="s">
        <v>174</v>
      </c>
      <c r="L474" t="s">
        <v>292</v>
      </c>
      <c r="N474" t="s">
        <v>293</v>
      </c>
      <c r="O474" t="s">
        <v>107</v>
      </c>
      <c r="P474" t="s">
        <v>108</v>
      </c>
      <c r="Q474" t="s">
        <v>109</v>
      </c>
      <c r="R474" t="s">
        <v>22</v>
      </c>
      <c r="S474" t="s">
        <v>114</v>
      </c>
      <c r="T474" t="s">
        <v>319</v>
      </c>
      <c r="U474" t="s">
        <v>320</v>
      </c>
      <c r="V474" t="s">
        <v>151</v>
      </c>
      <c r="W474" t="s">
        <v>130</v>
      </c>
      <c r="X474" t="s">
        <v>146</v>
      </c>
      <c r="Y474" t="s">
        <v>1042</v>
      </c>
      <c r="Z474">
        <v>2</v>
      </c>
      <c r="AA474" t="s">
        <v>1112</v>
      </c>
    </row>
    <row r="475" spans="1:27" ht="15" customHeight="1">
      <c r="A475">
        <v>31</v>
      </c>
      <c r="B475" s="139">
        <v>46168.595833333333</v>
      </c>
      <c r="C475" s="139">
        <v>46168.673634259263</v>
      </c>
      <c r="D475" t="s">
        <v>103</v>
      </c>
      <c r="E475" t="s">
        <v>104</v>
      </c>
      <c r="F475" t="s">
        <v>105</v>
      </c>
      <c r="G475" t="s">
        <v>106</v>
      </c>
      <c r="H475" s="139">
        <v>46164</v>
      </c>
      <c r="I475" t="s">
        <v>136</v>
      </c>
      <c r="J475" t="s">
        <v>174</v>
      </c>
      <c r="L475" t="s">
        <v>292</v>
      </c>
      <c r="N475" t="s">
        <v>293</v>
      </c>
      <c r="O475" t="s">
        <v>107</v>
      </c>
      <c r="P475" t="s">
        <v>108</v>
      </c>
      <c r="Q475" t="s">
        <v>109</v>
      </c>
      <c r="R475" t="s">
        <v>22</v>
      </c>
      <c r="S475" t="s">
        <v>114</v>
      </c>
      <c r="T475" t="s">
        <v>319</v>
      </c>
      <c r="U475" t="s">
        <v>320</v>
      </c>
      <c r="V475" t="s">
        <v>151</v>
      </c>
      <c r="W475" t="s">
        <v>130</v>
      </c>
      <c r="X475" t="s">
        <v>146</v>
      </c>
      <c r="Y475" t="s">
        <v>1044</v>
      </c>
      <c r="Z475">
        <v>1</v>
      </c>
      <c r="AA475" t="s">
        <v>1142</v>
      </c>
    </row>
    <row r="476" spans="1:27" ht="15" customHeight="1">
      <c r="A476">
        <v>32</v>
      </c>
      <c r="B476" s="139">
        <v>46168.673668981479</v>
      </c>
      <c r="C476" s="139">
        <v>46168.676006944443</v>
      </c>
      <c r="D476" t="s">
        <v>103</v>
      </c>
      <c r="E476" t="s">
        <v>104</v>
      </c>
      <c r="F476" t="s">
        <v>105</v>
      </c>
      <c r="G476" t="s">
        <v>106</v>
      </c>
      <c r="H476" s="139">
        <v>46164</v>
      </c>
      <c r="I476" t="s">
        <v>136</v>
      </c>
      <c r="J476" t="s">
        <v>174</v>
      </c>
      <c r="L476" t="s">
        <v>292</v>
      </c>
      <c r="N476" t="s">
        <v>293</v>
      </c>
      <c r="O476" t="s">
        <v>107</v>
      </c>
      <c r="P476" t="s">
        <v>108</v>
      </c>
      <c r="Q476" t="s">
        <v>109</v>
      </c>
      <c r="R476" t="s">
        <v>22</v>
      </c>
      <c r="S476" t="s">
        <v>149</v>
      </c>
      <c r="T476" t="s">
        <v>325</v>
      </c>
      <c r="U476" t="s">
        <v>326</v>
      </c>
      <c r="V476" t="s">
        <v>151</v>
      </c>
      <c r="W476" t="s">
        <v>130</v>
      </c>
      <c r="X476" t="s">
        <v>321</v>
      </c>
      <c r="Y476" t="s">
        <v>1040</v>
      </c>
      <c r="Z476">
        <v>1</v>
      </c>
      <c r="AA476" t="s">
        <v>1261</v>
      </c>
    </row>
    <row r="477" spans="1:27" ht="15" customHeight="1">
      <c r="A477">
        <v>32</v>
      </c>
      <c r="B477" s="139">
        <v>46168.673668981479</v>
      </c>
      <c r="C477" s="139">
        <v>46168.676006944443</v>
      </c>
      <c r="D477" t="s">
        <v>103</v>
      </c>
      <c r="E477" t="s">
        <v>104</v>
      </c>
      <c r="F477" t="s">
        <v>105</v>
      </c>
      <c r="G477" t="s">
        <v>106</v>
      </c>
      <c r="H477" s="139">
        <v>46164</v>
      </c>
      <c r="I477" t="s">
        <v>136</v>
      </c>
      <c r="J477" t="s">
        <v>174</v>
      </c>
      <c r="L477" t="s">
        <v>292</v>
      </c>
      <c r="N477" t="s">
        <v>293</v>
      </c>
      <c r="O477" t="s">
        <v>107</v>
      </c>
      <c r="P477" t="s">
        <v>108</v>
      </c>
      <c r="Q477" t="s">
        <v>109</v>
      </c>
      <c r="R477" t="s">
        <v>22</v>
      </c>
      <c r="S477" t="s">
        <v>149</v>
      </c>
      <c r="T477" t="s">
        <v>325</v>
      </c>
      <c r="U477" t="s">
        <v>326</v>
      </c>
      <c r="V477" t="s">
        <v>151</v>
      </c>
      <c r="W477" t="s">
        <v>130</v>
      </c>
      <c r="X477" t="s">
        <v>321</v>
      </c>
      <c r="Y477" t="s">
        <v>1042</v>
      </c>
      <c r="Z477">
        <v>1</v>
      </c>
      <c r="AA477" t="s">
        <v>1262</v>
      </c>
    </row>
    <row r="478" spans="1:27" ht="15" customHeight="1">
      <c r="A478">
        <v>32</v>
      </c>
      <c r="B478" s="139">
        <v>46168.673668981479</v>
      </c>
      <c r="C478" s="139">
        <v>46168.676006944443</v>
      </c>
      <c r="D478" t="s">
        <v>103</v>
      </c>
      <c r="E478" t="s">
        <v>104</v>
      </c>
      <c r="F478" t="s">
        <v>105</v>
      </c>
      <c r="G478" t="s">
        <v>106</v>
      </c>
      <c r="H478" s="139">
        <v>46164</v>
      </c>
      <c r="I478" t="s">
        <v>136</v>
      </c>
      <c r="J478" t="s">
        <v>174</v>
      </c>
      <c r="L478" t="s">
        <v>292</v>
      </c>
      <c r="N478" t="s">
        <v>293</v>
      </c>
      <c r="O478" t="s">
        <v>107</v>
      </c>
      <c r="P478" t="s">
        <v>108</v>
      </c>
      <c r="Q478" t="s">
        <v>109</v>
      </c>
      <c r="R478" t="s">
        <v>22</v>
      </c>
      <c r="S478" t="s">
        <v>149</v>
      </c>
      <c r="T478" t="s">
        <v>325</v>
      </c>
      <c r="U478" t="s">
        <v>326</v>
      </c>
      <c r="V478" t="s">
        <v>151</v>
      </c>
      <c r="W478" t="s">
        <v>130</v>
      </c>
      <c r="X478" t="s">
        <v>321</v>
      </c>
      <c r="Y478" t="s">
        <v>1042</v>
      </c>
      <c r="Z478">
        <v>2</v>
      </c>
      <c r="AA478" t="s">
        <v>1243</v>
      </c>
    </row>
    <row r="479" spans="1:27" ht="15" customHeight="1">
      <c r="A479">
        <v>32</v>
      </c>
      <c r="B479" s="139">
        <v>46168.673668981479</v>
      </c>
      <c r="C479" s="139">
        <v>46168.676006944443</v>
      </c>
      <c r="D479" t="s">
        <v>103</v>
      </c>
      <c r="E479" t="s">
        <v>104</v>
      </c>
      <c r="F479" t="s">
        <v>105</v>
      </c>
      <c r="G479" t="s">
        <v>106</v>
      </c>
      <c r="H479" s="139">
        <v>46164</v>
      </c>
      <c r="I479" t="s">
        <v>136</v>
      </c>
      <c r="J479" t="s">
        <v>174</v>
      </c>
      <c r="L479" t="s">
        <v>292</v>
      </c>
      <c r="N479" t="s">
        <v>293</v>
      </c>
      <c r="O479" t="s">
        <v>107</v>
      </c>
      <c r="P479" t="s">
        <v>108</v>
      </c>
      <c r="Q479" t="s">
        <v>109</v>
      </c>
      <c r="R479" t="s">
        <v>22</v>
      </c>
      <c r="S479" t="s">
        <v>149</v>
      </c>
      <c r="T479" t="s">
        <v>325</v>
      </c>
      <c r="U479" t="s">
        <v>326</v>
      </c>
      <c r="V479" t="s">
        <v>151</v>
      </c>
      <c r="W479" t="s">
        <v>130</v>
      </c>
      <c r="X479" t="s">
        <v>321</v>
      </c>
      <c r="Y479" t="s">
        <v>1044</v>
      </c>
      <c r="Z479">
        <v>1</v>
      </c>
      <c r="AA479" t="s">
        <v>1263</v>
      </c>
    </row>
    <row r="480" spans="1:27" ht="15" customHeight="1">
      <c r="A480">
        <v>87</v>
      </c>
      <c r="B480" s="139">
        <v>46177.030810185177</v>
      </c>
      <c r="C480" s="139">
        <v>46177.032708333332</v>
      </c>
      <c r="D480" t="s">
        <v>468</v>
      </c>
      <c r="E480" t="s">
        <v>469</v>
      </c>
      <c r="F480" t="s">
        <v>469</v>
      </c>
      <c r="G480" t="s">
        <v>471</v>
      </c>
      <c r="H480" s="139">
        <v>46164</v>
      </c>
      <c r="I480" t="s">
        <v>472</v>
      </c>
      <c r="J480" t="s">
        <v>161</v>
      </c>
      <c r="M480" t="s">
        <v>486</v>
      </c>
      <c r="N480" t="s">
        <v>611</v>
      </c>
      <c r="O480" t="s">
        <v>135</v>
      </c>
      <c r="P480" t="s">
        <v>108</v>
      </c>
      <c r="Q480" t="s">
        <v>109</v>
      </c>
      <c r="R480" t="s">
        <v>22</v>
      </c>
      <c r="S480" t="s">
        <v>149</v>
      </c>
      <c r="T480" t="s">
        <v>144</v>
      </c>
      <c r="V480" t="s">
        <v>151</v>
      </c>
      <c r="W480" t="s">
        <v>117</v>
      </c>
      <c r="X480" t="s">
        <v>124</v>
      </c>
      <c r="Y480" t="s">
        <v>1040</v>
      </c>
      <c r="Z480">
        <v>1</v>
      </c>
      <c r="AA480" t="s">
        <v>1058</v>
      </c>
    </row>
    <row r="481" spans="1:27" ht="15" customHeight="1">
      <c r="A481">
        <v>87</v>
      </c>
      <c r="B481" s="139">
        <v>46177.030810185177</v>
      </c>
      <c r="C481" s="139">
        <v>46177.032708333332</v>
      </c>
      <c r="D481" t="s">
        <v>468</v>
      </c>
      <c r="E481" t="s">
        <v>469</v>
      </c>
      <c r="F481" t="s">
        <v>469</v>
      </c>
      <c r="G481" t="s">
        <v>471</v>
      </c>
      <c r="H481" s="139">
        <v>46164</v>
      </c>
      <c r="I481" t="s">
        <v>472</v>
      </c>
      <c r="J481" t="s">
        <v>161</v>
      </c>
      <c r="M481" t="s">
        <v>486</v>
      </c>
      <c r="N481" t="s">
        <v>611</v>
      </c>
      <c r="O481" t="s">
        <v>135</v>
      </c>
      <c r="P481" t="s">
        <v>108</v>
      </c>
      <c r="Q481" t="s">
        <v>109</v>
      </c>
      <c r="R481" t="s">
        <v>22</v>
      </c>
      <c r="S481" t="s">
        <v>149</v>
      </c>
      <c r="T481" t="s">
        <v>144</v>
      </c>
      <c r="V481" t="s">
        <v>151</v>
      </c>
      <c r="W481" t="s">
        <v>117</v>
      </c>
      <c r="X481" t="s">
        <v>124</v>
      </c>
      <c r="Y481" t="s">
        <v>1042</v>
      </c>
      <c r="Z481">
        <v>1</v>
      </c>
      <c r="AA481" t="s">
        <v>1125</v>
      </c>
    </row>
    <row r="482" spans="1:27" ht="15" customHeight="1">
      <c r="A482">
        <v>87</v>
      </c>
      <c r="B482" s="139">
        <v>46177.030810185177</v>
      </c>
      <c r="C482" s="139">
        <v>46177.032708333332</v>
      </c>
      <c r="D482" t="s">
        <v>468</v>
      </c>
      <c r="E482" t="s">
        <v>469</v>
      </c>
      <c r="F482" t="s">
        <v>469</v>
      </c>
      <c r="G482" t="s">
        <v>471</v>
      </c>
      <c r="H482" s="139">
        <v>46164</v>
      </c>
      <c r="I482" t="s">
        <v>472</v>
      </c>
      <c r="J482" t="s">
        <v>161</v>
      </c>
      <c r="M482" t="s">
        <v>486</v>
      </c>
      <c r="N482" t="s">
        <v>611</v>
      </c>
      <c r="O482" t="s">
        <v>135</v>
      </c>
      <c r="P482" t="s">
        <v>108</v>
      </c>
      <c r="Q482" t="s">
        <v>109</v>
      </c>
      <c r="R482" t="s">
        <v>22</v>
      </c>
      <c r="S482" t="s">
        <v>149</v>
      </c>
      <c r="T482" t="s">
        <v>144</v>
      </c>
      <c r="V482" t="s">
        <v>151</v>
      </c>
      <c r="W482" t="s">
        <v>117</v>
      </c>
      <c r="X482" t="s">
        <v>124</v>
      </c>
      <c r="Y482" t="s">
        <v>1042</v>
      </c>
      <c r="Z482">
        <v>2</v>
      </c>
      <c r="AA482" t="s">
        <v>1073</v>
      </c>
    </row>
    <row r="483" spans="1:27" ht="15" customHeight="1">
      <c r="A483">
        <v>87</v>
      </c>
      <c r="B483" s="139">
        <v>46177.030810185177</v>
      </c>
      <c r="C483" s="139">
        <v>46177.032708333332</v>
      </c>
      <c r="D483" t="s">
        <v>468</v>
      </c>
      <c r="E483" t="s">
        <v>469</v>
      </c>
      <c r="F483" t="s">
        <v>469</v>
      </c>
      <c r="G483" t="s">
        <v>471</v>
      </c>
      <c r="H483" s="139">
        <v>46164</v>
      </c>
      <c r="I483" t="s">
        <v>472</v>
      </c>
      <c r="J483" t="s">
        <v>161</v>
      </c>
      <c r="M483" t="s">
        <v>486</v>
      </c>
      <c r="N483" t="s">
        <v>611</v>
      </c>
      <c r="O483" t="s">
        <v>135</v>
      </c>
      <c r="P483" t="s">
        <v>108</v>
      </c>
      <c r="Q483" t="s">
        <v>109</v>
      </c>
      <c r="R483" t="s">
        <v>22</v>
      </c>
      <c r="S483" t="s">
        <v>149</v>
      </c>
      <c r="T483" t="s">
        <v>144</v>
      </c>
      <c r="V483" t="s">
        <v>151</v>
      </c>
      <c r="W483" t="s">
        <v>117</v>
      </c>
      <c r="X483" t="s">
        <v>124</v>
      </c>
      <c r="Y483" t="s">
        <v>1042</v>
      </c>
      <c r="Z483">
        <v>3</v>
      </c>
      <c r="AA483" t="s">
        <v>1264</v>
      </c>
    </row>
    <row r="484" spans="1:27" ht="15" customHeight="1">
      <c r="A484">
        <v>87</v>
      </c>
      <c r="B484" s="139">
        <v>46177.030810185177</v>
      </c>
      <c r="C484" s="139">
        <v>46177.032708333332</v>
      </c>
      <c r="D484" t="s">
        <v>468</v>
      </c>
      <c r="E484" t="s">
        <v>469</v>
      </c>
      <c r="F484" t="s">
        <v>469</v>
      </c>
      <c r="G484" t="s">
        <v>471</v>
      </c>
      <c r="H484" s="139">
        <v>46164</v>
      </c>
      <c r="I484" t="s">
        <v>472</v>
      </c>
      <c r="J484" t="s">
        <v>161</v>
      </c>
      <c r="M484" t="s">
        <v>486</v>
      </c>
      <c r="N484" t="s">
        <v>611</v>
      </c>
      <c r="O484" t="s">
        <v>135</v>
      </c>
      <c r="P484" t="s">
        <v>108</v>
      </c>
      <c r="Q484" t="s">
        <v>109</v>
      </c>
      <c r="R484" t="s">
        <v>22</v>
      </c>
      <c r="S484" t="s">
        <v>149</v>
      </c>
      <c r="T484" t="s">
        <v>144</v>
      </c>
      <c r="V484" t="s">
        <v>151</v>
      </c>
      <c r="W484" t="s">
        <v>117</v>
      </c>
      <c r="X484" t="s">
        <v>124</v>
      </c>
      <c r="Y484" t="s">
        <v>1042</v>
      </c>
      <c r="Z484">
        <v>4</v>
      </c>
      <c r="AA484" t="s">
        <v>1059</v>
      </c>
    </row>
    <row r="485" spans="1:27" ht="15" customHeight="1">
      <c r="A485">
        <v>87</v>
      </c>
      <c r="B485" s="139">
        <v>46177.030810185177</v>
      </c>
      <c r="C485" s="139">
        <v>46177.032708333332</v>
      </c>
      <c r="D485" t="s">
        <v>468</v>
      </c>
      <c r="E485" t="s">
        <v>469</v>
      </c>
      <c r="F485" t="s">
        <v>469</v>
      </c>
      <c r="G485" t="s">
        <v>471</v>
      </c>
      <c r="H485" s="139">
        <v>46164</v>
      </c>
      <c r="I485" t="s">
        <v>472</v>
      </c>
      <c r="J485" t="s">
        <v>161</v>
      </c>
      <c r="M485" t="s">
        <v>486</v>
      </c>
      <c r="N485" t="s">
        <v>611</v>
      </c>
      <c r="O485" t="s">
        <v>135</v>
      </c>
      <c r="P485" t="s">
        <v>108</v>
      </c>
      <c r="Q485" t="s">
        <v>109</v>
      </c>
      <c r="R485" t="s">
        <v>22</v>
      </c>
      <c r="S485" t="s">
        <v>149</v>
      </c>
      <c r="T485" t="s">
        <v>144</v>
      </c>
      <c r="V485" t="s">
        <v>151</v>
      </c>
      <c r="W485" t="s">
        <v>117</v>
      </c>
      <c r="X485" t="s">
        <v>124</v>
      </c>
      <c r="Y485" t="s">
        <v>1042</v>
      </c>
      <c r="Z485">
        <v>5</v>
      </c>
      <c r="AA485" t="s">
        <v>1127</v>
      </c>
    </row>
    <row r="486" spans="1:27" ht="15" customHeight="1">
      <c r="A486">
        <v>87</v>
      </c>
      <c r="B486" s="139">
        <v>46177.030810185177</v>
      </c>
      <c r="C486" s="139">
        <v>46177.032708333332</v>
      </c>
      <c r="D486" t="s">
        <v>468</v>
      </c>
      <c r="E486" t="s">
        <v>469</v>
      </c>
      <c r="F486" t="s">
        <v>469</v>
      </c>
      <c r="G486" t="s">
        <v>471</v>
      </c>
      <c r="H486" s="139">
        <v>46164</v>
      </c>
      <c r="I486" t="s">
        <v>472</v>
      </c>
      <c r="J486" t="s">
        <v>161</v>
      </c>
      <c r="M486" t="s">
        <v>486</v>
      </c>
      <c r="N486" t="s">
        <v>611</v>
      </c>
      <c r="O486" t="s">
        <v>135</v>
      </c>
      <c r="P486" t="s">
        <v>108</v>
      </c>
      <c r="Q486" t="s">
        <v>109</v>
      </c>
      <c r="R486" t="s">
        <v>22</v>
      </c>
      <c r="S486" t="s">
        <v>149</v>
      </c>
      <c r="T486" t="s">
        <v>144</v>
      </c>
      <c r="V486" t="s">
        <v>151</v>
      </c>
      <c r="W486" t="s">
        <v>117</v>
      </c>
      <c r="X486" t="s">
        <v>124</v>
      </c>
      <c r="Y486" t="s">
        <v>1042</v>
      </c>
      <c r="Z486">
        <v>6</v>
      </c>
      <c r="AA486" t="s">
        <v>1128</v>
      </c>
    </row>
    <row r="487" spans="1:27" ht="15" customHeight="1">
      <c r="A487">
        <v>87</v>
      </c>
      <c r="B487" s="139">
        <v>46177.030810185177</v>
      </c>
      <c r="C487" s="139">
        <v>46177.032708333332</v>
      </c>
      <c r="D487" t="s">
        <v>468</v>
      </c>
      <c r="E487" t="s">
        <v>469</v>
      </c>
      <c r="F487" t="s">
        <v>469</v>
      </c>
      <c r="G487" t="s">
        <v>471</v>
      </c>
      <c r="H487" s="139">
        <v>46164</v>
      </c>
      <c r="I487" t="s">
        <v>472</v>
      </c>
      <c r="J487" t="s">
        <v>161</v>
      </c>
      <c r="M487" t="s">
        <v>486</v>
      </c>
      <c r="N487" t="s">
        <v>611</v>
      </c>
      <c r="O487" t="s">
        <v>135</v>
      </c>
      <c r="P487" t="s">
        <v>108</v>
      </c>
      <c r="Q487" t="s">
        <v>109</v>
      </c>
      <c r="R487" t="s">
        <v>22</v>
      </c>
      <c r="S487" t="s">
        <v>149</v>
      </c>
      <c r="T487" t="s">
        <v>144</v>
      </c>
      <c r="V487" t="s">
        <v>151</v>
      </c>
      <c r="W487" t="s">
        <v>117</v>
      </c>
      <c r="X487" t="s">
        <v>124</v>
      </c>
      <c r="Y487" t="s">
        <v>1042</v>
      </c>
      <c r="Z487">
        <v>7</v>
      </c>
      <c r="AA487" t="s">
        <v>1126</v>
      </c>
    </row>
    <row r="488" spans="1:27" ht="15" customHeight="1">
      <c r="A488">
        <v>87</v>
      </c>
      <c r="B488" s="139">
        <v>46177.030810185177</v>
      </c>
      <c r="C488" s="139">
        <v>46177.032708333332</v>
      </c>
      <c r="D488" t="s">
        <v>468</v>
      </c>
      <c r="E488" t="s">
        <v>469</v>
      </c>
      <c r="F488" t="s">
        <v>469</v>
      </c>
      <c r="G488" t="s">
        <v>471</v>
      </c>
      <c r="H488" s="139">
        <v>46164</v>
      </c>
      <c r="I488" t="s">
        <v>472</v>
      </c>
      <c r="J488" t="s">
        <v>161</v>
      </c>
      <c r="M488" t="s">
        <v>486</v>
      </c>
      <c r="N488" t="s">
        <v>611</v>
      </c>
      <c r="O488" t="s">
        <v>135</v>
      </c>
      <c r="P488" t="s">
        <v>108</v>
      </c>
      <c r="Q488" t="s">
        <v>109</v>
      </c>
      <c r="R488" t="s">
        <v>22</v>
      </c>
      <c r="S488" t="s">
        <v>149</v>
      </c>
      <c r="T488" t="s">
        <v>144</v>
      </c>
      <c r="V488" t="s">
        <v>151</v>
      </c>
      <c r="W488" t="s">
        <v>117</v>
      </c>
      <c r="X488" t="s">
        <v>124</v>
      </c>
      <c r="Y488" t="s">
        <v>1042</v>
      </c>
      <c r="Z488">
        <v>8</v>
      </c>
      <c r="AA488" t="s">
        <v>1265</v>
      </c>
    </row>
    <row r="489" spans="1:27" ht="15" customHeight="1">
      <c r="A489">
        <v>87</v>
      </c>
      <c r="B489" s="139">
        <v>46177.030810185177</v>
      </c>
      <c r="C489" s="139">
        <v>46177.032708333332</v>
      </c>
      <c r="D489" t="s">
        <v>468</v>
      </c>
      <c r="E489" t="s">
        <v>469</v>
      </c>
      <c r="F489" t="s">
        <v>469</v>
      </c>
      <c r="G489" t="s">
        <v>471</v>
      </c>
      <c r="H489" s="139">
        <v>46164</v>
      </c>
      <c r="I489" t="s">
        <v>472</v>
      </c>
      <c r="J489" t="s">
        <v>161</v>
      </c>
      <c r="M489" t="s">
        <v>486</v>
      </c>
      <c r="N489" t="s">
        <v>611</v>
      </c>
      <c r="O489" t="s">
        <v>135</v>
      </c>
      <c r="P489" t="s">
        <v>108</v>
      </c>
      <c r="Q489" t="s">
        <v>109</v>
      </c>
      <c r="R489" t="s">
        <v>22</v>
      </c>
      <c r="S489" t="s">
        <v>149</v>
      </c>
      <c r="T489" t="s">
        <v>144</v>
      </c>
      <c r="V489" t="s">
        <v>151</v>
      </c>
      <c r="W489" t="s">
        <v>117</v>
      </c>
      <c r="X489" t="s">
        <v>124</v>
      </c>
      <c r="Y489" t="s">
        <v>1044</v>
      </c>
      <c r="Z489">
        <v>1</v>
      </c>
      <c r="AA489" t="s">
        <v>1130</v>
      </c>
    </row>
    <row r="490" spans="1:27" ht="15" customHeight="1">
      <c r="A490">
        <v>87</v>
      </c>
      <c r="B490" s="139">
        <v>46177.030810185177</v>
      </c>
      <c r="C490" s="139">
        <v>46177.032708333332</v>
      </c>
      <c r="D490" t="s">
        <v>468</v>
      </c>
      <c r="E490" t="s">
        <v>469</v>
      </c>
      <c r="F490" t="s">
        <v>469</v>
      </c>
      <c r="G490" t="s">
        <v>471</v>
      </c>
      <c r="H490" s="139">
        <v>46164</v>
      </c>
      <c r="I490" t="s">
        <v>472</v>
      </c>
      <c r="J490" t="s">
        <v>161</v>
      </c>
      <c r="M490" t="s">
        <v>486</v>
      </c>
      <c r="N490" t="s">
        <v>611</v>
      </c>
      <c r="O490" t="s">
        <v>135</v>
      </c>
      <c r="P490" t="s">
        <v>108</v>
      </c>
      <c r="Q490" t="s">
        <v>109</v>
      </c>
      <c r="R490" t="s">
        <v>22</v>
      </c>
      <c r="S490" t="s">
        <v>149</v>
      </c>
      <c r="T490" t="s">
        <v>144</v>
      </c>
      <c r="V490" t="s">
        <v>151</v>
      </c>
      <c r="W490" t="s">
        <v>117</v>
      </c>
      <c r="X490" t="s">
        <v>124</v>
      </c>
      <c r="Y490" t="s">
        <v>1044</v>
      </c>
      <c r="Z490">
        <v>2</v>
      </c>
      <c r="AA490" t="s">
        <v>1061</v>
      </c>
    </row>
    <row r="491" spans="1:27" ht="15" customHeight="1">
      <c r="A491">
        <v>87</v>
      </c>
      <c r="B491" s="139">
        <v>46177.030810185177</v>
      </c>
      <c r="C491" s="139">
        <v>46177.032708333332</v>
      </c>
      <c r="D491" t="s">
        <v>468</v>
      </c>
      <c r="E491" t="s">
        <v>469</v>
      </c>
      <c r="F491" t="s">
        <v>469</v>
      </c>
      <c r="G491" t="s">
        <v>471</v>
      </c>
      <c r="H491" s="139">
        <v>46164</v>
      </c>
      <c r="I491" t="s">
        <v>472</v>
      </c>
      <c r="J491" t="s">
        <v>161</v>
      </c>
      <c r="M491" t="s">
        <v>486</v>
      </c>
      <c r="N491" t="s">
        <v>611</v>
      </c>
      <c r="O491" t="s">
        <v>135</v>
      </c>
      <c r="P491" t="s">
        <v>108</v>
      </c>
      <c r="Q491" t="s">
        <v>109</v>
      </c>
      <c r="R491" t="s">
        <v>22</v>
      </c>
      <c r="S491" t="s">
        <v>149</v>
      </c>
      <c r="T491" t="s">
        <v>144</v>
      </c>
      <c r="V491" t="s">
        <v>151</v>
      </c>
      <c r="W491" t="s">
        <v>117</v>
      </c>
      <c r="X491" t="s">
        <v>124</v>
      </c>
      <c r="Y491" t="s">
        <v>1044</v>
      </c>
      <c r="Z491">
        <v>3</v>
      </c>
      <c r="AA491" t="s">
        <v>1062</v>
      </c>
    </row>
    <row r="492" spans="1:27" ht="15" customHeight="1">
      <c r="A492">
        <v>87</v>
      </c>
      <c r="B492" s="139">
        <v>46177.030810185177</v>
      </c>
      <c r="C492" s="139">
        <v>46177.032708333332</v>
      </c>
      <c r="D492" t="s">
        <v>468</v>
      </c>
      <c r="E492" t="s">
        <v>469</v>
      </c>
      <c r="F492" t="s">
        <v>469</v>
      </c>
      <c r="G492" t="s">
        <v>471</v>
      </c>
      <c r="H492" s="139">
        <v>46164</v>
      </c>
      <c r="I492" t="s">
        <v>472</v>
      </c>
      <c r="J492" t="s">
        <v>161</v>
      </c>
      <c r="M492" t="s">
        <v>486</v>
      </c>
      <c r="N492" t="s">
        <v>611</v>
      </c>
      <c r="O492" t="s">
        <v>135</v>
      </c>
      <c r="P492" t="s">
        <v>108</v>
      </c>
      <c r="Q492" t="s">
        <v>109</v>
      </c>
      <c r="R492" t="s">
        <v>22</v>
      </c>
      <c r="S492" t="s">
        <v>149</v>
      </c>
      <c r="T492" t="s">
        <v>144</v>
      </c>
      <c r="V492" t="s">
        <v>151</v>
      </c>
      <c r="W492" t="s">
        <v>117</v>
      </c>
      <c r="X492" t="s">
        <v>124</v>
      </c>
      <c r="Y492" t="s">
        <v>1044</v>
      </c>
      <c r="Z492">
        <v>4</v>
      </c>
      <c r="AA492" t="s">
        <v>1225</v>
      </c>
    </row>
    <row r="493" spans="1:27" ht="15" customHeight="1">
      <c r="A493">
        <v>87</v>
      </c>
      <c r="B493" s="139">
        <v>46177.030810185177</v>
      </c>
      <c r="C493" s="139">
        <v>46177.032708333332</v>
      </c>
      <c r="D493" t="s">
        <v>468</v>
      </c>
      <c r="E493" t="s">
        <v>469</v>
      </c>
      <c r="F493" t="s">
        <v>469</v>
      </c>
      <c r="G493" t="s">
        <v>471</v>
      </c>
      <c r="H493" s="139">
        <v>46164</v>
      </c>
      <c r="I493" t="s">
        <v>472</v>
      </c>
      <c r="J493" t="s">
        <v>161</v>
      </c>
      <c r="M493" t="s">
        <v>486</v>
      </c>
      <c r="N493" t="s">
        <v>611</v>
      </c>
      <c r="O493" t="s">
        <v>135</v>
      </c>
      <c r="P493" t="s">
        <v>108</v>
      </c>
      <c r="Q493" t="s">
        <v>109</v>
      </c>
      <c r="R493" t="s">
        <v>22</v>
      </c>
      <c r="S493" t="s">
        <v>149</v>
      </c>
      <c r="T493" t="s">
        <v>144</v>
      </c>
      <c r="V493" t="s">
        <v>151</v>
      </c>
      <c r="W493" t="s">
        <v>117</v>
      </c>
      <c r="X493" t="s">
        <v>124</v>
      </c>
      <c r="Y493" t="s">
        <v>1044</v>
      </c>
      <c r="Z493">
        <v>5</v>
      </c>
      <c r="AA493" t="s">
        <v>1129</v>
      </c>
    </row>
    <row r="494" spans="1:27" ht="15" customHeight="1">
      <c r="A494">
        <v>155</v>
      </c>
      <c r="B494" s="139">
        <v>46185.827696759261</v>
      </c>
      <c r="C494" s="139">
        <v>46185.82912037037</v>
      </c>
      <c r="D494" t="s">
        <v>170</v>
      </c>
      <c r="E494" t="s">
        <v>171</v>
      </c>
      <c r="F494" t="s">
        <v>171</v>
      </c>
      <c r="G494" t="s">
        <v>172</v>
      </c>
      <c r="H494" s="139">
        <v>46164</v>
      </c>
      <c r="I494" t="s">
        <v>136</v>
      </c>
      <c r="J494" t="s">
        <v>161</v>
      </c>
      <c r="M494" t="s">
        <v>197</v>
      </c>
      <c r="N494" t="s">
        <v>884</v>
      </c>
      <c r="O494" t="s">
        <v>195</v>
      </c>
      <c r="P494" t="s">
        <v>305</v>
      </c>
      <c r="Q494" t="s">
        <v>109</v>
      </c>
      <c r="R494" t="s">
        <v>24</v>
      </c>
      <c r="S494" t="s">
        <v>149</v>
      </c>
      <c r="T494" t="s">
        <v>181</v>
      </c>
      <c r="V494" t="s">
        <v>116</v>
      </c>
      <c r="W494" t="s">
        <v>130</v>
      </c>
      <c r="X494" t="s">
        <v>190</v>
      </c>
      <c r="Y494" t="s">
        <v>1040</v>
      </c>
      <c r="Z494">
        <v>1</v>
      </c>
      <c r="AA494" t="s">
        <v>886</v>
      </c>
    </row>
    <row r="495" spans="1:27" ht="15" customHeight="1">
      <c r="A495">
        <v>155</v>
      </c>
      <c r="B495" s="139">
        <v>46185.827696759261</v>
      </c>
      <c r="C495" s="139">
        <v>46185.82912037037</v>
      </c>
      <c r="D495" t="s">
        <v>170</v>
      </c>
      <c r="E495" t="s">
        <v>171</v>
      </c>
      <c r="F495" t="s">
        <v>171</v>
      </c>
      <c r="G495" t="s">
        <v>172</v>
      </c>
      <c r="H495" s="139">
        <v>46164</v>
      </c>
      <c r="I495" t="s">
        <v>136</v>
      </c>
      <c r="J495" t="s">
        <v>161</v>
      </c>
      <c r="M495" t="s">
        <v>197</v>
      </c>
      <c r="N495" t="s">
        <v>884</v>
      </c>
      <c r="O495" t="s">
        <v>195</v>
      </c>
      <c r="P495" t="s">
        <v>305</v>
      </c>
      <c r="Q495" t="s">
        <v>109</v>
      </c>
      <c r="R495" t="s">
        <v>24</v>
      </c>
      <c r="S495" t="s">
        <v>149</v>
      </c>
      <c r="T495" t="s">
        <v>181</v>
      </c>
      <c r="V495" t="s">
        <v>116</v>
      </c>
      <c r="W495" t="s">
        <v>130</v>
      </c>
      <c r="X495" t="s">
        <v>190</v>
      </c>
      <c r="Y495" t="s">
        <v>1042</v>
      </c>
      <c r="Z495">
        <v>1</v>
      </c>
      <c r="AA495" t="s">
        <v>886</v>
      </c>
    </row>
    <row r="496" spans="1:27" ht="15" customHeight="1">
      <c r="A496">
        <v>155</v>
      </c>
      <c r="B496" s="139">
        <v>46185.827696759261</v>
      </c>
      <c r="C496" s="139">
        <v>46185.82912037037</v>
      </c>
      <c r="D496" t="s">
        <v>170</v>
      </c>
      <c r="E496" t="s">
        <v>171</v>
      </c>
      <c r="F496" t="s">
        <v>171</v>
      </c>
      <c r="G496" t="s">
        <v>172</v>
      </c>
      <c r="H496" s="139">
        <v>46164</v>
      </c>
      <c r="I496" t="s">
        <v>136</v>
      </c>
      <c r="J496" t="s">
        <v>161</v>
      </c>
      <c r="M496" t="s">
        <v>197</v>
      </c>
      <c r="N496" t="s">
        <v>884</v>
      </c>
      <c r="O496" t="s">
        <v>195</v>
      </c>
      <c r="P496" t="s">
        <v>305</v>
      </c>
      <c r="Q496" t="s">
        <v>109</v>
      </c>
      <c r="R496" t="s">
        <v>24</v>
      </c>
      <c r="S496" t="s">
        <v>149</v>
      </c>
      <c r="T496" t="s">
        <v>181</v>
      </c>
      <c r="V496" t="s">
        <v>116</v>
      </c>
      <c r="W496" t="s">
        <v>130</v>
      </c>
      <c r="X496" t="s">
        <v>190</v>
      </c>
      <c r="Y496" t="s">
        <v>1044</v>
      </c>
      <c r="Z496">
        <v>1</v>
      </c>
      <c r="AA496" t="s">
        <v>886</v>
      </c>
    </row>
    <row r="497" spans="1:27" ht="15" customHeight="1">
      <c r="A497">
        <v>156</v>
      </c>
      <c r="B497" s="139">
        <v>46185.829143518517</v>
      </c>
      <c r="C497" s="139">
        <v>46185.830127314817</v>
      </c>
      <c r="D497" t="s">
        <v>170</v>
      </c>
      <c r="E497" t="s">
        <v>171</v>
      </c>
      <c r="F497" t="s">
        <v>171</v>
      </c>
      <c r="G497" t="s">
        <v>172</v>
      </c>
      <c r="H497" s="139">
        <v>46164</v>
      </c>
      <c r="I497" t="s">
        <v>136</v>
      </c>
      <c r="J497" t="s">
        <v>161</v>
      </c>
      <c r="M497" t="s">
        <v>205</v>
      </c>
      <c r="N497" t="s">
        <v>886</v>
      </c>
      <c r="O497" t="s">
        <v>195</v>
      </c>
      <c r="P497" t="s">
        <v>305</v>
      </c>
      <c r="Q497" t="s">
        <v>109</v>
      </c>
      <c r="R497" t="s">
        <v>24</v>
      </c>
      <c r="S497" t="s">
        <v>149</v>
      </c>
      <c r="T497" t="s">
        <v>181</v>
      </c>
      <c r="V497" t="s">
        <v>116</v>
      </c>
      <c r="W497" t="s">
        <v>130</v>
      </c>
      <c r="X497" t="s">
        <v>190</v>
      </c>
      <c r="Y497" t="s">
        <v>1040</v>
      </c>
      <c r="Z497">
        <v>1</v>
      </c>
      <c r="AA497" t="s">
        <v>886</v>
      </c>
    </row>
    <row r="498" spans="1:27" ht="15" customHeight="1">
      <c r="A498">
        <v>156</v>
      </c>
      <c r="B498" s="139">
        <v>46185.829143518517</v>
      </c>
      <c r="C498" s="139">
        <v>46185.830127314817</v>
      </c>
      <c r="D498" t="s">
        <v>170</v>
      </c>
      <c r="E498" t="s">
        <v>171</v>
      </c>
      <c r="F498" t="s">
        <v>171</v>
      </c>
      <c r="G498" t="s">
        <v>172</v>
      </c>
      <c r="H498" s="139">
        <v>46164</v>
      </c>
      <c r="I498" t="s">
        <v>136</v>
      </c>
      <c r="J498" t="s">
        <v>161</v>
      </c>
      <c r="M498" t="s">
        <v>205</v>
      </c>
      <c r="N498" t="s">
        <v>886</v>
      </c>
      <c r="O498" t="s">
        <v>195</v>
      </c>
      <c r="P498" t="s">
        <v>305</v>
      </c>
      <c r="Q498" t="s">
        <v>109</v>
      </c>
      <c r="R498" t="s">
        <v>24</v>
      </c>
      <c r="S498" t="s">
        <v>149</v>
      </c>
      <c r="T498" t="s">
        <v>181</v>
      </c>
      <c r="V498" t="s">
        <v>116</v>
      </c>
      <c r="W498" t="s">
        <v>130</v>
      </c>
      <c r="X498" t="s">
        <v>190</v>
      </c>
      <c r="Y498" t="s">
        <v>1042</v>
      </c>
      <c r="Z498">
        <v>1</v>
      </c>
      <c r="AA498" t="s">
        <v>886</v>
      </c>
    </row>
    <row r="499" spans="1:27" ht="15" customHeight="1">
      <c r="A499">
        <v>156</v>
      </c>
      <c r="B499" s="139">
        <v>46185.829143518517</v>
      </c>
      <c r="C499" s="139">
        <v>46185.830127314817</v>
      </c>
      <c r="D499" t="s">
        <v>170</v>
      </c>
      <c r="E499" t="s">
        <v>171</v>
      </c>
      <c r="F499" t="s">
        <v>171</v>
      </c>
      <c r="G499" t="s">
        <v>172</v>
      </c>
      <c r="H499" s="139">
        <v>46164</v>
      </c>
      <c r="I499" t="s">
        <v>136</v>
      </c>
      <c r="J499" t="s">
        <v>161</v>
      </c>
      <c r="M499" t="s">
        <v>205</v>
      </c>
      <c r="N499" t="s">
        <v>886</v>
      </c>
      <c r="O499" t="s">
        <v>195</v>
      </c>
      <c r="P499" t="s">
        <v>305</v>
      </c>
      <c r="Q499" t="s">
        <v>109</v>
      </c>
      <c r="R499" t="s">
        <v>24</v>
      </c>
      <c r="S499" t="s">
        <v>149</v>
      </c>
      <c r="T499" t="s">
        <v>181</v>
      </c>
      <c r="V499" t="s">
        <v>116</v>
      </c>
      <c r="W499" t="s">
        <v>130</v>
      </c>
      <c r="X499" t="s">
        <v>190</v>
      </c>
      <c r="Y499" t="s">
        <v>1044</v>
      </c>
      <c r="Z499">
        <v>1</v>
      </c>
      <c r="AA499" t="s">
        <v>886</v>
      </c>
    </row>
    <row r="500" spans="1:27" ht="15" customHeight="1">
      <c r="A500">
        <v>18</v>
      </c>
      <c r="B500" s="139">
        <v>46167.862997685188</v>
      </c>
      <c r="C500" s="139">
        <v>46167.866273148153</v>
      </c>
      <c r="D500" t="s">
        <v>238</v>
      </c>
      <c r="E500" t="s">
        <v>239</v>
      </c>
      <c r="F500" t="s">
        <v>239</v>
      </c>
      <c r="G500" t="s">
        <v>240</v>
      </c>
      <c r="H500" s="139">
        <v>46167</v>
      </c>
      <c r="I500" t="s">
        <v>241</v>
      </c>
      <c r="J500" t="s">
        <v>161</v>
      </c>
      <c r="M500" t="s">
        <v>242</v>
      </c>
      <c r="N500" t="s">
        <v>242</v>
      </c>
      <c r="O500" t="s">
        <v>135</v>
      </c>
      <c r="P500" t="s">
        <v>108</v>
      </c>
      <c r="Q500" t="s">
        <v>109</v>
      </c>
      <c r="R500" t="s">
        <v>22</v>
      </c>
      <c r="S500" t="s">
        <v>143</v>
      </c>
      <c r="T500" t="s">
        <v>226</v>
      </c>
      <c r="U500" t="s">
        <v>246</v>
      </c>
      <c r="V500" t="s">
        <v>116</v>
      </c>
      <c r="W500" t="s">
        <v>169</v>
      </c>
      <c r="X500" t="s">
        <v>124</v>
      </c>
      <c r="Y500" t="s">
        <v>1040</v>
      </c>
      <c r="Z500">
        <v>1</v>
      </c>
      <c r="AA500" t="s">
        <v>1177</v>
      </c>
    </row>
    <row r="501" spans="1:27" ht="15" customHeight="1">
      <c r="A501">
        <v>18</v>
      </c>
      <c r="B501" s="139">
        <v>46167.862997685188</v>
      </c>
      <c r="C501" s="139">
        <v>46167.866273148153</v>
      </c>
      <c r="D501" t="s">
        <v>238</v>
      </c>
      <c r="E501" t="s">
        <v>239</v>
      </c>
      <c r="F501" t="s">
        <v>239</v>
      </c>
      <c r="G501" t="s">
        <v>240</v>
      </c>
      <c r="H501" s="139">
        <v>46167</v>
      </c>
      <c r="I501" t="s">
        <v>241</v>
      </c>
      <c r="J501" t="s">
        <v>161</v>
      </c>
      <c r="M501" t="s">
        <v>242</v>
      </c>
      <c r="N501" t="s">
        <v>242</v>
      </c>
      <c r="O501" t="s">
        <v>135</v>
      </c>
      <c r="P501" t="s">
        <v>108</v>
      </c>
      <c r="Q501" t="s">
        <v>109</v>
      </c>
      <c r="R501" t="s">
        <v>22</v>
      </c>
      <c r="S501" t="s">
        <v>143</v>
      </c>
      <c r="T501" t="s">
        <v>226</v>
      </c>
      <c r="U501" t="s">
        <v>246</v>
      </c>
      <c r="V501" t="s">
        <v>116</v>
      </c>
      <c r="W501" t="s">
        <v>169</v>
      </c>
      <c r="X501" t="s">
        <v>124</v>
      </c>
      <c r="Y501" t="s">
        <v>1042</v>
      </c>
      <c r="Z501">
        <v>1</v>
      </c>
      <c r="AA501" t="s">
        <v>1059</v>
      </c>
    </row>
    <row r="502" spans="1:27" ht="15" customHeight="1">
      <c r="A502">
        <v>18</v>
      </c>
      <c r="B502" s="139">
        <v>46167.862997685188</v>
      </c>
      <c r="C502" s="139">
        <v>46167.866273148153</v>
      </c>
      <c r="D502" t="s">
        <v>238</v>
      </c>
      <c r="E502" t="s">
        <v>239</v>
      </c>
      <c r="F502" t="s">
        <v>239</v>
      </c>
      <c r="G502" t="s">
        <v>240</v>
      </c>
      <c r="H502" s="139">
        <v>46167</v>
      </c>
      <c r="I502" t="s">
        <v>241</v>
      </c>
      <c r="J502" t="s">
        <v>161</v>
      </c>
      <c r="M502" t="s">
        <v>242</v>
      </c>
      <c r="N502" t="s">
        <v>242</v>
      </c>
      <c r="O502" t="s">
        <v>135</v>
      </c>
      <c r="P502" t="s">
        <v>108</v>
      </c>
      <c r="Q502" t="s">
        <v>109</v>
      </c>
      <c r="R502" t="s">
        <v>22</v>
      </c>
      <c r="S502" t="s">
        <v>143</v>
      </c>
      <c r="T502" t="s">
        <v>226</v>
      </c>
      <c r="U502" t="s">
        <v>246</v>
      </c>
      <c r="V502" t="s">
        <v>116</v>
      </c>
      <c r="W502" t="s">
        <v>169</v>
      </c>
      <c r="X502" t="s">
        <v>124</v>
      </c>
      <c r="Y502" t="s">
        <v>1044</v>
      </c>
      <c r="Z502">
        <v>1</v>
      </c>
      <c r="AA502" t="s">
        <v>1062</v>
      </c>
    </row>
    <row r="503" spans="1:27" ht="15" customHeight="1">
      <c r="A503">
        <v>60</v>
      </c>
      <c r="B503" s="139">
        <v>46169.444097222222</v>
      </c>
      <c r="C503" s="139">
        <v>46169.450462962966</v>
      </c>
      <c r="D503" t="s">
        <v>457</v>
      </c>
      <c r="E503" t="s">
        <v>458</v>
      </c>
      <c r="F503" t="s">
        <v>458</v>
      </c>
      <c r="G503" t="s">
        <v>459</v>
      </c>
      <c r="H503" s="139">
        <v>46167</v>
      </c>
      <c r="I503" t="s">
        <v>460</v>
      </c>
      <c r="J503" t="s">
        <v>161</v>
      </c>
      <c r="M503" t="s">
        <v>461</v>
      </c>
      <c r="N503" t="s">
        <v>462</v>
      </c>
      <c r="O503" t="s">
        <v>107</v>
      </c>
      <c r="P503" t="s">
        <v>108</v>
      </c>
      <c r="Q503" t="s">
        <v>123</v>
      </c>
      <c r="R503" t="s">
        <v>22</v>
      </c>
      <c r="S503" t="s">
        <v>149</v>
      </c>
      <c r="T503" t="s">
        <v>466</v>
      </c>
      <c r="U503" t="s">
        <v>467</v>
      </c>
      <c r="V503" t="s">
        <v>151</v>
      </c>
      <c r="W503" t="s">
        <v>130</v>
      </c>
      <c r="X503" t="s">
        <v>329</v>
      </c>
      <c r="Y503" t="s">
        <v>1040</v>
      </c>
      <c r="Z503">
        <v>1</v>
      </c>
      <c r="AA503" t="s">
        <v>1065</v>
      </c>
    </row>
    <row r="504" spans="1:27" ht="15" customHeight="1">
      <c r="A504">
        <v>60</v>
      </c>
      <c r="B504" s="139">
        <v>46169.444097222222</v>
      </c>
      <c r="C504" s="139">
        <v>46169.450462962966</v>
      </c>
      <c r="D504" t="s">
        <v>457</v>
      </c>
      <c r="E504" t="s">
        <v>458</v>
      </c>
      <c r="F504" t="s">
        <v>458</v>
      </c>
      <c r="G504" t="s">
        <v>459</v>
      </c>
      <c r="H504" s="139">
        <v>46167</v>
      </c>
      <c r="I504" t="s">
        <v>460</v>
      </c>
      <c r="J504" t="s">
        <v>161</v>
      </c>
      <c r="M504" t="s">
        <v>461</v>
      </c>
      <c r="N504" t="s">
        <v>462</v>
      </c>
      <c r="O504" t="s">
        <v>107</v>
      </c>
      <c r="P504" t="s">
        <v>108</v>
      </c>
      <c r="Q504" t="s">
        <v>123</v>
      </c>
      <c r="R504" t="s">
        <v>22</v>
      </c>
      <c r="S504" t="s">
        <v>149</v>
      </c>
      <c r="T504" t="s">
        <v>466</v>
      </c>
      <c r="U504" t="s">
        <v>467</v>
      </c>
      <c r="V504" t="s">
        <v>151</v>
      </c>
      <c r="W504" t="s">
        <v>130</v>
      </c>
      <c r="X504" t="s">
        <v>329</v>
      </c>
      <c r="Y504" t="s">
        <v>1040</v>
      </c>
      <c r="Z504">
        <v>2</v>
      </c>
      <c r="AA504" t="s">
        <v>1046</v>
      </c>
    </row>
    <row r="505" spans="1:27" ht="15" customHeight="1">
      <c r="A505">
        <v>60</v>
      </c>
      <c r="B505" s="139">
        <v>46169.444097222222</v>
      </c>
      <c r="C505" s="139">
        <v>46169.450462962966</v>
      </c>
      <c r="D505" t="s">
        <v>457</v>
      </c>
      <c r="E505" t="s">
        <v>458</v>
      </c>
      <c r="F505" t="s">
        <v>458</v>
      </c>
      <c r="G505" t="s">
        <v>459</v>
      </c>
      <c r="H505" s="139">
        <v>46167</v>
      </c>
      <c r="I505" t="s">
        <v>460</v>
      </c>
      <c r="J505" t="s">
        <v>161</v>
      </c>
      <c r="M505" t="s">
        <v>461</v>
      </c>
      <c r="N505" t="s">
        <v>462</v>
      </c>
      <c r="O505" t="s">
        <v>107</v>
      </c>
      <c r="P505" t="s">
        <v>108</v>
      </c>
      <c r="Q505" t="s">
        <v>123</v>
      </c>
      <c r="R505" t="s">
        <v>22</v>
      </c>
      <c r="S505" t="s">
        <v>149</v>
      </c>
      <c r="T505" t="s">
        <v>466</v>
      </c>
      <c r="U505" t="s">
        <v>467</v>
      </c>
      <c r="V505" t="s">
        <v>151</v>
      </c>
      <c r="W505" t="s">
        <v>130</v>
      </c>
      <c r="X505" t="s">
        <v>329</v>
      </c>
      <c r="Y505" t="s">
        <v>1040</v>
      </c>
      <c r="Z505">
        <v>3</v>
      </c>
      <c r="AA505" t="s">
        <v>1266</v>
      </c>
    </row>
    <row r="506" spans="1:27" ht="15" customHeight="1">
      <c r="A506">
        <v>60</v>
      </c>
      <c r="B506" s="139">
        <v>46169.444097222222</v>
      </c>
      <c r="C506" s="139">
        <v>46169.450462962966</v>
      </c>
      <c r="D506" t="s">
        <v>457</v>
      </c>
      <c r="E506" t="s">
        <v>458</v>
      </c>
      <c r="F506" t="s">
        <v>458</v>
      </c>
      <c r="G506" t="s">
        <v>459</v>
      </c>
      <c r="H506" s="139">
        <v>46167</v>
      </c>
      <c r="I506" t="s">
        <v>460</v>
      </c>
      <c r="J506" t="s">
        <v>161</v>
      </c>
      <c r="M506" t="s">
        <v>461</v>
      </c>
      <c r="N506" t="s">
        <v>462</v>
      </c>
      <c r="O506" t="s">
        <v>107</v>
      </c>
      <c r="P506" t="s">
        <v>108</v>
      </c>
      <c r="Q506" t="s">
        <v>123</v>
      </c>
      <c r="R506" t="s">
        <v>22</v>
      </c>
      <c r="S506" t="s">
        <v>149</v>
      </c>
      <c r="T506" t="s">
        <v>466</v>
      </c>
      <c r="U506" t="s">
        <v>467</v>
      </c>
      <c r="V506" t="s">
        <v>151</v>
      </c>
      <c r="W506" t="s">
        <v>130</v>
      </c>
      <c r="X506" t="s">
        <v>329</v>
      </c>
      <c r="Y506" t="s">
        <v>1040</v>
      </c>
      <c r="Z506">
        <v>4</v>
      </c>
      <c r="AA506" t="s">
        <v>1067</v>
      </c>
    </row>
    <row r="507" spans="1:27" ht="15" customHeight="1">
      <c r="A507">
        <v>60</v>
      </c>
      <c r="B507" s="139">
        <v>46169.444097222222</v>
      </c>
      <c r="C507" s="139">
        <v>46169.450462962966</v>
      </c>
      <c r="D507" t="s">
        <v>457</v>
      </c>
      <c r="E507" t="s">
        <v>458</v>
      </c>
      <c r="F507" t="s">
        <v>458</v>
      </c>
      <c r="G507" t="s">
        <v>459</v>
      </c>
      <c r="H507" s="139">
        <v>46167</v>
      </c>
      <c r="I507" t="s">
        <v>460</v>
      </c>
      <c r="J507" t="s">
        <v>161</v>
      </c>
      <c r="M507" t="s">
        <v>461</v>
      </c>
      <c r="N507" t="s">
        <v>462</v>
      </c>
      <c r="O507" t="s">
        <v>107</v>
      </c>
      <c r="P507" t="s">
        <v>108</v>
      </c>
      <c r="Q507" t="s">
        <v>123</v>
      </c>
      <c r="R507" t="s">
        <v>22</v>
      </c>
      <c r="S507" t="s">
        <v>149</v>
      </c>
      <c r="T507" t="s">
        <v>466</v>
      </c>
      <c r="U507" t="s">
        <v>467</v>
      </c>
      <c r="V507" t="s">
        <v>151</v>
      </c>
      <c r="W507" t="s">
        <v>130</v>
      </c>
      <c r="X507" t="s">
        <v>329</v>
      </c>
      <c r="Y507" t="s">
        <v>1042</v>
      </c>
      <c r="Z507">
        <v>1</v>
      </c>
      <c r="AA507" t="s">
        <v>1267</v>
      </c>
    </row>
    <row r="508" spans="1:27" ht="15" customHeight="1">
      <c r="A508">
        <v>60</v>
      </c>
      <c r="B508" s="139">
        <v>46169.444097222222</v>
      </c>
      <c r="C508" s="139">
        <v>46169.450462962966</v>
      </c>
      <c r="D508" t="s">
        <v>457</v>
      </c>
      <c r="E508" t="s">
        <v>458</v>
      </c>
      <c r="F508" t="s">
        <v>458</v>
      </c>
      <c r="G508" t="s">
        <v>459</v>
      </c>
      <c r="H508" s="139">
        <v>46167</v>
      </c>
      <c r="I508" t="s">
        <v>460</v>
      </c>
      <c r="J508" t="s">
        <v>161</v>
      </c>
      <c r="M508" t="s">
        <v>461</v>
      </c>
      <c r="N508" t="s">
        <v>462</v>
      </c>
      <c r="O508" t="s">
        <v>107</v>
      </c>
      <c r="P508" t="s">
        <v>108</v>
      </c>
      <c r="Q508" t="s">
        <v>123</v>
      </c>
      <c r="R508" t="s">
        <v>22</v>
      </c>
      <c r="S508" t="s">
        <v>149</v>
      </c>
      <c r="T508" t="s">
        <v>466</v>
      </c>
      <c r="U508" t="s">
        <v>467</v>
      </c>
      <c r="V508" t="s">
        <v>151</v>
      </c>
      <c r="W508" t="s">
        <v>130</v>
      </c>
      <c r="X508" t="s">
        <v>329</v>
      </c>
      <c r="Y508" t="s">
        <v>1042</v>
      </c>
      <c r="Z508">
        <v>2</v>
      </c>
      <c r="AA508" t="s">
        <v>1047</v>
      </c>
    </row>
    <row r="509" spans="1:27" ht="15" customHeight="1">
      <c r="A509">
        <v>60</v>
      </c>
      <c r="B509" s="139">
        <v>46169.444097222222</v>
      </c>
      <c r="C509" s="139">
        <v>46169.450462962966</v>
      </c>
      <c r="D509" t="s">
        <v>457</v>
      </c>
      <c r="E509" t="s">
        <v>458</v>
      </c>
      <c r="F509" t="s">
        <v>458</v>
      </c>
      <c r="G509" t="s">
        <v>459</v>
      </c>
      <c r="H509" s="139">
        <v>46167</v>
      </c>
      <c r="I509" t="s">
        <v>460</v>
      </c>
      <c r="J509" t="s">
        <v>161</v>
      </c>
      <c r="M509" t="s">
        <v>461</v>
      </c>
      <c r="N509" t="s">
        <v>462</v>
      </c>
      <c r="O509" t="s">
        <v>107</v>
      </c>
      <c r="P509" t="s">
        <v>108</v>
      </c>
      <c r="Q509" t="s">
        <v>123</v>
      </c>
      <c r="R509" t="s">
        <v>22</v>
      </c>
      <c r="S509" t="s">
        <v>149</v>
      </c>
      <c r="T509" t="s">
        <v>466</v>
      </c>
      <c r="U509" t="s">
        <v>467</v>
      </c>
      <c r="V509" t="s">
        <v>151</v>
      </c>
      <c r="W509" t="s">
        <v>130</v>
      </c>
      <c r="X509" t="s">
        <v>329</v>
      </c>
      <c r="Y509" t="s">
        <v>1042</v>
      </c>
      <c r="Z509">
        <v>3</v>
      </c>
      <c r="AA509" t="s">
        <v>1048</v>
      </c>
    </row>
    <row r="510" spans="1:27" ht="15" customHeight="1">
      <c r="A510">
        <v>60</v>
      </c>
      <c r="B510" s="139">
        <v>46169.444097222222</v>
      </c>
      <c r="C510" s="139">
        <v>46169.450462962966</v>
      </c>
      <c r="D510" t="s">
        <v>457</v>
      </c>
      <c r="E510" t="s">
        <v>458</v>
      </c>
      <c r="F510" t="s">
        <v>458</v>
      </c>
      <c r="G510" t="s">
        <v>459</v>
      </c>
      <c r="H510" s="139">
        <v>46167</v>
      </c>
      <c r="I510" t="s">
        <v>460</v>
      </c>
      <c r="J510" t="s">
        <v>161</v>
      </c>
      <c r="M510" t="s">
        <v>461</v>
      </c>
      <c r="N510" t="s">
        <v>462</v>
      </c>
      <c r="O510" t="s">
        <v>107</v>
      </c>
      <c r="P510" t="s">
        <v>108</v>
      </c>
      <c r="Q510" t="s">
        <v>123</v>
      </c>
      <c r="R510" t="s">
        <v>22</v>
      </c>
      <c r="S510" t="s">
        <v>149</v>
      </c>
      <c r="T510" t="s">
        <v>466</v>
      </c>
      <c r="U510" t="s">
        <v>467</v>
      </c>
      <c r="V510" t="s">
        <v>151</v>
      </c>
      <c r="W510" t="s">
        <v>130</v>
      </c>
      <c r="X510" t="s">
        <v>329</v>
      </c>
      <c r="Y510" t="s">
        <v>1044</v>
      </c>
      <c r="Z510">
        <v>1</v>
      </c>
      <c r="AA510" t="s">
        <v>1268</v>
      </c>
    </row>
    <row r="511" spans="1:27" ht="15" customHeight="1">
      <c r="A511">
        <v>60</v>
      </c>
      <c r="B511" s="139">
        <v>46169.444097222222</v>
      </c>
      <c r="C511" s="139">
        <v>46169.450462962966</v>
      </c>
      <c r="D511" t="s">
        <v>457</v>
      </c>
      <c r="E511" t="s">
        <v>458</v>
      </c>
      <c r="F511" t="s">
        <v>458</v>
      </c>
      <c r="G511" t="s">
        <v>459</v>
      </c>
      <c r="H511" s="139">
        <v>46167</v>
      </c>
      <c r="I511" t="s">
        <v>460</v>
      </c>
      <c r="J511" t="s">
        <v>161</v>
      </c>
      <c r="M511" t="s">
        <v>461</v>
      </c>
      <c r="N511" t="s">
        <v>462</v>
      </c>
      <c r="O511" t="s">
        <v>107</v>
      </c>
      <c r="P511" t="s">
        <v>108</v>
      </c>
      <c r="Q511" t="s">
        <v>123</v>
      </c>
      <c r="R511" t="s">
        <v>22</v>
      </c>
      <c r="S511" t="s">
        <v>149</v>
      </c>
      <c r="T511" t="s">
        <v>466</v>
      </c>
      <c r="U511" t="s">
        <v>467</v>
      </c>
      <c r="V511" t="s">
        <v>151</v>
      </c>
      <c r="W511" t="s">
        <v>130</v>
      </c>
      <c r="X511" t="s">
        <v>329</v>
      </c>
      <c r="Y511" t="s">
        <v>1044</v>
      </c>
      <c r="Z511">
        <v>2</v>
      </c>
      <c r="AA511" t="s">
        <v>1198</v>
      </c>
    </row>
    <row r="512" spans="1:27" ht="15" customHeight="1">
      <c r="A512">
        <v>89</v>
      </c>
      <c r="B512" s="139">
        <v>46177.495000000003</v>
      </c>
      <c r="C512" s="139">
        <v>46177.498379629629</v>
      </c>
      <c r="D512" t="s">
        <v>227</v>
      </c>
      <c r="E512" t="s">
        <v>228</v>
      </c>
      <c r="F512" t="s">
        <v>228</v>
      </c>
      <c r="G512" t="s">
        <v>229</v>
      </c>
      <c r="H512" s="139">
        <v>46167</v>
      </c>
      <c r="I512" t="s">
        <v>136</v>
      </c>
      <c r="J512" t="s">
        <v>161</v>
      </c>
      <c r="M512" t="s">
        <v>155</v>
      </c>
      <c r="N512" t="s">
        <v>618</v>
      </c>
      <c r="O512" t="s">
        <v>135</v>
      </c>
      <c r="P512" t="s">
        <v>108</v>
      </c>
      <c r="Q512" t="s">
        <v>109</v>
      </c>
      <c r="R512" t="s">
        <v>22</v>
      </c>
      <c r="S512" t="s">
        <v>149</v>
      </c>
      <c r="T512" t="s">
        <v>181</v>
      </c>
      <c r="V512" t="s">
        <v>151</v>
      </c>
      <c r="W512" t="s">
        <v>130</v>
      </c>
      <c r="X512" t="s">
        <v>329</v>
      </c>
      <c r="Y512" t="s">
        <v>1040</v>
      </c>
      <c r="Z512">
        <v>1</v>
      </c>
      <c r="AA512" t="s">
        <v>186</v>
      </c>
    </row>
    <row r="513" spans="1:27" ht="15" customHeight="1">
      <c r="A513">
        <v>89</v>
      </c>
      <c r="B513" s="139">
        <v>46177.495000000003</v>
      </c>
      <c r="C513" s="139">
        <v>46177.498379629629</v>
      </c>
      <c r="D513" t="s">
        <v>227</v>
      </c>
      <c r="E513" t="s">
        <v>228</v>
      </c>
      <c r="F513" t="s">
        <v>228</v>
      </c>
      <c r="G513" t="s">
        <v>229</v>
      </c>
      <c r="H513" s="139">
        <v>46167</v>
      </c>
      <c r="I513" t="s">
        <v>136</v>
      </c>
      <c r="J513" t="s">
        <v>161</v>
      </c>
      <c r="M513" t="s">
        <v>155</v>
      </c>
      <c r="N513" t="s">
        <v>618</v>
      </c>
      <c r="O513" t="s">
        <v>135</v>
      </c>
      <c r="P513" t="s">
        <v>108</v>
      </c>
      <c r="Q513" t="s">
        <v>109</v>
      </c>
      <c r="R513" t="s">
        <v>22</v>
      </c>
      <c r="S513" t="s">
        <v>149</v>
      </c>
      <c r="T513" t="s">
        <v>181</v>
      </c>
      <c r="V513" t="s">
        <v>151</v>
      </c>
      <c r="W513" t="s">
        <v>130</v>
      </c>
      <c r="X513" t="s">
        <v>329</v>
      </c>
      <c r="Y513" t="s">
        <v>1042</v>
      </c>
      <c r="Z513">
        <v>1</v>
      </c>
      <c r="AA513" t="s">
        <v>1048</v>
      </c>
    </row>
    <row r="514" spans="1:27" ht="15" customHeight="1">
      <c r="A514">
        <v>89</v>
      </c>
      <c r="B514" s="139">
        <v>46177.495000000003</v>
      </c>
      <c r="C514" s="139">
        <v>46177.498379629629</v>
      </c>
      <c r="D514" t="s">
        <v>227</v>
      </c>
      <c r="E514" t="s">
        <v>228</v>
      </c>
      <c r="F514" t="s">
        <v>228</v>
      </c>
      <c r="G514" t="s">
        <v>229</v>
      </c>
      <c r="H514" s="139">
        <v>46167</v>
      </c>
      <c r="I514" t="s">
        <v>136</v>
      </c>
      <c r="J514" t="s">
        <v>161</v>
      </c>
      <c r="M514" t="s">
        <v>155</v>
      </c>
      <c r="N514" t="s">
        <v>618</v>
      </c>
      <c r="O514" t="s">
        <v>135</v>
      </c>
      <c r="P514" t="s">
        <v>108</v>
      </c>
      <c r="Q514" t="s">
        <v>109</v>
      </c>
      <c r="R514" t="s">
        <v>22</v>
      </c>
      <c r="S514" t="s">
        <v>149</v>
      </c>
      <c r="T514" t="s">
        <v>181</v>
      </c>
      <c r="V514" t="s">
        <v>151</v>
      </c>
      <c r="W514" t="s">
        <v>130</v>
      </c>
      <c r="X514" t="s">
        <v>329</v>
      </c>
      <c r="Y514" t="s">
        <v>1042</v>
      </c>
      <c r="Z514">
        <v>2</v>
      </c>
      <c r="AA514" t="s">
        <v>1085</v>
      </c>
    </row>
    <row r="515" spans="1:27" ht="15" customHeight="1">
      <c r="A515">
        <v>89</v>
      </c>
      <c r="B515" s="139">
        <v>46177.495000000003</v>
      </c>
      <c r="C515" s="139">
        <v>46177.498379629629</v>
      </c>
      <c r="D515" t="s">
        <v>227</v>
      </c>
      <c r="E515" t="s">
        <v>228</v>
      </c>
      <c r="F515" t="s">
        <v>228</v>
      </c>
      <c r="G515" t="s">
        <v>229</v>
      </c>
      <c r="H515" s="139">
        <v>46167</v>
      </c>
      <c r="I515" t="s">
        <v>136</v>
      </c>
      <c r="J515" t="s">
        <v>161</v>
      </c>
      <c r="M515" t="s">
        <v>155</v>
      </c>
      <c r="N515" t="s">
        <v>618</v>
      </c>
      <c r="O515" t="s">
        <v>135</v>
      </c>
      <c r="P515" t="s">
        <v>108</v>
      </c>
      <c r="Q515" t="s">
        <v>109</v>
      </c>
      <c r="R515" t="s">
        <v>22</v>
      </c>
      <c r="S515" t="s">
        <v>149</v>
      </c>
      <c r="T515" t="s">
        <v>181</v>
      </c>
      <c r="V515" t="s">
        <v>151</v>
      </c>
      <c r="W515" t="s">
        <v>130</v>
      </c>
      <c r="X515" t="s">
        <v>329</v>
      </c>
      <c r="Y515" t="s">
        <v>1042</v>
      </c>
      <c r="Z515">
        <v>3</v>
      </c>
      <c r="AA515" t="s">
        <v>1084</v>
      </c>
    </row>
    <row r="516" spans="1:27" ht="15" customHeight="1">
      <c r="A516">
        <v>89</v>
      </c>
      <c r="B516" s="139">
        <v>46177.495000000003</v>
      </c>
      <c r="C516" s="139">
        <v>46177.498379629629</v>
      </c>
      <c r="D516" t="s">
        <v>227</v>
      </c>
      <c r="E516" t="s">
        <v>228</v>
      </c>
      <c r="F516" t="s">
        <v>228</v>
      </c>
      <c r="G516" t="s">
        <v>229</v>
      </c>
      <c r="H516" s="139">
        <v>46167</v>
      </c>
      <c r="I516" t="s">
        <v>136</v>
      </c>
      <c r="J516" t="s">
        <v>161</v>
      </c>
      <c r="M516" t="s">
        <v>155</v>
      </c>
      <c r="N516" t="s">
        <v>618</v>
      </c>
      <c r="O516" t="s">
        <v>135</v>
      </c>
      <c r="P516" t="s">
        <v>108</v>
      </c>
      <c r="Q516" t="s">
        <v>109</v>
      </c>
      <c r="R516" t="s">
        <v>22</v>
      </c>
      <c r="S516" t="s">
        <v>149</v>
      </c>
      <c r="T516" t="s">
        <v>181</v>
      </c>
      <c r="V516" t="s">
        <v>151</v>
      </c>
      <c r="W516" t="s">
        <v>130</v>
      </c>
      <c r="X516" t="s">
        <v>329</v>
      </c>
      <c r="Y516" t="s">
        <v>1044</v>
      </c>
      <c r="Z516">
        <v>1</v>
      </c>
      <c r="AA516" t="s">
        <v>1050</v>
      </c>
    </row>
    <row r="517" spans="1:27" ht="15" customHeight="1">
      <c r="A517">
        <v>89</v>
      </c>
      <c r="B517" s="139">
        <v>46177.495000000003</v>
      </c>
      <c r="C517" s="139">
        <v>46177.498379629629</v>
      </c>
      <c r="D517" t="s">
        <v>227</v>
      </c>
      <c r="E517" t="s">
        <v>228</v>
      </c>
      <c r="F517" t="s">
        <v>228</v>
      </c>
      <c r="G517" t="s">
        <v>229</v>
      </c>
      <c r="H517" s="139">
        <v>46167</v>
      </c>
      <c r="I517" t="s">
        <v>136</v>
      </c>
      <c r="J517" t="s">
        <v>161</v>
      </c>
      <c r="M517" t="s">
        <v>155</v>
      </c>
      <c r="N517" t="s">
        <v>618</v>
      </c>
      <c r="O517" t="s">
        <v>135</v>
      </c>
      <c r="P517" t="s">
        <v>108</v>
      </c>
      <c r="Q517" t="s">
        <v>109</v>
      </c>
      <c r="R517" t="s">
        <v>22</v>
      </c>
      <c r="S517" t="s">
        <v>149</v>
      </c>
      <c r="T517" t="s">
        <v>181</v>
      </c>
      <c r="V517" t="s">
        <v>151</v>
      </c>
      <c r="W517" t="s">
        <v>130</v>
      </c>
      <c r="X517" t="s">
        <v>329</v>
      </c>
      <c r="Y517" t="s">
        <v>1044</v>
      </c>
      <c r="Z517">
        <v>2</v>
      </c>
      <c r="AA517" t="s">
        <v>1087</v>
      </c>
    </row>
    <row r="518" spans="1:27" ht="15" customHeight="1">
      <c r="A518">
        <v>95</v>
      </c>
      <c r="B518" s="139">
        <v>46178.519120370373</v>
      </c>
      <c r="C518" s="139">
        <v>46178.521377314813</v>
      </c>
      <c r="D518" t="s">
        <v>413</v>
      </c>
      <c r="E518" t="s">
        <v>414</v>
      </c>
      <c r="F518" t="s">
        <v>415</v>
      </c>
      <c r="G518" t="s">
        <v>416</v>
      </c>
      <c r="H518" s="139">
        <v>46167</v>
      </c>
      <c r="I518" t="s">
        <v>136</v>
      </c>
      <c r="J518" t="s">
        <v>174</v>
      </c>
      <c r="L518" t="s">
        <v>627</v>
      </c>
      <c r="N518" t="s">
        <v>418</v>
      </c>
      <c r="O518" t="s">
        <v>135</v>
      </c>
      <c r="P518" t="s">
        <v>108</v>
      </c>
      <c r="Q518" t="s">
        <v>109</v>
      </c>
      <c r="R518" t="s">
        <v>22</v>
      </c>
      <c r="S518" t="s">
        <v>149</v>
      </c>
      <c r="T518" t="s">
        <v>181</v>
      </c>
      <c r="U518" t="s">
        <v>645</v>
      </c>
      <c r="V518" t="s">
        <v>151</v>
      </c>
      <c r="W518" t="s">
        <v>130</v>
      </c>
      <c r="X518" t="s">
        <v>321</v>
      </c>
      <c r="Y518" t="s">
        <v>1040</v>
      </c>
      <c r="Z518">
        <v>1</v>
      </c>
      <c r="AA518" t="s">
        <v>1269</v>
      </c>
    </row>
    <row r="519" spans="1:27" ht="15" customHeight="1">
      <c r="A519">
        <v>95</v>
      </c>
      <c r="B519" s="139">
        <v>46178.519120370373</v>
      </c>
      <c r="C519" s="139">
        <v>46178.521377314813</v>
      </c>
      <c r="D519" t="s">
        <v>413</v>
      </c>
      <c r="E519" t="s">
        <v>414</v>
      </c>
      <c r="F519" t="s">
        <v>415</v>
      </c>
      <c r="G519" t="s">
        <v>416</v>
      </c>
      <c r="H519" s="139">
        <v>46167</v>
      </c>
      <c r="I519" t="s">
        <v>136</v>
      </c>
      <c r="J519" t="s">
        <v>174</v>
      </c>
      <c r="L519" t="s">
        <v>627</v>
      </c>
      <c r="N519" t="s">
        <v>418</v>
      </c>
      <c r="O519" t="s">
        <v>135</v>
      </c>
      <c r="P519" t="s">
        <v>108</v>
      </c>
      <c r="Q519" t="s">
        <v>109</v>
      </c>
      <c r="R519" t="s">
        <v>22</v>
      </c>
      <c r="S519" t="s">
        <v>149</v>
      </c>
      <c r="T519" t="s">
        <v>181</v>
      </c>
      <c r="U519" t="s">
        <v>645</v>
      </c>
      <c r="V519" t="s">
        <v>151</v>
      </c>
      <c r="W519" t="s">
        <v>130</v>
      </c>
      <c r="X519" t="s">
        <v>321</v>
      </c>
      <c r="Y519" t="s">
        <v>1040</v>
      </c>
      <c r="Z519">
        <v>2</v>
      </c>
      <c r="AA519" t="s">
        <v>1270</v>
      </c>
    </row>
    <row r="520" spans="1:27" ht="15" customHeight="1">
      <c r="A520">
        <v>95</v>
      </c>
      <c r="B520" s="139">
        <v>46178.519120370373</v>
      </c>
      <c r="C520" s="139">
        <v>46178.521377314813</v>
      </c>
      <c r="D520" t="s">
        <v>413</v>
      </c>
      <c r="E520" t="s">
        <v>414</v>
      </c>
      <c r="F520" t="s">
        <v>415</v>
      </c>
      <c r="G520" t="s">
        <v>416</v>
      </c>
      <c r="H520" s="139">
        <v>46167</v>
      </c>
      <c r="I520" t="s">
        <v>136</v>
      </c>
      <c r="J520" t="s">
        <v>174</v>
      </c>
      <c r="L520" t="s">
        <v>627</v>
      </c>
      <c r="N520" t="s">
        <v>418</v>
      </c>
      <c r="O520" t="s">
        <v>135</v>
      </c>
      <c r="P520" t="s">
        <v>108</v>
      </c>
      <c r="Q520" t="s">
        <v>109</v>
      </c>
      <c r="R520" t="s">
        <v>22</v>
      </c>
      <c r="S520" t="s">
        <v>149</v>
      </c>
      <c r="T520" t="s">
        <v>181</v>
      </c>
      <c r="U520" t="s">
        <v>645</v>
      </c>
      <c r="V520" t="s">
        <v>151</v>
      </c>
      <c r="W520" t="s">
        <v>130</v>
      </c>
      <c r="X520" t="s">
        <v>321</v>
      </c>
      <c r="Y520" t="s">
        <v>1042</v>
      </c>
      <c r="Z520">
        <v>1</v>
      </c>
      <c r="AA520" t="s">
        <v>1242</v>
      </c>
    </row>
    <row r="521" spans="1:27" ht="15" customHeight="1">
      <c r="A521">
        <v>95</v>
      </c>
      <c r="B521" s="139">
        <v>46178.519120370373</v>
      </c>
      <c r="C521" s="139">
        <v>46178.521377314813</v>
      </c>
      <c r="D521" t="s">
        <v>413</v>
      </c>
      <c r="E521" t="s">
        <v>414</v>
      </c>
      <c r="F521" t="s">
        <v>415</v>
      </c>
      <c r="G521" t="s">
        <v>416</v>
      </c>
      <c r="H521" s="139">
        <v>46167</v>
      </c>
      <c r="I521" t="s">
        <v>136</v>
      </c>
      <c r="J521" t="s">
        <v>174</v>
      </c>
      <c r="L521" t="s">
        <v>627</v>
      </c>
      <c r="N521" t="s">
        <v>418</v>
      </c>
      <c r="O521" t="s">
        <v>135</v>
      </c>
      <c r="P521" t="s">
        <v>108</v>
      </c>
      <c r="Q521" t="s">
        <v>109</v>
      </c>
      <c r="R521" t="s">
        <v>22</v>
      </c>
      <c r="S521" t="s">
        <v>149</v>
      </c>
      <c r="T521" t="s">
        <v>181</v>
      </c>
      <c r="U521" t="s">
        <v>645</v>
      </c>
      <c r="V521" t="s">
        <v>151</v>
      </c>
      <c r="W521" t="s">
        <v>130</v>
      </c>
      <c r="X521" t="s">
        <v>321</v>
      </c>
      <c r="Y521" t="s">
        <v>1042</v>
      </c>
      <c r="Z521">
        <v>2</v>
      </c>
      <c r="AA521" t="s">
        <v>1271</v>
      </c>
    </row>
    <row r="522" spans="1:27" ht="15" customHeight="1">
      <c r="A522">
        <v>95</v>
      </c>
      <c r="B522" s="139">
        <v>46178.519120370373</v>
      </c>
      <c r="C522" s="139">
        <v>46178.521377314813</v>
      </c>
      <c r="D522" t="s">
        <v>413</v>
      </c>
      <c r="E522" t="s">
        <v>414</v>
      </c>
      <c r="F522" t="s">
        <v>415</v>
      </c>
      <c r="G522" t="s">
        <v>416</v>
      </c>
      <c r="H522" s="139">
        <v>46167</v>
      </c>
      <c r="I522" t="s">
        <v>136</v>
      </c>
      <c r="J522" t="s">
        <v>174</v>
      </c>
      <c r="L522" t="s">
        <v>627</v>
      </c>
      <c r="N522" t="s">
        <v>418</v>
      </c>
      <c r="O522" t="s">
        <v>135</v>
      </c>
      <c r="P522" t="s">
        <v>108</v>
      </c>
      <c r="Q522" t="s">
        <v>109</v>
      </c>
      <c r="R522" t="s">
        <v>22</v>
      </c>
      <c r="S522" t="s">
        <v>149</v>
      </c>
      <c r="T522" t="s">
        <v>181</v>
      </c>
      <c r="U522" t="s">
        <v>645</v>
      </c>
      <c r="V522" t="s">
        <v>151</v>
      </c>
      <c r="W522" t="s">
        <v>130</v>
      </c>
      <c r="X522" t="s">
        <v>321</v>
      </c>
      <c r="Y522" t="s">
        <v>1042</v>
      </c>
      <c r="Z522">
        <v>3</v>
      </c>
      <c r="AA522" t="s">
        <v>1243</v>
      </c>
    </row>
    <row r="523" spans="1:27" ht="15" customHeight="1">
      <c r="A523">
        <v>95</v>
      </c>
      <c r="B523" s="139">
        <v>46178.519120370373</v>
      </c>
      <c r="C523" s="139">
        <v>46178.521377314813</v>
      </c>
      <c r="D523" t="s">
        <v>413</v>
      </c>
      <c r="E523" t="s">
        <v>414</v>
      </c>
      <c r="F523" t="s">
        <v>415</v>
      </c>
      <c r="G523" t="s">
        <v>416</v>
      </c>
      <c r="H523" s="139">
        <v>46167</v>
      </c>
      <c r="I523" t="s">
        <v>136</v>
      </c>
      <c r="J523" t="s">
        <v>174</v>
      </c>
      <c r="L523" t="s">
        <v>627</v>
      </c>
      <c r="N523" t="s">
        <v>418</v>
      </c>
      <c r="O523" t="s">
        <v>135</v>
      </c>
      <c r="P523" t="s">
        <v>108</v>
      </c>
      <c r="Q523" t="s">
        <v>109</v>
      </c>
      <c r="R523" t="s">
        <v>22</v>
      </c>
      <c r="S523" t="s">
        <v>149</v>
      </c>
      <c r="T523" t="s">
        <v>181</v>
      </c>
      <c r="U523" t="s">
        <v>645</v>
      </c>
      <c r="V523" t="s">
        <v>151</v>
      </c>
      <c r="W523" t="s">
        <v>130</v>
      </c>
      <c r="X523" t="s">
        <v>321</v>
      </c>
      <c r="Y523" t="s">
        <v>1042</v>
      </c>
      <c r="Z523">
        <v>4</v>
      </c>
      <c r="AA523" t="s">
        <v>1262</v>
      </c>
    </row>
    <row r="524" spans="1:27" ht="15" customHeight="1">
      <c r="A524">
        <v>95</v>
      </c>
      <c r="B524" s="139">
        <v>46178.519120370373</v>
      </c>
      <c r="C524" s="139">
        <v>46178.521377314813</v>
      </c>
      <c r="D524" t="s">
        <v>413</v>
      </c>
      <c r="E524" t="s">
        <v>414</v>
      </c>
      <c r="F524" t="s">
        <v>415</v>
      </c>
      <c r="G524" t="s">
        <v>416</v>
      </c>
      <c r="H524" s="139">
        <v>46167</v>
      </c>
      <c r="I524" t="s">
        <v>136</v>
      </c>
      <c r="J524" t="s">
        <v>174</v>
      </c>
      <c r="L524" t="s">
        <v>627</v>
      </c>
      <c r="N524" t="s">
        <v>418</v>
      </c>
      <c r="O524" t="s">
        <v>135</v>
      </c>
      <c r="P524" t="s">
        <v>108</v>
      </c>
      <c r="Q524" t="s">
        <v>109</v>
      </c>
      <c r="R524" t="s">
        <v>22</v>
      </c>
      <c r="S524" t="s">
        <v>149</v>
      </c>
      <c r="T524" t="s">
        <v>181</v>
      </c>
      <c r="U524" t="s">
        <v>645</v>
      </c>
      <c r="V524" t="s">
        <v>151</v>
      </c>
      <c r="W524" t="s">
        <v>130</v>
      </c>
      <c r="X524" t="s">
        <v>321</v>
      </c>
      <c r="Y524" t="s">
        <v>1044</v>
      </c>
      <c r="Z524">
        <v>1</v>
      </c>
      <c r="AA524" t="s">
        <v>1272</v>
      </c>
    </row>
    <row r="525" spans="1:27" ht="15" customHeight="1">
      <c r="A525">
        <v>113</v>
      </c>
      <c r="B525" s="139">
        <v>46178.678194444437</v>
      </c>
      <c r="C525" s="139">
        <v>46178.680347222216</v>
      </c>
      <c r="D525" t="s">
        <v>296</v>
      </c>
      <c r="E525" t="s">
        <v>297</v>
      </c>
      <c r="F525" t="s">
        <v>297</v>
      </c>
      <c r="G525" t="s">
        <v>298</v>
      </c>
      <c r="H525" s="139">
        <v>46167</v>
      </c>
      <c r="I525" t="s">
        <v>136</v>
      </c>
      <c r="J525" t="s">
        <v>161</v>
      </c>
      <c r="M525" t="s">
        <v>711</v>
      </c>
      <c r="N525" t="s">
        <v>712</v>
      </c>
      <c r="O525" t="s">
        <v>195</v>
      </c>
      <c r="P525" t="s">
        <v>196</v>
      </c>
      <c r="Q525" t="s">
        <v>109</v>
      </c>
      <c r="R525" t="s">
        <v>22</v>
      </c>
      <c r="S525" t="s">
        <v>149</v>
      </c>
      <c r="T525" t="s">
        <v>181</v>
      </c>
      <c r="U525" t="s">
        <v>715</v>
      </c>
      <c r="V525" t="s">
        <v>129</v>
      </c>
      <c r="W525" t="s">
        <v>130</v>
      </c>
      <c r="X525" t="s">
        <v>199</v>
      </c>
      <c r="Y525" t="s">
        <v>1040</v>
      </c>
      <c r="Z525">
        <v>1</v>
      </c>
      <c r="AA525" t="s">
        <v>1088</v>
      </c>
    </row>
    <row r="526" spans="1:27" ht="15" customHeight="1">
      <c r="A526">
        <v>113</v>
      </c>
      <c r="B526" s="139">
        <v>46178.678194444437</v>
      </c>
      <c r="C526" s="139">
        <v>46178.680347222216</v>
      </c>
      <c r="D526" t="s">
        <v>296</v>
      </c>
      <c r="E526" t="s">
        <v>297</v>
      </c>
      <c r="F526" t="s">
        <v>297</v>
      </c>
      <c r="G526" t="s">
        <v>298</v>
      </c>
      <c r="H526" s="139">
        <v>46167</v>
      </c>
      <c r="I526" t="s">
        <v>136</v>
      </c>
      <c r="J526" t="s">
        <v>161</v>
      </c>
      <c r="M526" t="s">
        <v>711</v>
      </c>
      <c r="N526" t="s">
        <v>712</v>
      </c>
      <c r="O526" t="s">
        <v>195</v>
      </c>
      <c r="P526" t="s">
        <v>196</v>
      </c>
      <c r="Q526" t="s">
        <v>109</v>
      </c>
      <c r="R526" t="s">
        <v>22</v>
      </c>
      <c r="S526" t="s">
        <v>149</v>
      </c>
      <c r="T526" t="s">
        <v>181</v>
      </c>
      <c r="U526" t="s">
        <v>715</v>
      </c>
      <c r="V526" t="s">
        <v>129</v>
      </c>
      <c r="W526" t="s">
        <v>130</v>
      </c>
      <c r="X526" t="s">
        <v>199</v>
      </c>
      <c r="Y526" t="s">
        <v>1042</v>
      </c>
      <c r="Z526">
        <v>1</v>
      </c>
      <c r="AA526" t="s">
        <v>1204</v>
      </c>
    </row>
    <row r="527" spans="1:27" ht="15" customHeight="1">
      <c r="A527">
        <v>113</v>
      </c>
      <c r="B527" s="139">
        <v>46178.678194444437</v>
      </c>
      <c r="C527" s="139">
        <v>46178.680347222216</v>
      </c>
      <c r="D527" t="s">
        <v>296</v>
      </c>
      <c r="E527" t="s">
        <v>297</v>
      </c>
      <c r="F527" t="s">
        <v>297</v>
      </c>
      <c r="G527" t="s">
        <v>298</v>
      </c>
      <c r="H527" s="139">
        <v>46167</v>
      </c>
      <c r="I527" t="s">
        <v>136</v>
      </c>
      <c r="J527" t="s">
        <v>161</v>
      </c>
      <c r="M527" t="s">
        <v>711</v>
      </c>
      <c r="N527" t="s">
        <v>712</v>
      </c>
      <c r="O527" t="s">
        <v>195</v>
      </c>
      <c r="P527" t="s">
        <v>196</v>
      </c>
      <c r="Q527" t="s">
        <v>109</v>
      </c>
      <c r="R527" t="s">
        <v>22</v>
      </c>
      <c r="S527" t="s">
        <v>149</v>
      </c>
      <c r="T527" t="s">
        <v>181</v>
      </c>
      <c r="U527" t="s">
        <v>715</v>
      </c>
      <c r="V527" t="s">
        <v>129</v>
      </c>
      <c r="W527" t="s">
        <v>130</v>
      </c>
      <c r="X527" t="s">
        <v>199</v>
      </c>
      <c r="Y527" t="s">
        <v>1042</v>
      </c>
      <c r="Z527">
        <v>2</v>
      </c>
      <c r="AA527" t="s">
        <v>1120</v>
      </c>
    </row>
    <row r="528" spans="1:27" ht="15" customHeight="1">
      <c r="A528">
        <v>113</v>
      </c>
      <c r="B528" s="139">
        <v>46178.678194444437</v>
      </c>
      <c r="C528" s="139">
        <v>46178.680347222216</v>
      </c>
      <c r="D528" t="s">
        <v>296</v>
      </c>
      <c r="E528" t="s">
        <v>297</v>
      </c>
      <c r="F528" t="s">
        <v>297</v>
      </c>
      <c r="G528" t="s">
        <v>298</v>
      </c>
      <c r="H528" s="139">
        <v>46167</v>
      </c>
      <c r="I528" t="s">
        <v>136</v>
      </c>
      <c r="J528" t="s">
        <v>161</v>
      </c>
      <c r="M528" t="s">
        <v>711</v>
      </c>
      <c r="N528" t="s">
        <v>712</v>
      </c>
      <c r="O528" t="s">
        <v>195</v>
      </c>
      <c r="P528" t="s">
        <v>196</v>
      </c>
      <c r="Q528" t="s">
        <v>109</v>
      </c>
      <c r="R528" t="s">
        <v>22</v>
      </c>
      <c r="S528" t="s">
        <v>149</v>
      </c>
      <c r="T528" t="s">
        <v>181</v>
      </c>
      <c r="U528" t="s">
        <v>715</v>
      </c>
      <c r="V528" t="s">
        <v>129</v>
      </c>
      <c r="W528" t="s">
        <v>130</v>
      </c>
      <c r="X528" t="s">
        <v>199</v>
      </c>
      <c r="Y528" t="s">
        <v>1042</v>
      </c>
      <c r="Z528">
        <v>3</v>
      </c>
      <c r="AA528" t="s">
        <v>1090</v>
      </c>
    </row>
    <row r="529" spans="1:27" ht="15" customHeight="1">
      <c r="A529">
        <v>113</v>
      </c>
      <c r="B529" s="139">
        <v>46178.678194444437</v>
      </c>
      <c r="C529" s="139">
        <v>46178.680347222216</v>
      </c>
      <c r="D529" t="s">
        <v>296</v>
      </c>
      <c r="E529" t="s">
        <v>297</v>
      </c>
      <c r="F529" t="s">
        <v>297</v>
      </c>
      <c r="G529" t="s">
        <v>298</v>
      </c>
      <c r="H529" s="139">
        <v>46167</v>
      </c>
      <c r="I529" t="s">
        <v>136</v>
      </c>
      <c r="J529" t="s">
        <v>161</v>
      </c>
      <c r="M529" t="s">
        <v>711</v>
      </c>
      <c r="N529" t="s">
        <v>712</v>
      </c>
      <c r="O529" t="s">
        <v>195</v>
      </c>
      <c r="P529" t="s">
        <v>196</v>
      </c>
      <c r="Q529" t="s">
        <v>109</v>
      </c>
      <c r="R529" t="s">
        <v>22</v>
      </c>
      <c r="S529" t="s">
        <v>149</v>
      </c>
      <c r="T529" t="s">
        <v>181</v>
      </c>
      <c r="U529" t="s">
        <v>715</v>
      </c>
      <c r="V529" t="s">
        <v>129</v>
      </c>
      <c r="W529" t="s">
        <v>130</v>
      </c>
      <c r="X529" t="s">
        <v>199</v>
      </c>
      <c r="Y529" t="s">
        <v>1044</v>
      </c>
      <c r="Z529">
        <v>1</v>
      </c>
      <c r="AA529" t="s">
        <v>715</v>
      </c>
    </row>
    <row r="530" spans="1:27" ht="15" customHeight="1">
      <c r="A530">
        <v>134</v>
      </c>
      <c r="B530" s="139">
        <v>46181.445891203701</v>
      </c>
      <c r="C530" s="139">
        <v>46181.449618055558</v>
      </c>
      <c r="D530" t="s">
        <v>351</v>
      </c>
      <c r="E530" t="s">
        <v>352</v>
      </c>
      <c r="F530" t="s">
        <v>353</v>
      </c>
      <c r="G530" t="s">
        <v>354</v>
      </c>
      <c r="H530" s="139">
        <v>46167</v>
      </c>
      <c r="I530" t="s">
        <v>136</v>
      </c>
      <c r="J530" t="s">
        <v>161</v>
      </c>
      <c r="M530" t="s">
        <v>805</v>
      </c>
      <c r="N530" t="s">
        <v>390</v>
      </c>
      <c r="O530" t="s">
        <v>195</v>
      </c>
      <c r="P530" t="s">
        <v>108</v>
      </c>
      <c r="Q530" t="s">
        <v>123</v>
      </c>
      <c r="R530" t="s">
        <v>21</v>
      </c>
      <c r="S530" t="s">
        <v>149</v>
      </c>
      <c r="T530" t="s">
        <v>181</v>
      </c>
      <c r="U530" t="s">
        <v>809</v>
      </c>
      <c r="V530" t="s">
        <v>129</v>
      </c>
      <c r="W530" t="s">
        <v>130</v>
      </c>
      <c r="X530" t="s">
        <v>177</v>
      </c>
      <c r="Y530" t="s">
        <v>1040</v>
      </c>
      <c r="Z530">
        <v>1</v>
      </c>
      <c r="AA530" t="s">
        <v>1215</v>
      </c>
    </row>
    <row r="531" spans="1:27" ht="15" customHeight="1">
      <c r="A531">
        <v>134</v>
      </c>
      <c r="B531" s="139">
        <v>46181.445891203701</v>
      </c>
      <c r="C531" s="139">
        <v>46181.449618055558</v>
      </c>
      <c r="D531" t="s">
        <v>351</v>
      </c>
      <c r="E531" t="s">
        <v>352</v>
      </c>
      <c r="F531" t="s">
        <v>353</v>
      </c>
      <c r="G531" t="s">
        <v>354</v>
      </c>
      <c r="H531" s="139">
        <v>46167</v>
      </c>
      <c r="I531" t="s">
        <v>136</v>
      </c>
      <c r="J531" t="s">
        <v>161</v>
      </c>
      <c r="M531" t="s">
        <v>805</v>
      </c>
      <c r="N531" t="s">
        <v>390</v>
      </c>
      <c r="O531" t="s">
        <v>195</v>
      </c>
      <c r="P531" t="s">
        <v>108</v>
      </c>
      <c r="Q531" t="s">
        <v>123</v>
      </c>
      <c r="R531" t="s">
        <v>21</v>
      </c>
      <c r="S531" t="s">
        <v>149</v>
      </c>
      <c r="T531" t="s">
        <v>181</v>
      </c>
      <c r="U531" t="s">
        <v>809</v>
      </c>
      <c r="V531" t="s">
        <v>129</v>
      </c>
      <c r="W531" t="s">
        <v>130</v>
      </c>
      <c r="X531" t="s">
        <v>177</v>
      </c>
      <c r="Y531" t="s">
        <v>1040</v>
      </c>
      <c r="Z531">
        <v>2</v>
      </c>
      <c r="AA531" t="s">
        <v>1100</v>
      </c>
    </row>
    <row r="532" spans="1:27" ht="15" customHeight="1">
      <c r="A532">
        <v>134</v>
      </c>
      <c r="B532" s="139">
        <v>46181.445891203701</v>
      </c>
      <c r="C532" s="139">
        <v>46181.449618055558</v>
      </c>
      <c r="D532" t="s">
        <v>351</v>
      </c>
      <c r="E532" t="s">
        <v>352</v>
      </c>
      <c r="F532" t="s">
        <v>353</v>
      </c>
      <c r="G532" t="s">
        <v>354</v>
      </c>
      <c r="H532" s="139">
        <v>46167</v>
      </c>
      <c r="I532" t="s">
        <v>136</v>
      </c>
      <c r="J532" t="s">
        <v>161</v>
      </c>
      <c r="M532" t="s">
        <v>805</v>
      </c>
      <c r="N532" t="s">
        <v>390</v>
      </c>
      <c r="O532" t="s">
        <v>195</v>
      </c>
      <c r="P532" t="s">
        <v>108</v>
      </c>
      <c r="Q532" t="s">
        <v>123</v>
      </c>
      <c r="R532" t="s">
        <v>21</v>
      </c>
      <c r="S532" t="s">
        <v>149</v>
      </c>
      <c r="T532" t="s">
        <v>181</v>
      </c>
      <c r="U532" t="s">
        <v>809</v>
      </c>
      <c r="V532" t="s">
        <v>129</v>
      </c>
      <c r="W532" t="s">
        <v>130</v>
      </c>
      <c r="X532" t="s">
        <v>177</v>
      </c>
      <c r="Y532" t="s">
        <v>1042</v>
      </c>
      <c r="Z532">
        <v>1</v>
      </c>
      <c r="AA532" t="s">
        <v>1104</v>
      </c>
    </row>
    <row r="533" spans="1:27" ht="15" customHeight="1">
      <c r="A533">
        <v>134</v>
      </c>
      <c r="B533" s="139">
        <v>46181.445891203701</v>
      </c>
      <c r="C533" s="139">
        <v>46181.449618055558</v>
      </c>
      <c r="D533" t="s">
        <v>351</v>
      </c>
      <c r="E533" t="s">
        <v>352</v>
      </c>
      <c r="F533" t="s">
        <v>353</v>
      </c>
      <c r="G533" t="s">
        <v>354</v>
      </c>
      <c r="H533" s="139">
        <v>46167</v>
      </c>
      <c r="I533" t="s">
        <v>136</v>
      </c>
      <c r="J533" t="s">
        <v>161</v>
      </c>
      <c r="M533" t="s">
        <v>805</v>
      </c>
      <c r="N533" t="s">
        <v>390</v>
      </c>
      <c r="O533" t="s">
        <v>195</v>
      </c>
      <c r="P533" t="s">
        <v>108</v>
      </c>
      <c r="Q533" t="s">
        <v>123</v>
      </c>
      <c r="R533" t="s">
        <v>21</v>
      </c>
      <c r="S533" t="s">
        <v>149</v>
      </c>
      <c r="T533" t="s">
        <v>181</v>
      </c>
      <c r="U533" t="s">
        <v>809</v>
      </c>
      <c r="V533" t="s">
        <v>129</v>
      </c>
      <c r="W533" t="s">
        <v>130</v>
      </c>
      <c r="X533" t="s">
        <v>177</v>
      </c>
      <c r="Y533" t="s">
        <v>1042</v>
      </c>
      <c r="Z533">
        <v>2</v>
      </c>
      <c r="AA533" t="s">
        <v>1173</v>
      </c>
    </row>
    <row r="534" spans="1:27" ht="15" customHeight="1">
      <c r="A534">
        <v>134</v>
      </c>
      <c r="B534" s="139">
        <v>46181.445891203701</v>
      </c>
      <c r="C534" s="139">
        <v>46181.449618055558</v>
      </c>
      <c r="D534" t="s">
        <v>351</v>
      </c>
      <c r="E534" t="s">
        <v>352</v>
      </c>
      <c r="F534" t="s">
        <v>353</v>
      </c>
      <c r="G534" t="s">
        <v>354</v>
      </c>
      <c r="H534" s="139">
        <v>46167</v>
      </c>
      <c r="I534" t="s">
        <v>136</v>
      </c>
      <c r="J534" t="s">
        <v>161</v>
      </c>
      <c r="M534" t="s">
        <v>805</v>
      </c>
      <c r="N534" t="s">
        <v>390</v>
      </c>
      <c r="O534" t="s">
        <v>195</v>
      </c>
      <c r="P534" t="s">
        <v>108</v>
      </c>
      <c r="Q534" t="s">
        <v>123</v>
      </c>
      <c r="R534" t="s">
        <v>21</v>
      </c>
      <c r="S534" t="s">
        <v>149</v>
      </c>
      <c r="T534" t="s">
        <v>181</v>
      </c>
      <c r="U534" t="s">
        <v>809</v>
      </c>
      <c r="V534" t="s">
        <v>129</v>
      </c>
      <c r="W534" t="s">
        <v>130</v>
      </c>
      <c r="X534" t="s">
        <v>177</v>
      </c>
      <c r="Y534" t="s">
        <v>1042</v>
      </c>
      <c r="Z534">
        <v>3</v>
      </c>
      <c r="AA534" t="s">
        <v>1106</v>
      </c>
    </row>
    <row r="535" spans="1:27" ht="15" customHeight="1">
      <c r="A535">
        <v>134</v>
      </c>
      <c r="B535" s="139">
        <v>46181.445891203701</v>
      </c>
      <c r="C535" s="139">
        <v>46181.449618055558</v>
      </c>
      <c r="D535" t="s">
        <v>351</v>
      </c>
      <c r="E535" t="s">
        <v>352</v>
      </c>
      <c r="F535" t="s">
        <v>353</v>
      </c>
      <c r="G535" t="s">
        <v>354</v>
      </c>
      <c r="H535" s="139">
        <v>46167</v>
      </c>
      <c r="I535" t="s">
        <v>136</v>
      </c>
      <c r="J535" t="s">
        <v>161</v>
      </c>
      <c r="M535" t="s">
        <v>805</v>
      </c>
      <c r="N535" t="s">
        <v>390</v>
      </c>
      <c r="O535" t="s">
        <v>195</v>
      </c>
      <c r="P535" t="s">
        <v>108</v>
      </c>
      <c r="Q535" t="s">
        <v>123</v>
      </c>
      <c r="R535" t="s">
        <v>21</v>
      </c>
      <c r="S535" t="s">
        <v>149</v>
      </c>
      <c r="T535" t="s">
        <v>181</v>
      </c>
      <c r="U535" t="s">
        <v>809</v>
      </c>
      <c r="V535" t="s">
        <v>129</v>
      </c>
      <c r="W535" t="s">
        <v>130</v>
      </c>
      <c r="X535" t="s">
        <v>177</v>
      </c>
      <c r="Y535" t="s">
        <v>1044</v>
      </c>
      <c r="Z535">
        <v>1</v>
      </c>
      <c r="AA535" t="s">
        <v>909</v>
      </c>
    </row>
    <row r="536" spans="1:27" ht="15" customHeight="1">
      <c r="A536">
        <v>134</v>
      </c>
      <c r="B536" s="139">
        <v>46181.445891203701</v>
      </c>
      <c r="C536" s="139">
        <v>46181.449618055558</v>
      </c>
      <c r="D536" t="s">
        <v>351</v>
      </c>
      <c r="E536" t="s">
        <v>352</v>
      </c>
      <c r="F536" t="s">
        <v>353</v>
      </c>
      <c r="G536" t="s">
        <v>354</v>
      </c>
      <c r="H536" s="139">
        <v>46167</v>
      </c>
      <c r="I536" t="s">
        <v>136</v>
      </c>
      <c r="J536" t="s">
        <v>161</v>
      </c>
      <c r="M536" t="s">
        <v>805</v>
      </c>
      <c r="N536" t="s">
        <v>390</v>
      </c>
      <c r="O536" t="s">
        <v>195</v>
      </c>
      <c r="P536" t="s">
        <v>108</v>
      </c>
      <c r="Q536" t="s">
        <v>123</v>
      </c>
      <c r="R536" t="s">
        <v>21</v>
      </c>
      <c r="S536" t="s">
        <v>149</v>
      </c>
      <c r="T536" t="s">
        <v>181</v>
      </c>
      <c r="U536" t="s">
        <v>809</v>
      </c>
      <c r="V536" t="s">
        <v>129</v>
      </c>
      <c r="W536" t="s">
        <v>130</v>
      </c>
      <c r="X536" t="s">
        <v>177</v>
      </c>
      <c r="Y536" t="s">
        <v>1044</v>
      </c>
      <c r="Z536">
        <v>2</v>
      </c>
      <c r="AA536" t="s">
        <v>1206</v>
      </c>
    </row>
    <row r="537" spans="1:27" ht="15" customHeight="1">
      <c r="A537">
        <v>134</v>
      </c>
      <c r="B537" s="139">
        <v>46181.445891203701</v>
      </c>
      <c r="C537" s="139">
        <v>46181.449618055558</v>
      </c>
      <c r="D537" t="s">
        <v>351</v>
      </c>
      <c r="E537" t="s">
        <v>352</v>
      </c>
      <c r="F537" t="s">
        <v>353</v>
      </c>
      <c r="G537" t="s">
        <v>354</v>
      </c>
      <c r="H537" s="139">
        <v>46167</v>
      </c>
      <c r="I537" t="s">
        <v>136</v>
      </c>
      <c r="J537" t="s">
        <v>161</v>
      </c>
      <c r="M537" t="s">
        <v>805</v>
      </c>
      <c r="N537" t="s">
        <v>390</v>
      </c>
      <c r="O537" t="s">
        <v>195</v>
      </c>
      <c r="P537" t="s">
        <v>108</v>
      </c>
      <c r="Q537" t="s">
        <v>123</v>
      </c>
      <c r="R537" t="s">
        <v>21</v>
      </c>
      <c r="S537" t="s">
        <v>149</v>
      </c>
      <c r="T537" t="s">
        <v>181</v>
      </c>
      <c r="U537" t="s">
        <v>809</v>
      </c>
      <c r="V537" t="s">
        <v>129</v>
      </c>
      <c r="W537" t="s">
        <v>130</v>
      </c>
      <c r="X537" t="s">
        <v>177</v>
      </c>
      <c r="Y537" t="s">
        <v>1044</v>
      </c>
      <c r="Z537">
        <v>3</v>
      </c>
      <c r="AA537" t="s">
        <v>1109</v>
      </c>
    </row>
    <row r="538" spans="1:27" ht="15" customHeight="1">
      <c r="A538">
        <v>41</v>
      </c>
      <c r="B538" s="139">
        <v>46168.705428240741</v>
      </c>
      <c r="C538" s="139">
        <v>46168.713541666657</v>
      </c>
      <c r="D538" t="s">
        <v>238</v>
      </c>
      <c r="E538" t="s">
        <v>239</v>
      </c>
      <c r="F538" t="s">
        <v>239</v>
      </c>
      <c r="G538" t="s">
        <v>240</v>
      </c>
      <c r="H538" s="139">
        <v>46168</v>
      </c>
      <c r="I538" t="s">
        <v>241</v>
      </c>
      <c r="J538" t="s">
        <v>161</v>
      </c>
      <c r="M538" t="s">
        <v>361</v>
      </c>
      <c r="N538" t="s">
        <v>362</v>
      </c>
      <c r="O538" t="s">
        <v>122</v>
      </c>
      <c r="P538" t="s">
        <v>108</v>
      </c>
      <c r="Q538" t="s">
        <v>123</v>
      </c>
      <c r="R538" t="s">
        <v>21</v>
      </c>
      <c r="S538" t="s">
        <v>143</v>
      </c>
      <c r="T538" t="s">
        <v>233</v>
      </c>
      <c r="U538" t="s">
        <v>365</v>
      </c>
      <c r="V538" t="s">
        <v>151</v>
      </c>
      <c r="W538" t="s">
        <v>130</v>
      </c>
      <c r="X538" t="s">
        <v>177</v>
      </c>
      <c r="Y538" t="s">
        <v>1040</v>
      </c>
      <c r="Z538">
        <v>1</v>
      </c>
      <c r="AA538" t="s">
        <v>1100</v>
      </c>
    </row>
    <row r="539" spans="1:27" ht="15" customHeight="1">
      <c r="A539">
        <v>41</v>
      </c>
      <c r="B539" s="139">
        <v>46168.705428240741</v>
      </c>
      <c r="C539" s="139">
        <v>46168.713541666657</v>
      </c>
      <c r="D539" t="s">
        <v>238</v>
      </c>
      <c r="E539" t="s">
        <v>239</v>
      </c>
      <c r="F539" t="s">
        <v>239</v>
      </c>
      <c r="G539" t="s">
        <v>240</v>
      </c>
      <c r="H539" s="139">
        <v>46168</v>
      </c>
      <c r="I539" t="s">
        <v>241</v>
      </c>
      <c r="J539" t="s">
        <v>161</v>
      </c>
      <c r="M539" t="s">
        <v>361</v>
      </c>
      <c r="N539" t="s">
        <v>362</v>
      </c>
      <c r="O539" t="s">
        <v>122</v>
      </c>
      <c r="P539" t="s">
        <v>108</v>
      </c>
      <c r="Q539" t="s">
        <v>123</v>
      </c>
      <c r="R539" t="s">
        <v>21</v>
      </c>
      <c r="S539" t="s">
        <v>143</v>
      </c>
      <c r="T539" t="s">
        <v>233</v>
      </c>
      <c r="U539" t="s">
        <v>365</v>
      </c>
      <c r="V539" t="s">
        <v>151</v>
      </c>
      <c r="W539" t="s">
        <v>130</v>
      </c>
      <c r="X539" t="s">
        <v>177</v>
      </c>
      <c r="Y539" t="s">
        <v>1040</v>
      </c>
      <c r="Z539">
        <v>2</v>
      </c>
      <c r="AA539" t="s">
        <v>1201</v>
      </c>
    </row>
    <row r="540" spans="1:27" ht="15" customHeight="1">
      <c r="A540">
        <v>41</v>
      </c>
      <c r="B540" s="139">
        <v>46168.705428240741</v>
      </c>
      <c r="C540" s="139">
        <v>46168.713541666657</v>
      </c>
      <c r="D540" t="s">
        <v>238</v>
      </c>
      <c r="E540" t="s">
        <v>239</v>
      </c>
      <c r="F540" t="s">
        <v>239</v>
      </c>
      <c r="G540" t="s">
        <v>240</v>
      </c>
      <c r="H540" s="139">
        <v>46168</v>
      </c>
      <c r="I540" t="s">
        <v>241</v>
      </c>
      <c r="J540" t="s">
        <v>161</v>
      </c>
      <c r="M540" t="s">
        <v>361</v>
      </c>
      <c r="N540" t="s">
        <v>362</v>
      </c>
      <c r="O540" t="s">
        <v>122</v>
      </c>
      <c r="P540" t="s">
        <v>108</v>
      </c>
      <c r="Q540" t="s">
        <v>123</v>
      </c>
      <c r="R540" t="s">
        <v>21</v>
      </c>
      <c r="S540" t="s">
        <v>143</v>
      </c>
      <c r="T540" t="s">
        <v>233</v>
      </c>
      <c r="U540" t="s">
        <v>365</v>
      </c>
      <c r="V540" t="s">
        <v>151</v>
      </c>
      <c r="W540" t="s">
        <v>130</v>
      </c>
      <c r="X540" t="s">
        <v>177</v>
      </c>
      <c r="Y540" t="s">
        <v>1040</v>
      </c>
      <c r="Z540">
        <v>3</v>
      </c>
      <c r="AA540" t="s">
        <v>1215</v>
      </c>
    </row>
    <row r="541" spans="1:27" ht="15" customHeight="1">
      <c r="A541">
        <v>41</v>
      </c>
      <c r="B541" s="139">
        <v>46168.705428240741</v>
      </c>
      <c r="C541" s="139">
        <v>46168.713541666657</v>
      </c>
      <c r="D541" t="s">
        <v>238</v>
      </c>
      <c r="E541" t="s">
        <v>239</v>
      </c>
      <c r="F541" t="s">
        <v>239</v>
      </c>
      <c r="G541" t="s">
        <v>240</v>
      </c>
      <c r="H541" s="139">
        <v>46168</v>
      </c>
      <c r="I541" t="s">
        <v>241</v>
      </c>
      <c r="J541" t="s">
        <v>161</v>
      </c>
      <c r="M541" t="s">
        <v>361</v>
      </c>
      <c r="N541" t="s">
        <v>362</v>
      </c>
      <c r="O541" t="s">
        <v>122</v>
      </c>
      <c r="P541" t="s">
        <v>108</v>
      </c>
      <c r="Q541" t="s">
        <v>123</v>
      </c>
      <c r="R541" t="s">
        <v>21</v>
      </c>
      <c r="S541" t="s">
        <v>143</v>
      </c>
      <c r="T541" t="s">
        <v>233</v>
      </c>
      <c r="U541" t="s">
        <v>365</v>
      </c>
      <c r="V541" t="s">
        <v>151</v>
      </c>
      <c r="W541" t="s">
        <v>130</v>
      </c>
      <c r="X541" t="s">
        <v>177</v>
      </c>
      <c r="Y541" t="s">
        <v>1042</v>
      </c>
      <c r="Z541">
        <v>1</v>
      </c>
      <c r="AA541" t="s">
        <v>1104</v>
      </c>
    </row>
    <row r="542" spans="1:27" ht="15" customHeight="1">
      <c r="A542">
        <v>41</v>
      </c>
      <c r="B542" s="139">
        <v>46168.705428240741</v>
      </c>
      <c r="C542" s="139">
        <v>46168.713541666657</v>
      </c>
      <c r="D542" t="s">
        <v>238</v>
      </c>
      <c r="E542" t="s">
        <v>239</v>
      </c>
      <c r="F542" t="s">
        <v>239</v>
      </c>
      <c r="G542" t="s">
        <v>240</v>
      </c>
      <c r="H542" s="139">
        <v>46168</v>
      </c>
      <c r="I542" t="s">
        <v>241</v>
      </c>
      <c r="J542" t="s">
        <v>161</v>
      </c>
      <c r="M542" t="s">
        <v>361</v>
      </c>
      <c r="N542" t="s">
        <v>362</v>
      </c>
      <c r="O542" t="s">
        <v>122</v>
      </c>
      <c r="P542" t="s">
        <v>108</v>
      </c>
      <c r="Q542" t="s">
        <v>123</v>
      </c>
      <c r="R542" t="s">
        <v>21</v>
      </c>
      <c r="S542" t="s">
        <v>143</v>
      </c>
      <c r="T542" t="s">
        <v>233</v>
      </c>
      <c r="U542" t="s">
        <v>365</v>
      </c>
      <c r="V542" t="s">
        <v>151</v>
      </c>
      <c r="W542" t="s">
        <v>130</v>
      </c>
      <c r="X542" t="s">
        <v>177</v>
      </c>
      <c r="Y542" t="s">
        <v>1042</v>
      </c>
      <c r="Z542">
        <v>2</v>
      </c>
      <c r="AA542" t="s">
        <v>1105</v>
      </c>
    </row>
    <row r="543" spans="1:27" ht="15" customHeight="1">
      <c r="A543">
        <v>41</v>
      </c>
      <c r="B543" s="139">
        <v>46168.705428240741</v>
      </c>
      <c r="C543" s="139">
        <v>46168.713541666657</v>
      </c>
      <c r="D543" t="s">
        <v>238</v>
      </c>
      <c r="E543" t="s">
        <v>239</v>
      </c>
      <c r="F543" t="s">
        <v>239</v>
      </c>
      <c r="G543" t="s">
        <v>240</v>
      </c>
      <c r="H543" s="139">
        <v>46168</v>
      </c>
      <c r="I543" t="s">
        <v>241</v>
      </c>
      <c r="J543" t="s">
        <v>161</v>
      </c>
      <c r="M543" t="s">
        <v>361</v>
      </c>
      <c r="N543" t="s">
        <v>362</v>
      </c>
      <c r="O543" t="s">
        <v>122</v>
      </c>
      <c r="P543" t="s">
        <v>108</v>
      </c>
      <c r="Q543" t="s">
        <v>123</v>
      </c>
      <c r="R543" t="s">
        <v>21</v>
      </c>
      <c r="S543" t="s">
        <v>143</v>
      </c>
      <c r="T543" t="s">
        <v>233</v>
      </c>
      <c r="U543" t="s">
        <v>365</v>
      </c>
      <c r="V543" t="s">
        <v>151</v>
      </c>
      <c r="W543" t="s">
        <v>130</v>
      </c>
      <c r="X543" t="s">
        <v>177</v>
      </c>
      <c r="Y543" t="s">
        <v>1042</v>
      </c>
      <c r="Z543">
        <v>3</v>
      </c>
      <c r="AA543" t="s">
        <v>1107</v>
      </c>
    </row>
    <row r="544" spans="1:27" ht="15" customHeight="1">
      <c r="A544">
        <v>41</v>
      </c>
      <c r="B544" s="139">
        <v>46168.705428240741</v>
      </c>
      <c r="C544" s="139">
        <v>46168.713541666657</v>
      </c>
      <c r="D544" t="s">
        <v>238</v>
      </c>
      <c r="E544" t="s">
        <v>239</v>
      </c>
      <c r="F544" t="s">
        <v>239</v>
      </c>
      <c r="G544" t="s">
        <v>240</v>
      </c>
      <c r="H544" s="139">
        <v>46168</v>
      </c>
      <c r="I544" t="s">
        <v>241</v>
      </c>
      <c r="J544" t="s">
        <v>161</v>
      </c>
      <c r="M544" t="s">
        <v>361</v>
      </c>
      <c r="N544" t="s">
        <v>362</v>
      </c>
      <c r="O544" t="s">
        <v>122</v>
      </c>
      <c r="P544" t="s">
        <v>108</v>
      </c>
      <c r="Q544" t="s">
        <v>123</v>
      </c>
      <c r="R544" t="s">
        <v>21</v>
      </c>
      <c r="S544" t="s">
        <v>143</v>
      </c>
      <c r="T544" t="s">
        <v>233</v>
      </c>
      <c r="U544" t="s">
        <v>365</v>
      </c>
      <c r="V544" t="s">
        <v>151</v>
      </c>
      <c r="W544" t="s">
        <v>130</v>
      </c>
      <c r="X544" t="s">
        <v>177</v>
      </c>
      <c r="Y544" t="s">
        <v>1042</v>
      </c>
      <c r="Z544">
        <v>4</v>
      </c>
      <c r="AA544" t="s">
        <v>1173</v>
      </c>
    </row>
    <row r="545" spans="1:27" ht="15" customHeight="1">
      <c r="A545">
        <v>41</v>
      </c>
      <c r="B545" s="139">
        <v>46168.705428240741</v>
      </c>
      <c r="C545" s="139">
        <v>46168.713541666657</v>
      </c>
      <c r="D545" t="s">
        <v>238</v>
      </c>
      <c r="E545" t="s">
        <v>239</v>
      </c>
      <c r="F545" t="s">
        <v>239</v>
      </c>
      <c r="G545" t="s">
        <v>240</v>
      </c>
      <c r="H545" s="139">
        <v>46168</v>
      </c>
      <c r="I545" t="s">
        <v>241</v>
      </c>
      <c r="J545" t="s">
        <v>161</v>
      </c>
      <c r="M545" t="s">
        <v>361</v>
      </c>
      <c r="N545" t="s">
        <v>362</v>
      </c>
      <c r="O545" t="s">
        <v>122</v>
      </c>
      <c r="P545" t="s">
        <v>108</v>
      </c>
      <c r="Q545" t="s">
        <v>123</v>
      </c>
      <c r="R545" t="s">
        <v>21</v>
      </c>
      <c r="S545" t="s">
        <v>143</v>
      </c>
      <c r="T545" t="s">
        <v>233</v>
      </c>
      <c r="U545" t="s">
        <v>365</v>
      </c>
      <c r="V545" t="s">
        <v>151</v>
      </c>
      <c r="W545" t="s">
        <v>130</v>
      </c>
      <c r="X545" t="s">
        <v>177</v>
      </c>
      <c r="Y545" t="s">
        <v>1042</v>
      </c>
      <c r="Z545">
        <v>5</v>
      </c>
      <c r="AA545" t="s">
        <v>1155</v>
      </c>
    </row>
    <row r="546" spans="1:27" ht="15" customHeight="1">
      <c r="A546">
        <v>41</v>
      </c>
      <c r="B546" s="139">
        <v>46168.705428240741</v>
      </c>
      <c r="C546" s="139">
        <v>46168.713541666657</v>
      </c>
      <c r="D546" t="s">
        <v>238</v>
      </c>
      <c r="E546" t="s">
        <v>239</v>
      </c>
      <c r="F546" t="s">
        <v>239</v>
      </c>
      <c r="G546" t="s">
        <v>240</v>
      </c>
      <c r="H546" s="139">
        <v>46168</v>
      </c>
      <c r="I546" t="s">
        <v>241</v>
      </c>
      <c r="J546" t="s">
        <v>161</v>
      </c>
      <c r="M546" t="s">
        <v>361</v>
      </c>
      <c r="N546" t="s">
        <v>362</v>
      </c>
      <c r="O546" t="s">
        <v>122</v>
      </c>
      <c r="P546" t="s">
        <v>108</v>
      </c>
      <c r="Q546" t="s">
        <v>123</v>
      </c>
      <c r="R546" t="s">
        <v>21</v>
      </c>
      <c r="S546" t="s">
        <v>143</v>
      </c>
      <c r="T546" t="s">
        <v>233</v>
      </c>
      <c r="U546" t="s">
        <v>365</v>
      </c>
      <c r="V546" t="s">
        <v>151</v>
      </c>
      <c r="W546" t="s">
        <v>130</v>
      </c>
      <c r="X546" t="s">
        <v>177</v>
      </c>
      <c r="Y546" t="s">
        <v>1044</v>
      </c>
      <c r="Z546">
        <v>1</v>
      </c>
      <c r="AA546" t="s">
        <v>1108</v>
      </c>
    </row>
    <row r="547" spans="1:27" ht="15" customHeight="1">
      <c r="A547">
        <v>41</v>
      </c>
      <c r="B547" s="139">
        <v>46168.705428240741</v>
      </c>
      <c r="C547" s="139">
        <v>46168.713541666657</v>
      </c>
      <c r="D547" t="s">
        <v>238</v>
      </c>
      <c r="E547" t="s">
        <v>239</v>
      </c>
      <c r="F547" t="s">
        <v>239</v>
      </c>
      <c r="G547" t="s">
        <v>240</v>
      </c>
      <c r="H547" s="139">
        <v>46168</v>
      </c>
      <c r="I547" t="s">
        <v>241</v>
      </c>
      <c r="J547" t="s">
        <v>161</v>
      </c>
      <c r="M547" t="s">
        <v>361</v>
      </c>
      <c r="N547" t="s">
        <v>362</v>
      </c>
      <c r="O547" t="s">
        <v>122</v>
      </c>
      <c r="P547" t="s">
        <v>108</v>
      </c>
      <c r="Q547" t="s">
        <v>123</v>
      </c>
      <c r="R547" t="s">
        <v>21</v>
      </c>
      <c r="S547" t="s">
        <v>143</v>
      </c>
      <c r="T547" t="s">
        <v>233</v>
      </c>
      <c r="U547" t="s">
        <v>365</v>
      </c>
      <c r="V547" t="s">
        <v>151</v>
      </c>
      <c r="W547" t="s">
        <v>130</v>
      </c>
      <c r="X547" t="s">
        <v>177</v>
      </c>
      <c r="Y547" t="s">
        <v>1044</v>
      </c>
      <c r="Z547">
        <v>2</v>
      </c>
      <c r="AA547" t="s">
        <v>1109</v>
      </c>
    </row>
    <row r="548" spans="1:27" ht="15" customHeight="1">
      <c r="A548">
        <v>41</v>
      </c>
      <c r="B548" s="139">
        <v>46168.705428240741</v>
      </c>
      <c r="C548" s="139">
        <v>46168.713541666657</v>
      </c>
      <c r="D548" t="s">
        <v>238</v>
      </c>
      <c r="E548" t="s">
        <v>239</v>
      </c>
      <c r="F548" t="s">
        <v>239</v>
      </c>
      <c r="G548" t="s">
        <v>240</v>
      </c>
      <c r="H548" s="139">
        <v>46168</v>
      </c>
      <c r="I548" t="s">
        <v>241</v>
      </c>
      <c r="J548" t="s">
        <v>161</v>
      </c>
      <c r="M548" t="s">
        <v>361</v>
      </c>
      <c r="N548" t="s">
        <v>362</v>
      </c>
      <c r="O548" t="s">
        <v>122</v>
      </c>
      <c r="P548" t="s">
        <v>108</v>
      </c>
      <c r="Q548" t="s">
        <v>123</v>
      </c>
      <c r="R548" t="s">
        <v>21</v>
      </c>
      <c r="S548" t="s">
        <v>143</v>
      </c>
      <c r="T548" t="s">
        <v>233</v>
      </c>
      <c r="U548" t="s">
        <v>365</v>
      </c>
      <c r="V548" t="s">
        <v>151</v>
      </c>
      <c r="W548" t="s">
        <v>130</v>
      </c>
      <c r="X548" t="s">
        <v>177</v>
      </c>
      <c r="Y548" t="s">
        <v>1044</v>
      </c>
      <c r="Z548">
        <v>3</v>
      </c>
      <c r="AA548" t="s">
        <v>1110</v>
      </c>
    </row>
    <row r="549" spans="1:27" ht="15" customHeight="1">
      <c r="A549">
        <v>51</v>
      </c>
      <c r="B549" s="139">
        <v>46168.734930555547</v>
      </c>
      <c r="C549" s="139">
        <v>46168.756192129629</v>
      </c>
      <c r="D549" t="s">
        <v>227</v>
      </c>
      <c r="E549" t="s">
        <v>228</v>
      </c>
      <c r="F549" t="s">
        <v>228</v>
      </c>
      <c r="G549" t="s">
        <v>229</v>
      </c>
      <c r="H549" s="139">
        <v>46168</v>
      </c>
      <c r="I549" t="s">
        <v>136</v>
      </c>
      <c r="J549" t="s">
        <v>161</v>
      </c>
      <c r="M549" t="s">
        <v>217</v>
      </c>
      <c r="N549" t="s">
        <v>406</v>
      </c>
      <c r="O549" t="s">
        <v>135</v>
      </c>
      <c r="P549" t="s">
        <v>108</v>
      </c>
      <c r="Q549" t="s">
        <v>109</v>
      </c>
      <c r="R549" t="s">
        <v>22</v>
      </c>
      <c r="S549" t="s">
        <v>149</v>
      </c>
      <c r="T549" t="s">
        <v>181</v>
      </c>
      <c r="V549" t="s">
        <v>151</v>
      </c>
      <c r="W549" t="s">
        <v>130</v>
      </c>
      <c r="X549" t="s">
        <v>329</v>
      </c>
      <c r="Y549" t="s">
        <v>1040</v>
      </c>
      <c r="Z549">
        <v>1</v>
      </c>
      <c r="AA549" t="s">
        <v>186</v>
      </c>
    </row>
    <row r="550" spans="1:27" ht="15" customHeight="1">
      <c r="A550">
        <v>51</v>
      </c>
      <c r="B550" s="139">
        <v>46168.734930555547</v>
      </c>
      <c r="C550" s="139">
        <v>46168.756192129629</v>
      </c>
      <c r="D550" t="s">
        <v>227</v>
      </c>
      <c r="E550" t="s">
        <v>228</v>
      </c>
      <c r="F550" t="s">
        <v>228</v>
      </c>
      <c r="G550" t="s">
        <v>229</v>
      </c>
      <c r="H550" s="139">
        <v>46168</v>
      </c>
      <c r="I550" t="s">
        <v>136</v>
      </c>
      <c r="J550" t="s">
        <v>161</v>
      </c>
      <c r="M550" t="s">
        <v>217</v>
      </c>
      <c r="N550" t="s">
        <v>406</v>
      </c>
      <c r="O550" t="s">
        <v>135</v>
      </c>
      <c r="P550" t="s">
        <v>108</v>
      </c>
      <c r="Q550" t="s">
        <v>109</v>
      </c>
      <c r="R550" t="s">
        <v>22</v>
      </c>
      <c r="S550" t="s">
        <v>149</v>
      </c>
      <c r="T550" t="s">
        <v>181</v>
      </c>
      <c r="V550" t="s">
        <v>151</v>
      </c>
      <c r="W550" t="s">
        <v>130</v>
      </c>
      <c r="X550" t="s">
        <v>329</v>
      </c>
      <c r="Y550" t="s">
        <v>1042</v>
      </c>
      <c r="Z550">
        <v>1</v>
      </c>
      <c r="AA550" t="s">
        <v>1085</v>
      </c>
    </row>
    <row r="551" spans="1:27" ht="15" customHeight="1">
      <c r="A551">
        <v>51</v>
      </c>
      <c r="B551" s="139">
        <v>46168.734930555547</v>
      </c>
      <c r="C551" s="139">
        <v>46168.756192129629</v>
      </c>
      <c r="D551" t="s">
        <v>227</v>
      </c>
      <c r="E551" t="s">
        <v>228</v>
      </c>
      <c r="F551" t="s">
        <v>228</v>
      </c>
      <c r="G551" t="s">
        <v>229</v>
      </c>
      <c r="H551" s="139">
        <v>46168</v>
      </c>
      <c r="I551" t="s">
        <v>136</v>
      </c>
      <c r="J551" t="s">
        <v>161</v>
      </c>
      <c r="M551" t="s">
        <v>217</v>
      </c>
      <c r="N551" t="s">
        <v>406</v>
      </c>
      <c r="O551" t="s">
        <v>135</v>
      </c>
      <c r="P551" t="s">
        <v>108</v>
      </c>
      <c r="Q551" t="s">
        <v>109</v>
      </c>
      <c r="R551" t="s">
        <v>22</v>
      </c>
      <c r="S551" t="s">
        <v>149</v>
      </c>
      <c r="T551" t="s">
        <v>181</v>
      </c>
      <c r="V551" t="s">
        <v>151</v>
      </c>
      <c r="W551" t="s">
        <v>130</v>
      </c>
      <c r="X551" t="s">
        <v>329</v>
      </c>
      <c r="Y551" t="s">
        <v>1042</v>
      </c>
      <c r="Z551">
        <v>2</v>
      </c>
      <c r="AA551" t="s">
        <v>1084</v>
      </c>
    </row>
    <row r="552" spans="1:27" ht="15" customHeight="1">
      <c r="A552">
        <v>51</v>
      </c>
      <c r="B552" s="139">
        <v>46168.734930555547</v>
      </c>
      <c r="C552" s="139">
        <v>46168.756192129629</v>
      </c>
      <c r="D552" t="s">
        <v>227</v>
      </c>
      <c r="E552" t="s">
        <v>228</v>
      </c>
      <c r="F552" t="s">
        <v>228</v>
      </c>
      <c r="G552" t="s">
        <v>229</v>
      </c>
      <c r="H552" s="139">
        <v>46168</v>
      </c>
      <c r="I552" t="s">
        <v>136</v>
      </c>
      <c r="J552" t="s">
        <v>161</v>
      </c>
      <c r="M552" t="s">
        <v>217</v>
      </c>
      <c r="N552" t="s">
        <v>406</v>
      </c>
      <c r="O552" t="s">
        <v>135</v>
      </c>
      <c r="P552" t="s">
        <v>108</v>
      </c>
      <c r="Q552" t="s">
        <v>109</v>
      </c>
      <c r="R552" t="s">
        <v>22</v>
      </c>
      <c r="S552" t="s">
        <v>149</v>
      </c>
      <c r="T552" t="s">
        <v>181</v>
      </c>
      <c r="V552" t="s">
        <v>151</v>
      </c>
      <c r="W552" t="s">
        <v>130</v>
      </c>
      <c r="X552" t="s">
        <v>329</v>
      </c>
      <c r="Y552" t="s">
        <v>1044</v>
      </c>
      <c r="Z552">
        <v>1</v>
      </c>
      <c r="AA552" t="s">
        <v>1199</v>
      </c>
    </row>
    <row r="553" spans="1:27" ht="15" customHeight="1">
      <c r="A553">
        <v>51</v>
      </c>
      <c r="B553" s="139">
        <v>46168.734930555547</v>
      </c>
      <c r="C553" s="139">
        <v>46168.756192129629</v>
      </c>
      <c r="D553" t="s">
        <v>227</v>
      </c>
      <c r="E553" t="s">
        <v>228</v>
      </c>
      <c r="F553" t="s">
        <v>228</v>
      </c>
      <c r="G553" t="s">
        <v>229</v>
      </c>
      <c r="H553" s="139">
        <v>46168</v>
      </c>
      <c r="I553" t="s">
        <v>136</v>
      </c>
      <c r="J553" t="s">
        <v>161</v>
      </c>
      <c r="M553" t="s">
        <v>217</v>
      </c>
      <c r="N553" t="s">
        <v>406</v>
      </c>
      <c r="O553" t="s">
        <v>135</v>
      </c>
      <c r="P553" t="s">
        <v>108</v>
      </c>
      <c r="Q553" t="s">
        <v>109</v>
      </c>
      <c r="R553" t="s">
        <v>22</v>
      </c>
      <c r="S553" t="s">
        <v>149</v>
      </c>
      <c r="T553" t="s">
        <v>181</v>
      </c>
      <c r="V553" t="s">
        <v>151</v>
      </c>
      <c r="W553" t="s">
        <v>130</v>
      </c>
      <c r="X553" t="s">
        <v>329</v>
      </c>
      <c r="Y553" t="s">
        <v>1044</v>
      </c>
      <c r="Z553">
        <v>2</v>
      </c>
      <c r="AA553" t="s">
        <v>1050</v>
      </c>
    </row>
    <row r="554" spans="1:27" ht="15" customHeight="1">
      <c r="A554">
        <v>59</v>
      </c>
      <c r="B554" s="139">
        <v>46168.890428240738</v>
      </c>
      <c r="C554" s="139">
        <v>46168.891851851848</v>
      </c>
      <c r="D554" t="s">
        <v>170</v>
      </c>
      <c r="E554" t="s">
        <v>171</v>
      </c>
      <c r="F554" t="s">
        <v>171</v>
      </c>
      <c r="G554" t="s">
        <v>172</v>
      </c>
      <c r="H554" s="139">
        <v>46168</v>
      </c>
      <c r="I554" t="s">
        <v>136</v>
      </c>
      <c r="J554" t="s">
        <v>161</v>
      </c>
      <c r="M554" t="s">
        <v>197</v>
      </c>
      <c r="N554" t="s">
        <v>198</v>
      </c>
      <c r="O554" t="s">
        <v>160</v>
      </c>
      <c r="P554" t="s">
        <v>108</v>
      </c>
      <c r="Q554" t="s">
        <v>248</v>
      </c>
      <c r="R554" t="s">
        <v>23</v>
      </c>
      <c r="S554" t="s">
        <v>149</v>
      </c>
      <c r="T554" t="s">
        <v>181</v>
      </c>
      <c r="V554" t="s">
        <v>129</v>
      </c>
      <c r="W554" t="s">
        <v>130</v>
      </c>
      <c r="X554" t="s">
        <v>252</v>
      </c>
      <c r="Y554" t="s">
        <v>1039</v>
      </c>
      <c r="Z554">
        <v>1</v>
      </c>
      <c r="AA554" t="s">
        <v>456</v>
      </c>
    </row>
    <row r="555" spans="1:27" ht="15" customHeight="1">
      <c r="A555">
        <v>74</v>
      </c>
      <c r="B555" s="139">
        <v>46175.824537037042</v>
      </c>
      <c r="C555" s="139">
        <v>46175.826157407413</v>
      </c>
      <c r="D555" t="s">
        <v>513</v>
      </c>
      <c r="E555" t="s">
        <v>514</v>
      </c>
      <c r="F555" t="s">
        <v>515</v>
      </c>
      <c r="G555" t="s">
        <v>516</v>
      </c>
      <c r="H555" s="139">
        <v>46168</v>
      </c>
      <c r="I555" t="s">
        <v>472</v>
      </c>
      <c r="J555" t="s">
        <v>161</v>
      </c>
      <c r="M555" t="s">
        <v>517</v>
      </c>
      <c r="N555" t="s">
        <v>518</v>
      </c>
      <c r="O555" t="s">
        <v>135</v>
      </c>
      <c r="P555" t="s">
        <v>108</v>
      </c>
      <c r="Q555" t="s">
        <v>109</v>
      </c>
      <c r="R555" t="s">
        <v>22</v>
      </c>
      <c r="S555" t="s">
        <v>546</v>
      </c>
      <c r="T555" t="s">
        <v>233</v>
      </c>
      <c r="U555" t="s">
        <v>547</v>
      </c>
      <c r="V555" t="s">
        <v>116</v>
      </c>
      <c r="W555" t="s">
        <v>117</v>
      </c>
      <c r="X555" t="s">
        <v>321</v>
      </c>
      <c r="Y555" t="s">
        <v>1040</v>
      </c>
      <c r="Z555">
        <v>1</v>
      </c>
      <c r="AA555" t="s">
        <v>1241</v>
      </c>
    </row>
    <row r="556" spans="1:27" ht="15" customHeight="1">
      <c r="A556">
        <v>74</v>
      </c>
      <c r="B556" s="139">
        <v>46175.824537037042</v>
      </c>
      <c r="C556" s="139">
        <v>46175.826157407413</v>
      </c>
      <c r="D556" t="s">
        <v>513</v>
      </c>
      <c r="E556" t="s">
        <v>514</v>
      </c>
      <c r="F556" t="s">
        <v>515</v>
      </c>
      <c r="G556" t="s">
        <v>516</v>
      </c>
      <c r="H556" s="139">
        <v>46168</v>
      </c>
      <c r="I556" t="s">
        <v>472</v>
      </c>
      <c r="J556" t="s">
        <v>161</v>
      </c>
      <c r="M556" t="s">
        <v>517</v>
      </c>
      <c r="N556" t="s">
        <v>518</v>
      </c>
      <c r="O556" t="s">
        <v>135</v>
      </c>
      <c r="P556" t="s">
        <v>108</v>
      </c>
      <c r="Q556" t="s">
        <v>109</v>
      </c>
      <c r="R556" t="s">
        <v>22</v>
      </c>
      <c r="S556" t="s">
        <v>546</v>
      </c>
      <c r="T556" t="s">
        <v>233</v>
      </c>
      <c r="U556" t="s">
        <v>547</v>
      </c>
      <c r="V556" t="s">
        <v>116</v>
      </c>
      <c r="W556" t="s">
        <v>117</v>
      </c>
      <c r="X556" t="s">
        <v>321</v>
      </c>
      <c r="Y556" t="s">
        <v>1042</v>
      </c>
      <c r="Z556">
        <v>1</v>
      </c>
      <c r="AA556" t="s">
        <v>1262</v>
      </c>
    </row>
    <row r="557" spans="1:27" ht="15" customHeight="1">
      <c r="A557">
        <v>74</v>
      </c>
      <c r="B557" s="139">
        <v>46175.824537037042</v>
      </c>
      <c r="C557" s="139">
        <v>46175.826157407413</v>
      </c>
      <c r="D557" t="s">
        <v>513</v>
      </c>
      <c r="E557" t="s">
        <v>514</v>
      </c>
      <c r="F557" t="s">
        <v>515</v>
      </c>
      <c r="G557" t="s">
        <v>516</v>
      </c>
      <c r="H557" s="139">
        <v>46168</v>
      </c>
      <c r="I557" t="s">
        <v>472</v>
      </c>
      <c r="J557" t="s">
        <v>161</v>
      </c>
      <c r="M557" t="s">
        <v>517</v>
      </c>
      <c r="N557" t="s">
        <v>518</v>
      </c>
      <c r="O557" t="s">
        <v>135</v>
      </c>
      <c r="P557" t="s">
        <v>108</v>
      </c>
      <c r="Q557" t="s">
        <v>109</v>
      </c>
      <c r="R557" t="s">
        <v>22</v>
      </c>
      <c r="S557" t="s">
        <v>546</v>
      </c>
      <c r="T557" t="s">
        <v>233</v>
      </c>
      <c r="U557" t="s">
        <v>547</v>
      </c>
      <c r="V557" t="s">
        <v>116</v>
      </c>
      <c r="W557" t="s">
        <v>117</v>
      </c>
      <c r="X557" t="s">
        <v>321</v>
      </c>
      <c r="Y557" t="s">
        <v>1044</v>
      </c>
      <c r="Z557">
        <v>1</v>
      </c>
      <c r="AA557" t="s">
        <v>1244</v>
      </c>
    </row>
    <row r="558" spans="1:27" ht="15" customHeight="1">
      <c r="A558">
        <v>88</v>
      </c>
      <c r="B558" s="139">
        <v>46177.032881944448</v>
      </c>
      <c r="C558" s="139">
        <v>46177.034016203703</v>
      </c>
      <c r="D558" t="s">
        <v>468</v>
      </c>
      <c r="E558" t="s">
        <v>469</v>
      </c>
      <c r="F558" t="s">
        <v>469</v>
      </c>
      <c r="G558" t="s">
        <v>471</v>
      </c>
      <c r="H558" s="139">
        <v>46168</v>
      </c>
      <c r="I558" t="s">
        <v>472</v>
      </c>
      <c r="J558" t="s">
        <v>187</v>
      </c>
      <c r="K558" t="s">
        <v>254</v>
      </c>
      <c r="N558" t="s">
        <v>614</v>
      </c>
      <c r="O558" t="s">
        <v>135</v>
      </c>
      <c r="P558" t="s">
        <v>108</v>
      </c>
      <c r="Q558" t="s">
        <v>123</v>
      </c>
      <c r="R558" t="s">
        <v>22</v>
      </c>
      <c r="S558" t="s">
        <v>149</v>
      </c>
      <c r="T558" t="s">
        <v>150</v>
      </c>
      <c r="V558" t="s">
        <v>151</v>
      </c>
      <c r="W558" t="s">
        <v>117</v>
      </c>
      <c r="X558" t="s">
        <v>302</v>
      </c>
      <c r="Y558" t="s">
        <v>1040</v>
      </c>
      <c r="Z558">
        <v>1</v>
      </c>
      <c r="AA558" t="s">
        <v>1273</v>
      </c>
    </row>
    <row r="559" spans="1:27" ht="15" customHeight="1">
      <c r="A559">
        <v>88</v>
      </c>
      <c r="B559" s="139">
        <v>46177.032881944448</v>
      </c>
      <c r="C559" s="139">
        <v>46177.034016203703</v>
      </c>
      <c r="D559" t="s">
        <v>468</v>
      </c>
      <c r="E559" t="s">
        <v>469</v>
      </c>
      <c r="F559" t="s">
        <v>469</v>
      </c>
      <c r="G559" t="s">
        <v>471</v>
      </c>
      <c r="H559" s="139">
        <v>46168</v>
      </c>
      <c r="I559" t="s">
        <v>472</v>
      </c>
      <c r="J559" t="s">
        <v>187</v>
      </c>
      <c r="K559" t="s">
        <v>254</v>
      </c>
      <c r="N559" t="s">
        <v>614</v>
      </c>
      <c r="O559" t="s">
        <v>135</v>
      </c>
      <c r="P559" t="s">
        <v>108</v>
      </c>
      <c r="Q559" t="s">
        <v>123</v>
      </c>
      <c r="R559" t="s">
        <v>22</v>
      </c>
      <c r="S559" t="s">
        <v>149</v>
      </c>
      <c r="T559" t="s">
        <v>150</v>
      </c>
      <c r="V559" t="s">
        <v>151</v>
      </c>
      <c r="W559" t="s">
        <v>117</v>
      </c>
      <c r="X559" t="s">
        <v>302</v>
      </c>
      <c r="Y559" t="s">
        <v>1042</v>
      </c>
      <c r="Z559">
        <v>1</v>
      </c>
      <c r="AA559" t="s">
        <v>1092</v>
      </c>
    </row>
    <row r="560" spans="1:27">
      <c r="A560">
        <v>88</v>
      </c>
      <c r="B560" s="139">
        <v>46177.032881944448</v>
      </c>
      <c r="C560" s="139">
        <v>46177.034016203703</v>
      </c>
      <c r="D560" t="s">
        <v>468</v>
      </c>
      <c r="E560" t="s">
        <v>469</v>
      </c>
      <c r="F560" t="s">
        <v>469</v>
      </c>
      <c r="G560" t="s">
        <v>471</v>
      </c>
      <c r="H560" s="139">
        <v>46168</v>
      </c>
      <c r="I560" t="s">
        <v>472</v>
      </c>
      <c r="J560" t="s">
        <v>187</v>
      </c>
      <c r="K560" t="s">
        <v>254</v>
      </c>
      <c r="N560" t="s">
        <v>614</v>
      </c>
      <c r="O560" t="s">
        <v>135</v>
      </c>
      <c r="P560" t="s">
        <v>108</v>
      </c>
      <c r="Q560" t="s">
        <v>123</v>
      </c>
      <c r="R560" t="s">
        <v>22</v>
      </c>
      <c r="S560" t="s">
        <v>149</v>
      </c>
      <c r="T560" t="s">
        <v>150</v>
      </c>
      <c r="V560" t="s">
        <v>151</v>
      </c>
      <c r="W560" t="s">
        <v>117</v>
      </c>
      <c r="X560" t="s">
        <v>302</v>
      </c>
      <c r="Y560" t="s">
        <v>1042</v>
      </c>
      <c r="Z560">
        <v>2</v>
      </c>
      <c r="AA560" t="s">
        <v>1093</v>
      </c>
    </row>
    <row r="561" spans="1:27">
      <c r="A561">
        <v>88</v>
      </c>
      <c r="B561" s="139">
        <v>46177.032881944448</v>
      </c>
      <c r="C561" s="139">
        <v>46177.034016203703</v>
      </c>
      <c r="D561" t="s">
        <v>468</v>
      </c>
      <c r="E561" t="s">
        <v>469</v>
      </c>
      <c r="F561" t="s">
        <v>469</v>
      </c>
      <c r="G561" t="s">
        <v>471</v>
      </c>
      <c r="H561" s="139">
        <v>46168</v>
      </c>
      <c r="I561" t="s">
        <v>472</v>
      </c>
      <c r="J561" t="s">
        <v>187</v>
      </c>
      <c r="K561" t="s">
        <v>254</v>
      </c>
      <c r="N561" t="s">
        <v>614</v>
      </c>
      <c r="O561" t="s">
        <v>135</v>
      </c>
      <c r="P561" t="s">
        <v>108</v>
      </c>
      <c r="Q561" t="s">
        <v>123</v>
      </c>
      <c r="R561" t="s">
        <v>22</v>
      </c>
      <c r="S561" t="s">
        <v>149</v>
      </c>
      <c r="T561" t="s">
        <v>150</v>
      </c>
      <c r="V561" t="s">
        <v>151</v>
      </c>
      <c r="W561" t="s">
        <v>117</v>
      </c>
      <c r="X561" t="s">
        <v>302</v>
      </c>
      <c r="Y561" t="s">
        <v>1042</v>
      </c>
      <c r="Z561">
        <v>3</v>
      </c>
      <c r="AA561" t="s">
        <v>1274</v>
      </c>
    </row>
    <row r="562" spans="1:27">
      <c r="A562">
        <v>88</v>
      </c>
      <c r="B562" s="139">
        <v>46177.032881944448</v>
      </c>
      <c r="C562" s="139">
        <v>46177.034016203703</v>
      </c>
      <c r="D562" t="s">
        <v>468</v>
      </c>
      <c r="E562" t="s">
        <v>469</v>
      </c>
      <c r="F562" t="s">
        <v>469</v>
      </c>
      <c r="G562" t="s">
        <v>471</v>
      </c>
      <c r="H562" s="139">
        <v>46168</v>
      </c>
      <c r="I562" t="s">
        <v>472</v>
      </c>
      <c r="J562" t="s">
        <v>187</v>
      </c>
      <c r="K562" t="s">
        <v>254</v>
      </c>
      <c r="N562" t="s">
        <v>614</v>
      </c>
      <c r="O562" t="s">
        <v>135</v>
      </c>
      <c r="P562" t="s">
        <v>108</v>
      </c>
      <c r="Q562" t="s">
        <v>123</v>
      </c>
      <c r="R562" t="s">
        <v>22</v>
      </c>
      <c r="S562" t="s">
        <v>149</v>
      </c>
      <c r="T562" t="s">
        <v>150</v>
      </c>
      <c r="V562" t="s">
        <v>151</v>
      </c>
      <c r="W562" t="s">
        <v>117</v>
      </c>
      <c r="X562" t="s">
        <v>302</v>
      </c>
      <c r="Y562" t="s">
        <v>1044</v>
      </c>
      <c r="Z562">
        <v>1</v>
      </c>
      <c r="AA562" t="s">
        <v>1275</v>
      </c>
    </row>
    <row r="563" spans="1:27">
      <c r="A563">
        <v>88</v>
      </c>
      <c r="B563" s="139">
        <v>46177.032881944448</v>
      </c>
      <c r="C563" s="139">
        <v>46177.034016203703</v>
      </c>
      <c r="D563" t="s">
        <v>468</v>
      </c>
      <c r="E563" t="s">
        <v>469</v>
      </c>
      <c r="F563" t="s">
        <v>469</v>
      </c>
      <c r="G563" t="s">
        <v>471</v>
      </c>
      <c r="H563" s="139">
        <v>46168</v>
      </c>
      <c r="I563" t="s">
        <v>472</v>
      </c>
      <c r="J563" t="s">
        <v>187</v>
      </c>
      <c r="K563" t="s">
        <v>254</v>
      </c>
      <c r="N563" t="s">
        <v>614</v>
      </c>
      <c r="O563" t="s">
        <v>135</v>
      </c>
      <c r="P563" t="s">
        <v>108</v>
      </c>
      <c r="Q563" t="s">
        <v>123</v>
      </c>
      <c r="R563" t="s">
        <v>22</v>
      </c>
      <c r="S563" t="s">
        <v>149</v>
      </c>
      <c r="T563" t="s">
        <v>150</v>
      </c>
      <c r="V563" t="s">
        <v>151</v>
      </c>
      <c r="W563" t="s">
        <v>117</v>
      </c>
      <c r="X563" t="s">
        <v>302</v>
      </c>
      <c r="Y563" t="s">
        <v>1044</v>
      </c>
      <c r="Z563">
        <v>2</v>
      </c>
      <c r="AA563" t="s">
        <v>1276</v>
      </c>
    </row>
    <row r="564" spans="1:27">
      <c r="A564">
        <v>88</v>
      </c>
      <c r="B564" s="139">
        <v>46177.032881944448</v>
      </c>
      <c r="C564" s="139">
        <v>46177.034016203703</v>
      </c>
      <c r="D564" t="s">
        <v>468</v>
      </c>
      <c r="E564" t="s">
        <v>469</v>
      </c>
      <c r="F564" t="s">
        <v>469</v>
      </c>
      <c r="G564" t="s">
        <v>471</v>
      </c>
      <c r="H564" s="139">
        <v>46168</v>
      </c>
      <c r="I564" t="s">
        <v>472</v>
      </c>
      <c r="J564" t="s">
        <v>187</v>
      </c>
      <c r="K564" t="s">
        <v>254</v>
      </c>
      <c r="N564" t="s">
        <v>614</v>
      </c>
      <c r="O564" t="s">
        <v>135</v>
      </c>
      <c r="P564" t="s">
        <v>108</v>
      </c>
      <c r="Q564" t="s">
        <v>123</v>
      </c>
      <c r="R564" t="s">
        <v>22</v>
      </c>
      <c r="S564" t="s">
        <v>149</v>
      </c>
      <c r="T564" t="s">
        <v>150</v>
      </c>
      <c r="V564" t="s">
        <v>151</v>
      </c>
      <c r="W564" t="s">
        <v>117</v>
      </c>
      <c r="X564" t="s">
        <v>302</v>
      </c>
      <c r="Y564" t="s">
        <v>1044</v>
      </c>
      <c r="Z564">
        <v>3</v>
      </c>
      <c r="AA564" t="s">
        <v>1277</v>
      </c>
    </row>
    <row r="565" spans="1:27">
      <c r="A565">
        <v>88</v>
      </c>
      <c r="B565" s="139">
        <v>46177.032881944448</v>
      </c>
      <c r="C565" s="139">
        <v>46177.034016203703</v>
      </c>
      <c r="D565" t="s">
        <v>468</v>
      </c>
      <c r="E565" t="s">
        <v>469</v>
      </c>
      <c r="F565" t="s">
        <v>469</v>
      </c>
      <c r="G565" t="s">
        <v>471</v>
      </c>
      <c r="H565" s="139">
        <v>46168</v>
      </c>
      <c r="I565" t="s">
        <v>472</v>
      </c>
      <c r="J565" t="s">
        <v>187</v>
      </c>
      <c r="K565" t="s">
        <v>254</v>
      </c>
      <c r="N565" t="s">
        <v>614</v>
      </c>
      <c r="O565" t="s">
        <v>135</v>
      </c>
      <c r="P565" t="s">
        <v>108</v>
      </c>
      <c r="Q565" t="s">
        <v>123</v>
      </c>
      <c r="R565" t="s">
        <v>22</v>
      </c>
      <c r="S565" t="s">
        <v>149</v>
      </c>
      <c r="T565" t="s">
        <v>150</v>
      </c>
      <c r="V565" t="s">
        <v>151</v>
      </c>
      <c r="W565" t="s">
        <v>117</v>
      </c>
      <c r="X565" t="s">
        <v>302</v>
      </c>
      <c r="Y565" t="s">
        <v>1044</v>
      </c>
      <c r="Z565">
        <v>4</v>
      </c>
      <c r="AA565" t="s">
        <v>1165</v>
      </c>
    </row>
    <row r="566" spans="1:27">
      <c r="A566">
        <v>88</v>
      </c>
      <c r="B566" s="139">
        <v>46177.032881944448</v>
      </c>
      <c r="C566" s="139">
        <v>46177.034016203703</v>
      </c>
      <c r="D566" t="s">
        <v>468</v>
      </c>
      <c r="E566" t="s">
        <v>469</v>
      </c>
      <c r="F566" t="s">
        <v>469</v>
      </c>
      <c r="G566" t="s">
        <v>471</v>
      </c>
      <c r="H566" s="139">
        <v>46168</v>
      </c>
      <c r="I566" t="s">
        <v>472</v>
      </c>
      <c r="J566" t="s">
        <v>187</v>
      </c>
      <c r="K566" t="s">
        <v>254</v>
      </c>
      <c r="N566" t="s">
        <v>614</v>
      </c>
      <c r="O566" t="s">
        <v>135</v>
      </c>
      <c r="P566" t="s">
        <v>108</v>
      </c>
      <c r="Q566" t="s">
        <v>123</v>
      </c>
      <c r="R566" t="s">
        <v>22</v>
      </c>
      <c r="S566" t="s">
        <v>149</v>
      </c>
      <c r="T566" t="s">
        <v>150</v>
      </c>
      <c r="V566" t="s">
        <v>151</v>
      </c>
      <c r="W566" t="s">
        <v>117</v>
      </c>
      <c r="X566" t="s">
        <v>302</v>
      </c>
      <c r="Y566" t="s">
        <v>1044</v>
      </c>
      <c r="Z566">
        <v>5</v>
      </c>
      <c r="AA566" t="s">
        <v>1166</v>
      </c>
    </row>
    <row r="567" spans="1:27">
      <c r="A567">
        <v>96</v>
      </c>
      <c r="B567" s="139">
        <v>46178.521435185183</v>
      </c>
      <c r="C567" s="139">
        <v>46178.524097222216</v>
      </c>
      <c r="D567" t="s">
        <v>413</v>
      </c>
      <c r="E567" t="s">
        <v>414</v>
      </c>
      <c r="F567" t="s">
        <v>415</v>
      </c>
      <c r="G567" t="s">
        <v>416</v>
      </c>
      <c r="H567" s="139">
        <v>46168</v>
      </c>
      <c r="I567" t="s">
        <v>136</v>
      </c>
      <c r="J567" t="s">
        <v>161</v>
      </c>
      <c r="M567" t="s">
        <v>621</v>
      </c>
      <c r="N567" t="s">
        <v>646</v>
      </c>
      <c r="O567" t="s">
        <v>195</v>
      </c>
      <c r="P567" t="s">
        <v>196</v>
      </c>
      <c r="Q567" t="s">
        <v>109</v>
      </c>
      <c r="R567" t="s">
        <v>21</v>
      </c>
      <c r="S567" t="s">
        <v>143</v>
      </c>
      <c r="T567" t="s">
        <v>181</v>
      </c>
      <c r="U567" t="s">
        <v>650</v>
      </c>
      <c r="V567" t="s">
        <v>151</v>
      </c>
      <c r="W567" t="s">
        <v>130</v>
      </c>
      <c r="X567" t="s">
        <v>177</v>
      </c>
      <c r="Y567" t="s">
        <v>1040</v>
      </c>
      <c r="Z567">
        <v>1</v>
      </c>
      <c r="AA567" t="s">
        <v>1278</v>
      </c>
    </row>
    <row r="568" spans="1:27">
      <c r="A568">
        <v>96</v>
      </c>
      <c r="B568" s="139">
        <v>46178.521435185183</v>
      </c>
      <c r="C568" s="139">
        <v>46178.524097222216</v>
      </c>
      <c r="D568" t="s">
        <v>413</v>
      </c>
      <c r="E568" t="s">
        <v>414</v>
      </c>
      <c r="F568" t="s">
        <v>415</v>
      </c>
      <c r="G568" t="s">
        <v>416</v>
      </c>
      <c r="H568" s="139">
        <v>46168</v>
      </c>
      <c r="I568" t="s">
        <v>136</v>
      </c>
      <c r="J568" t="s">
        <v>161</v>
      </c>
      <c r="M568" t="s">
        <v>621</v>
      </c>
      <c r="N568" t="s">
        <v>646</v>
      </c>
      <c r="O568" t="s">
        <v>195</v>
      </c>
      <c r="P568" t="s">
        <v>196</v>
      </c>
      <c r="Q568" t="s">
        <v>109</v>
      </c>
      <c r="R568" t="s">
        <v>21</v>
      </c>
      <c r="S568" t="s">
        <v>143</v>
      </c>
      <c r="T568" t="s">
        <v>181</v>
      </c>
      <c r="U568" t="s">
        <v>650</v>
      </c>
      <c r="V568" t="s">
        <v>151</v>
      </c>
      <c r="W568" t="s">
        <v>130</v>
      </c>
      <c r="X568" t="s">
        <v>177</v>
      </c>
      <c r="Y568" t="s">
        <v>1042</v>
      </c>
      <c r="Z568">
        <v>1</v>
      </c>
      <c r="AA568" t="s">
        <v>1104</v>
      </c>
    </row>
    <row r="569" spans="1:27">
      <c r="A569">
        <v>96</v>
      </c>
      <c r="B569" s="139">
        <v>46178.521435185183</v>
      </c>
      <c r="C569" s="139">
        <v>46178.524097222216</v>
      </c>
      <c r="D569" t="s">
        <v>413</v>
      </c>
      <c r="E569" t="s">
        <v>414</v>
      </c>
      <c r="F569" t="s">
        <v>415</v>
      </c>
      <c r="G569" t="s">
        <v>416</v>
      </c>
      <c r="H569" s="139">
        <v>46168</v>
      </c>
      <c r="I569" t="s">
        <v>136</v>
      </c>
      <c r="J569" t="s">
        <v>161</v>
      </c>
      <c r="M569" t="s">
        <v>621</v>
      </c>
      <c r="N569" t="s">
        <v>646</v>
      </c>
      <c r="O569" t="s">
        <v>195</v>
      </c>
      <c r="P569" t="s">
        <v>196</v>
      </c>
      <c r="Q569" t="s">
        <v>109</v>
      </c>
      <c r="R569" t="s">
        <v>21</v>
      </c>
      <c r="S569" t="s">
        <v>143</v>
      </c>
      <c r="T569" t="s">
        <v>181</v>
      </c>
      <c r="U569" t="s">
        <v>650</v>
      </c>
      <c r="V569" t="s">
        <v>151</v>
      </c>
      <c r="W569" t="s">
        <v>130</v>
      </c>
      <c r="X569" t="s">
        <v>177</v>
      </c>
      <c r="Y569" t="s">
        <v>1042</v>
      </c>
      <c r="Z569">
        <v>2</v>
      </c>
      <c r="AA569" t="s">
        <v>1107</v>
      </c>
    </row>
    <row r="570" spans="1:27">
      <c r="A570">
        <v>96</v>
      </c>
      <c r="B570" s="139">
        <v>46178.521435185183</v>
      </c>
      <c r="C570" s="139">
        <v>46178.524097222216</v>
      </c>
      <c r="D570" t="s">
        <v>413</v>
      </c>
      <c r="E570" t="s">
        <v>414</v>
      </c>
      <c r="F570" t="s">
        <v>415</v>
      </c>
      <c r="G570" t="s">
        <v>416</v>
      </c>
      <c r="H570" s="139">
        <v>46168</v>
      </c>
      <c r="I570" t="s">
        <v>136</v>
      </c>
      <c r="J570" t="s">
        <v>161</v>
      </c>
      <c r="M570" t="s">
        <v>621</v>
      </c>
      <c r="N570" t="s">
        <v>646</v>
      </c>
      <c r="O570" t="s">
        <v>195</v>
      </c>
      <c r="P570" t="s">
        <v>196</v>
      </c>
      <c r="Q570" t="s">
        <v>109</v>
      </c>
      <c r="R570" t="s">
        <v>21</v>
      </c>
      <c r="S570" t="s">
        <v>143</v>
      </c>
      <c r="T570" t="s">
        <v>181</v>
      </c>
      <c r="U570" t="s">
        <v>650</v>
      </c>
      <c r="V570" t="s">
        <v>151</v>
      </c>
      <c r="W570" t="s">
        <v>130</v>
      </c>
      <c r="X570" t="s">
        <v>177</v>
      </c>
      <c r="Y570" t="s">
        <v>1044</v>
      </c>
      <c r="Z570">
        <v>1</v>
      </c>
      <c r="AA570" t="s">
        <v>1279</v>
      </c>
    </row>
    <row r="571" spans="1:27">
      <c r="A571">
        <v>97</v>
      </c>
      <c r="B571" s="139">
        <v>46178.524143518523</v>
      </c>
      <c r="C571" s="139">
        <v>46178.525381944448</v>
      </c>
      <c r="D571" t="s">
        <v>413</v>
      </c>
      <c r="E571" t="s">
        <v>414</v>
      </c>
      <c r="F571" t="s">
        <v>415</v>
      </c>
      <c r="G571" t="s">
        <v>416</v>
      </c>
      <c r="H571" s="139">
        <v>46168</v>
      </c>
      <c r="I571" t="s">
        <v>136</v>
      </c>
      <c r="J571" t="s">
        <v>161</v>
      </c>
      <c r="M571" t="s">
        <v>621</v>
      </c>
      <c r="N571" t="s">
        <v>646</v>
      </c>
      <c r="O571" t="s">
        <v>195</v>
      </c>
      <c r="P571" t="s">
        <v>196</v>
      </c>
      <c r="Q571" t="s">
        <v>109</v>
      </c>
      <c r="R571" t="s">
        <v>21</v>
      </c>
      <c r="S571" t="s">
        <v>143</v>
      </c>
      <c r="T571" t="s">
        <v>181</v>
      </c>
      <c r="U571" t="s">
        <v>653</v>
      </c>
      <c r="V571" t="s">
        <v>151</v>
      </c>
      <c r="W571" t="s">
        <v>130</v>
      </c>
      <c r="X571" t="s">
        <v>177</v>
      </c>
      <c r="Y571" t="s">
        <v>1040</v>
      </c>
      <c r="Z571">
        <v>1</v>
      </c>
      <c r="AA571" t="s">
        <v>650</v>
      </c>
    </row>
    <row r="572" spans="1:27">
      <c r="A572">
        <v>97</v>
      </c>
      <c r="B572" s="139">
        <v>46178.524143518523</v>
      </c>
      <c r="C572" s="139">
        <v>46178.525381944448</v>
      </c>
      <c r="D572" t="s">
        <v>413</v>
      </c>
      <c r="E572" t="s">
        <v>414</v>
      </c>
      <c r="F572" t="s">
        <v>415</v>
      </c>
      <c r="G572" t="s">
        <v>416</v>
      </c>
      <c r="H572" s="139">
        <v>46168</v>
      </c>
      <c r="I572" t="s">
        <v>136</v>
      </c>
      <c r="J572" t="s">
        <v>161</v>
      </c>
      <c r="M572" t="s">
        <v>621</v>
      </c>
      <c r="N572" t="s">
        <v>646</v>
      </c>
      <c r="O572" t="s">
        <v>195</v>
      </c>
      <c r="P572" t="s">
        <v>196</v>
      </c>
      <c r="Q572" t="s">
        <v>109</v>
      </c>
      <c r="R572" t="s">
        <v>21</v>
      </c>
      <c r="S572" t="s">
        <v>143</v>
      </c>
      <c r="T572" t="s">
        <v>181</v>
      </c>
      <c r="U572" t="s">
        <v>653</v>
      </c>
      <c r="V572" t="s">
        <v>151</v>
      </c>
      <c r="W572" t="s">
        <v>130</v>
      </c>
      <c r="X572" t="s">
        <v>177</v>
      </c>
      <c r="Y572" t="s">
        <v>1042</v>
      </c>
      <c r="Z572">
        <v>1</v>
      </c>
      <c r="AA572" t="s">
        <v>1107</v>
      </c>
    </row>
    <row r="573" spans="1:27">
      <c r="A573">
        <v>97</v>
      </c>
      <c r="B573" s="139">
        <v>46178.524143518523</v>
      </c>
      <c r="C573" s="139">
        <v>46178.525381944448</v>
      </c>
      <c r="D573" t="s">
        <v>413</v>
      </c>
      <c r="E573" t="s">
        <v>414</v>
      </c>
      <c r="F573" t="s">
        <v>415</v>
      </c>
      <c r="G573" t="s">
        <v>416</v>
      </c>
      <c r="H573" s="139">
        <v>46168</v>
      </c>
      <c r="I573" t="s">
        <v>136</v>
      </c>
      <c r="J573" t="s">
        <v>161</v>
      </c>
      <c r="M573" t="s">
        <v>621</v>
      </c>
      <c r="N573" t="s">
        <v>646</v>
      </c>
      <c r="O573" t="s">
        <v>195</v>
      </c>
      <c r="P573" t="s">
        <v>196</v>
      </c>
      <c r="Q573" t="s">
        <v>109</v>
      </c>
      <c r="R573" t="s">
        <v>21</v>
      </c>
      <c r="S573" t="s">
        <v>143</v>
      </c>
      <c r="T573" t="s">
        <v>181</v>
      </c>
      <c r="U573" t="s">
        <v>653</v>
      </c>
      <c r="V573" t="s">
        <v>151</v>
      </c>
      <c r="W573" t="s">
        <v>130</v>
      </c>
      <c r="X573" t="s">
        <v>177</v>
      </c>
      <c r="Y573" t="s">
        <v>1042</v>
      </c>
      <c r="Z573">
        <v>2</v>
      </c>
      <c r="AA573" t="s">
        <v>1104</v>
      </c>
    </row>
    <row r="574" spans="1:27">
      <c r="A574">
        <v>97</v>
      </c>
      <c r="B574" s="139">
        <v>46178.524143518523</v>
      </c>
      <c r="C574" s="139">
        <v>46178.525381944448</v>
      </c>
      <c r="D574" t="s">
        <v>413</v>
      </c>
      <c r="E574" t="s">
        <v>414</v>
      </c>
      <c r="F574" t="s">
        <v>415</v>
      </c>
      <c r="G574" t="s">
        <v>416</v>
      </c>
      <c r="H574" s="139">
        <v>46168</v>
      </c>
      <c r="I574" t="s">
        <v>136</v>
      </c>
      <c r="J574" t="s">
        <v>161</v>
      </c>
      <c r="M574" t="s">
        <v>621</v>
      </c>
      <c r="N574" t="s">
        <v>646</v>
      </c>
      <c r="O574" t="s">
        <v>195</v>
      </c>
      <c r="P574" t="s">
        <v>196</v>
      </c>
      <c r="Q574" t="s">
        <v>109</v>
      </c>
      <c r="R574" t="s">
        <v>21</v>
      </c>
      <c r="S574" t="s">
        <v>143</v>
      </c>
      <c r="T574" t="s">
        <v>181</v>
      </c>
      <c r="U574" t="s">
        <v>653</v>
      </c>
      <c r="V574" t="s">
        <v>151</v>
      </c>
      <c r="W574" t="s">
        <v>130</v>
      </c>
      <c r="X574" t="s">
        <v>177</v>
      </c>
      <c r="Y574" t="s">
        <v>1044</v>
      </c>
      <c r="Z574">
        <v>1</v>
      </c>
      <c r="AA574" t="s">
        <v>1109</v>
      </c>
    </row>
    <row r="575" spans="1:27">
      <c r="A575">
        <v>97</v>
      </c>
      <c r="B575" s="139">
        <v>46178.524143518523</v>
      </c>
      <c r="C575" s="139">
        <v>46178.525381944448</v>
      </c>
      <c r="D575" t="s">
        <v>413</v>
      </c>
      <c r="E575" t="s">
        <v>414</v>
      </c>
      <c r="F575" t="s">
        <v>415</v>
      </c>
      <c r="G575" t="s">
        <v>416</v>
      </c>
      <c r="H575" s="139">
        <v>46168</v>
      </c>
      <c r="I575" t="s">
        <v>136</v>
      </c>
      <c r="J575" t="s">
        <v>161</v>
      </c>
      <c r="M575" t="s">
        <v>621</v>
      </c>
      <c r="N575" t="s">
        <v>646</v>
      </c>
      <c r="O575" t="s">
        <v>195</v>
      </c>
      <c r="P575" t="s">
        <v>196</v>
      </c>
      <c r="Q575" t="s">
        <v>109</v>
      </c>
      <c r="R575" t="s">
        <v>21</v>
      </c>
      <c r="S575" t="s">
        <v>143</v>
      </c>
      <c r="T575" t="s">
        <v>181</v>
      </c>
      <c r="U575" t="s">
        <v>653</v>
      </c>
      <c r="V575" t="s">
        <v>151</v>
      </c>
      <c r="W575" t="s">
        <v>130</v>
      </c>
      <c r="X575" t="s">
        <v>177</v>
      </c>
      <c r="Y575" t="s">
        <v>1044</v>
      </c>
      <c r="Z575">
        <v>2</v>
      </c>
      <c r="AA575" t="s">
        <v>650</v>
      </c>
    </row>
    <row r="576" spans="1:27">
      <c r="A576">
        <v>116</v>
      </c>
      <c r="B576" s="139">
        <v>46178.696342592593</v>
      </c>
      <c r="C576" s="139">
        <v>46178.698460648149</v>
      </c>
      <c r="D576" t="s">
        <v>351</v>
      </c>
      <c r="E576" t="s">
        <v>352</v>
      </c>
      <c r="F576" t="s">
        <v>718</v>
      </c>
      <c r="G576" t="s">
        <v>354</v>
      </c>
      <c r="H576" s="139">
        <v>46168</v>
      </c>
      <c r="I576" t="s">
        <v>136</v>
      </c>
      <c r="J576" t="s">
        <v>161</v>
      </c>
      <c r="M576" t="s">
        <v>366</v>
      </c>
      <c r="N576" t="s">
        <v>719</v>
      </c>
      <c r="O576" t="s">
        <v>107</v>
      </c>
      <c r="P576" t="s">
        <v>108</v>
      </c>
      <c r="Q576" t="s">
        <v>109</v>
      </c>
      <c r="R576" t="s">
        <v>21</v>
      </c>
      <c r="S576" t="s">
        <v>149</v>
      </c>
      <c r="T576" t="s">
        <v>181</v>
      </c>
      <c r="U576" t="s">
        <v>723</v>
      </c>
      <c r="V576" t="s">
        <v>116</v>
      </c>
      <c r="W576" t="s">
        <v>130</v>
      </c>
      <c r="X576" t="s">
        <v>177</v>
      </c>
      <c r="Y576" t="s">
        <v>1040</v>
      </c>
      <c r="Z576">
        <v>1</v>
      </c>
      <c r="AA576" t="s">
        <v>1201</v>
      </c>
    </row>
    <row r="577" spans="1:27">
      <c r="A577">
        <v>116</v>
      </c>
      <c r="B577" s="139">
        <v>46178.696342592593</v>
      </c>
      <c r="C577" s="139">
        <v>46178.698460648149</v>
      </c>
      <c r="D577" t="s">
        <v>351</v>
      </c>
      <c r="E577" t="s">
        <v>352</v>
      </c>
      <c r="F577" t="s">
        <v>718</v>
      </c>
      <c r="G577" t="s">
        <v>354</v>
      </c>
      <c r="H577" s="139">
        <v>46168</v>
      </c>
      <c r="I577" t="s">
        <v>136</v>
      </c>
      <c r="J577" t="s">
        <v>161</v>
      </c>
      <c r="M577" t="s">
        <v>366</v>
      </c>
      <c r="N577" t="s">
        <v>719</v>
      </c>
      <c r="O577" t="s">
        <v>107</v>
      </c>
      <c r="P577" t="s">
        <v>108</v>
      </c>
      <c r="Q577" t="s">
        <v>109</v>
      </c>
      <c r="R577" t="s">
        <v>21</v>
      </c>
      <c r="S577" t="s">
        <v>149</v>
      </c>
      <c r="T577" t="s">
        <v>181</v>
      </c>
      <c r="U577" t="s">
        <v>723</v>
      </c>
      <c r="V577" t="s">
        <v>116</v>
      </c>
      <c r="W577" t="s">
        <v>130</v>
      </c>
      <c r="X577" t="s">
        <v>177</v>
      </c>
      <c r="Y577" t="s">
        <v>1040</v>
      </c>
      <c r="Z577">
        <v>2</v>
      </c>
      <c r="AA577" t="s">
        <v>1100</v>
      </c>
    </row>
    <row r="578" spans="1:27">
      <c r="A578">
        <v>116</v>
      </c>
      <c r="B578" s="139">
        <v>46178.696342592593</v>
      </c>
      <c r="C578" s="139">
        <v>46178.698460648149</v>
      </c>
      <c r="D578" t="s">
        <v>351</v>
      </c>
      <c r="E578" t="s">
        <v>352</v>
      </c>
      <c r="F578" t="s">
        <v>718</v>
      </c>
      <c r="G578" t="s">
        <v>354</v>
      </c>
      <c r="H578" s="139">
        <v>46168</v>
      </c>
      <c r="I578" t="s">
        <v>136</v>
      </c>
      <c r="J578" t="s">
        <v>161</v>
      </c>
      <c r="M578" t="s">
        <v>366</v>
      </c>
      <c r="N578" t="s">
        <v>719</v>
      </c>
      <c r="O578" t="s">
        <v>107</v>
      </c>
      <c r="P578" t="s">
        <v>108</v>
      </c>
      <c r="Q578" t="s">
        <v>109</v>
      </c>
      <c r="R578" t="s">
        <v>21</v>
      </c>
      <c r="S578" t="s">
        <v>149</v>
      </c>
      <c r="T578" t="s">
        <v>181</v>
      </c>
      <c r="U578" t="s">
        <v>723</v>
      </c>
      <c r="V578" t="s">
        <v>116</v>
      </c>
      <c r="W578" t="s">
        <v>130</v>
      </c>
      <c r="X578" t="s">
        <v>177</v>
      </c>
      <c r="Y578" t="s">
        <v>1042</v>
      </c>
      <c r="Z578">
        <v>1</v>
      </c>
      <c r="AA578" t="s">
        <v>1104</v>
      </c>
    </row>
    <row r="579" spans="1:27">
      <c r="A579">
        <v>116</v>
      </c>
      <c r="B579" s="139">
        <v>46178.696342592593</v>
      </c>
      <c r="C579" s="139">
        <v>46178.698460648149</v>
      </c>
      <c r="D579" t="s">
        <v>351</v>
      </c>
      <c r="E579" t="s">
        <v>352</v>
      </c>
      <c r="F579" t="s">
        <v>718</v>
      </c>
      <c r="G579" t="s">
        <v>354</v>
      </c>
      <c r="H579" s="139">
        <v>46168</v>
      </c>
      <c r="I579" t="s">
        <v>136</v>
      </c>
      <c r="J579" t="s">
        <v>161</v>
      </c>
      <c r="M579" t="s">
        <v>366</v>
      </c>
      <c r="N579" t="s">
        <v>719</v>
      </c>
      <c r="O579" t="s">
        <v>107</v>
      </c>
      <c r="P579" t="s">
        <v>108</v>
      </c>
      <c r="Q579" t="s">
        <v>109</v>
      </c>
      <c r="R579" t="s">
        <v>21</v>
      </c>
      <c r="S579" t="s">
        <v>149</v>
      </c>
      <c r="T579" t="s">
        <v>181</v>
      </c>
      <c r="U579" t="s">
        <v>723</v>
      </c>
      <c r="V579" t="s">
        <v>116</v>
      </c>
      <c r="W579" t="s">
        <v>130</v>
      </c>
      <c r="X579" t="s">
        <v>177</v>
      </c>
      <c r="Y579" t="s">
        <v>1042</v>
      </c>
      <c r="Z579">
        <v>2</v>
      </c>
      <c r="AA579" t="s">
        <v>1173</v>
      </c>
    </row>
    <row r="580" spans="1:27">
      <c r="A580">
        <v>116</v>
      </c>
      <c r="B580" s="139">
        <v>46178.696342592593</v>
      </c>
      <c r="C580" s="139">
        <v>46178.698460648149</v>
      </c>
      <c r="D580" t="s">
        <v>351</v>
      </c>
      <c r="E580" t="s">
        <v>352</v>
      </c>
      <c r="F580" t="s">
        <v>718</v>
      </c>
      <c r="G580" t="s">
        <v>354</v>
      </c>
      <c r="H580" s="139">
        <v>46168</v>
      </c>
      <c r="I580" t="s">
        <v>136</v>
      </c>
      <c r="J580" t="s">
        <v>161</v>
      </c>
      <c r="M580" t="s">
        <v>366</v>
      </c>
      <c r="N580" t="s">
        <v>719</v>
      </c>
      <c r="O580" t="s">
        <v>107</v>
      </c>
      <c r="P580" t="s">
        <v>108</v>
      </c>
      <c r="Q580" t="s">
        <v>109</v>
      </c>
      <c r="R580" t="s">
        <v>21</v>
      </c>
      <c r="S580" t="s">
        <v>149</v>
      </c>
      <c r="T580" t="s">
        <v>181</v>
      </c>
      <c r="U580" t="s">
        <v>723</v>
      </c>
      <c r="V580" t="s">
        <v>116</v>
      </c>
      <c r="W580" t="s">
        <v>130</v>
      </c>
      <c r="X580" t="s">
        <v>177</v>
      </c>
      <c r="Y580" t="s">
        <v>1042</v>
      </c>
      <c r="Z580">
        <v>3</v>
      </c>
      <c r="AA580" t="s">
        <v>1107</v>
      </c>
    </row>
    <row r="581" spans="1:27">
      <c r="A581">
        <v>116</v>
      </c>
      <c r="B581" s="139">
        <v>46178.696342592593</v>
      </c>
      <c r="C581" s="139">
        <v>46178.698460648149</v>
      </c>
      <c r="D581" t="s">
        <v>351</v>
      </c>
      <c r="E581" t="s">
        <v>352</v>
      </c>
      <c r="F581" t="s">
        <v>718</v>
      </c>
      <c r="G581" t="s">
        <v>354</v>
      </c>
      <c r="H581" s="139">
        <v>46168</v>
      </c>
      <c r="I581" t="s">
        <v>136</v>
      </c>
      <c r="J581" t="s">
        <v>161</v>
      </c>
      <c r="M581" t="s">
        <v>366</v>
      </c>
      <c r="N581" t="s">
        <v>719</v>
      </c>
      <c r="O581" t="s">
        <v>107</v>
      </c>
      <c r="P581" t="s">
        <v>108</v>
      </c>
      <c r="Q581" t="s">
        <v>109</v>
      </c>
      <c r="R581" t="s">
        <v>21</v>
      </c>
      <c r="S581" t="s">
        <v>149</v>
      </c>
      <c r="T581" t="s">
        <v>181</v>
      </c>
      <c r="U581" t="s">
        <v>723</v>
      </c>
      <c r="V581" t="s">
        <v>116</v>
      </c>
      <c r="W581" t="s">
        <v>130</v>
      </c>
      <c r="X581" t="s">
        <v>177</v>
      </c>
      <c r="Y581" t="s">
        <v>1042</v>
      </c>
      <c r="Z581">
        <v>4</v>
      </c>
      <c r="AA581" t="s">
        <v>1155</v>
      </c>
    </row>
    <row r="582" spans="1:27">
      <c r="A582">
        <v>116</v>
      </c>
      <c r="B582" s="139">
        <v>46178.696342592593</v>
      </c>
      <c r="C582" s="139">
        <v>46178.698460648149</v>
      </c>
      <c r="D582" t="s">
        <v>351</v>
      </c>
      <c r="E582" t="s">
        <v>352</v>
      </c>
      <c r="F582" t="s">
        <v>718</v>
      </c>
      <c r="G582" t="s">
        <v>354</v>
      </c>
      <c r="H582" s="139">
        <v>46168</v>
      </c>
      <c r="I582" t="s">
        <v>136</v>
      </c>
      <c r="J582" t="s">
        <v>161</v>
      </c>
      <c r="M582" t="s">
        <v>366</v>
      </c>
      <c r="N582" t="s">
        <v>719</v>
      </c>
      <c r="O582" t="s">
        <v>107</v>
      </c>
      <c r="P582" t="s">
        <v>108</v>
      </c>
      <c r="Q582" t="s">
        <v>109</v>
      </c>
      <c r="R582" t="s">
        <v>21</v>
      </c>
      <c r="S582" t="s">
        <v>149</v>
      </c>
      <c r="T582" t="s">
        <v>181</v>
      </c>
      <c r="U582" t="s">
        <v>723</v>
      </c>
      <c r="V582" t="s">
        <v>116</v>
      </c>
      <c r="W582" t="s">
        <v>130</v>
      </c>
      <c r="X582" t="s">
        <v>177</v>
      </c>
      <c r="Y582" t="s">
        <v>1042</v>
      </c>
      <c r="Z582">
        <v>5</v>
      </c>
      <c r="AA582" t="s">
        <v>1106</v>
      </c>
    </row>
    <row r="583" spans="1:27">
      <c r="A583">
        <v>116</v>
      </c>
      <c r="B583" s="139">
        <v>46178.696342592593</v>
      </c>
      <c r="C583" s="139">
        <v>46178.698460648149</v>
      </c>
      <c r="D583" t="s">
        <v>351</v>
      </c>
      <c r="E583" t="s">
        <v>352</v>
      </c>
      <c r="F583" t="s">
        <v>718</v>
      </c>
      <c r="G583" t="s">
        <v>354</v>
      </c>
      <c r="H583" s="139">
        <v>46168</v>
      </c>
      <c r="I583" t="s">
        <v>136</v>
      </c>
      <c r="J583" t="s">
        <v>161</v>
      </c>
      <c r="M583" t="s">
        <v>366</v>
      </c>
      <c r="N583" t="s">
        <v>719</v>
      </c>
      <c r="O583" t="s">
        <v>107</v>
      </c>
      <c r="P583" t="s">
        <v>108</v>
      </c>
      <c r="Q583" t="s">
        <v>109</v>
      </c>
      <c r="R583" t="s">
        <v>21</v>
      </c>
      <c r="S583" t="s">
        <v>149</v>
      </c>
      <c r="T583" t="s">
        <v>181</v>
      </c>
      <c r="U583" t="s">
        <v>723</v>
      </c>
      <c r="V583" t="s">
        <v>116</v>
      </c>
      <c r="W583" t="s">
        <v>130</v>
      </c>
      <c r="X583" t="s">
        <v>177</v>
      </c>
      <c r="Y583" t="s">
        <v>1044</v>
      </c>
      <c r="Z583">
        <v>1</v>
      </c>
      <c r="AA583" t="s">
        <v>1108</v>
      </c>
    </row>
    <row r="584" spans="1:27">
      <c r="A584">
        <v>116</v>
      </c>
      <c r="B584" s="139">
        <v>46178.696342592593</v>
      </c>
      <c r="C584" s="139">
        <v>46178.698460648149</v>
      </c>
      <c r="D584" t="s">
        <v>351</v>
      </c>
      <c r="E584" t="s">
        <v>352</v>
      </c>
      <c r="F584" t="s">
        <v>718</v>
      </c>
      <c r="G584" t="s">
        <v>354</v>
      </c>
      <c r="H584" s="139">
        <v>46168</v>
      </c>
      <c r="I584" t="s">
        <v>136</v>
      </c>
      <c r="J584" t="s">
        <v>161</v>
      </c>
      <c r="M584" t="s">
        <v>366</v>
      </c>
      <c r="N584" t="s">
        <v>719</v>
      </c>
      <c r="O584" t="s">
        <v>107</v>
      </c>
      <c r="P584" t="s">
        <v>108</v>
      </c>
      <c r="Q584" t="s">
        <v>109</v>
      </c>
      <c r="R584" t="s">
        <v>21</v>
      </c>
      <c r="S584" t="s">
        <v>149</v>
      </c>
      <c r="T584" t="s">
        <v>181</v>
      </c>
      <c r="U584" t="s">
        <v>723</v>
      </c>
      <c r="V584" t="s">
        <v>116</v>
      </c>
      <c r="W584" t="s">
        <v>130</v>
      </c>
      <c r="X584" t="s">
        <v>177</v>
      </c>
      <c r="Y584" t="s">
        <v>1044</v>
      </c>
      <c r="Z584">
        <v>2</v>
      </c>
      <c r="AA584" t="s">
        <v>909</v>
      </c>
    </row>
    <row r="585" spans="1:27">
      <c r="A585">
        <v>116</v>
      </c>
      <c r="B585" s="139">
        <v>46178.696342592593</v>
      </c>
      <c r="C585" s="139">
        <v>46178.698460648149</v>
      </c>
      <c r="D585" t="s">
        <v>351</v>
      </c>
      <c r="E585" t="s">
        <v>352</v>
      </c>
      <c r="F585" t="s">
        <v>718</v>
      </c>
      <c r="G585" t="s">
        <v>354</v>
      </c>
      <c r="H585" s="139">
        <v>46168</v>
      </c>
      <c r="I585" t="s">
        <v>136</v>
      </c>
      <c r="J585" t="s">
        <v>161</v>
      </c>
      <c r="M585" t="s">
        <v>366</v>
      </c>
      <c r="N585" t="s">
        <v>719</v>
      </c>
      <c r="O585" t="s">
        <v>107</v>
      </c>
      <c r="P585" t="s">
        <v>108</v>
      </c>
      <c r="Q585" t="s">
        <v>109</v>
      </c>
      <c r="R585" t="s">
        <v>21</v>
      </c>
      <c r="S585" t="s">
        <v>149</v>
      </c>
      <c r="T585" t="s">
        <v>181</v>
      </c>
      <c r="U585" t="s">
        <v>723</v>
      </c>
      <c r="V585" t="s">
        <v>116</v>
      </c>
      <c r="W585" t="s">
        <v>130</v>
      </c>
      <c r="X585" t="s">
        <v>177</v>
      </c>
      <c r="Y585" t="s">
        <v>1044</v>
      </c>
      <c r="Z585">
        <v>3</v>
      </c>
      <c r="AA585" t="s">
        <v>1280</v>
      </c>
    </row>
    <row r="586" spans="1:27">
      <c r="A586">
        <v>116</v>
      </c>
      <c r="B586" s="139">
        <v>46178.696342592593</v>
      </c>
      <c r="C586" s="139">
        <v>46178.698460648149</v>
      </c>
      <c r="D586" t="s">
        <v>351</v>
      </c>
      <c r="E586" t="s">
        <v>352</v>
      </c>
      <c r="F586" t="s">
        <v>718</v>
      </c>
      <c r="G586" t="s">
        <v>354</v>
      </c>
      <c r="H586" s="139">
        <v>46168</v>
      </c>
      <c r="I586" t="s">
        <v>136</v>
      </c>
      <c r="J586" t="s">
        <v>161</v>
      </c>
      <c r="M586" t="s">
        <v>366</v>
      </c>
      <c r="N586" t="s">
        <v>719</v>
      </c>
      <c r="O586" t="s">
        <v>107</v>
      </c>
      <c r="P586" t="s">
        <v>108</v>
      </c>
      <c r="Q586" t="s">
        <v>109</v>
      </c>
      <c r="R586" t="s">
        <v>21</v>
      </c>
      <c r="S586" t="s">
        <v>149</v>
      </c>
      <c r="T586" t="s">
        <v>181</v>
      </c>
      <c r="U586" t="s">
        <v>723</v>
      </c>
      <c r="V586" t="s">
        <v>116</v>
      </c>
      <c r="W586" t="s">
        <v>130</v>
      </c>
      <c r="X586" t="s">
        <v>177</v>
      </c>
      <c r="Y586" t="s">
        <v>1044</v>
      </c>
      <c r="Z586">
        <v>4</v>
      </c>
      <c r="AA586" t="s">
        <v>1174</v>
      </c>
    </row>
    <row r="587" spans="1:27">
      <c r="A587">
        <v>159</v>
      </c>
      <c r="B587" s="139">
        <v>46189.45517361111</v>
      </c>
      <c r="C587" s="139">
        <v>46189.456435185188</v>
      </c>
      <c r="D587" t="s">
        <v>887</v>
      </c>
      <c r="E587" t="s">
        <v>888</v>
      </c>
      <c r="F587" t="s">
        <v>889</v>
      </c>
      <c r="G587" t="s">
        <v>890</v>
      </c>
      <c r="H587" s="139">
        <v>46168</v>
      </c>
      <c r="I587" t="s">
        <v>498</v>
      </c>
      <c r="J587" t="s">
        <v>161</v>
      </c>
      <c r="M587" t="s">
        <v>892</v>
      </c>
      <c r="O587" t="s">
        <v>436</v>
      </c>
      <c r="P587" t="s">
        <v>108</v>
      </c>
      <c r="Q587" t="s">
        <v>109</v>
      </c>
      <c r="R587" t="s">
        <v>23</v>
      </c>
      <c r="S587" t="s">
        <v>149</v>
      </c>
      <c r="T587" t="s">
        <v>144</v>
      </c>
      <c r="V587" t="s">
        <v>151</v>
      </c>
      <c r="W587" t="s">
        <v>130</v>
      </c>
      <c r="X587" t="s">
        <v>252</v>
      </c>
      <c r="Y587" t="s">
        <v>1039</v>
      </c>
      <c r="Z587">
        <v>1</v>
      </c>
      <c r="AA587" t="s">
        <v>1281</v>
      </c>
    </row>
    <row r="588" spans="1:27">
      <c r="A588">
        <v>160</v>
      </c>
      <c r="B588" s="139">
        <v>46189.458032407398</v>
      </c>
      <c r="C588" s="139">
        <v>46189.460729166669</v>
      </c>
      <c r="D588" t="s">
        <v>887</v>
      </c>
      <c r="E588" t="s">
        <v>888</v>
      </c>
      <c r="F588" t="s">
        <v>889</v>
      </c>
      <c r="G588" t="s">
        <v>890</v>
      </c>
      <c r="H588" s="139">
        <v>46168</v>
      </c>
      <c r="I588" t="s">
        <v>498</v>
      </c>
      <c r="J588" t="s">
        <v>161</v>
      </c>
      <c r="M588" t="s">
        <v>901</v>
      </c>
      <c r="O588" t="s">
        <v>900</v>
      </c>
      <c r="P588" t="s">
        <v>108</v>
      </c>
      <c r="Q588" t="s">
        <v>109</v>
      </c>
      <c r="R588" t="s">
        <v>24</v>
      </c>
      <c r="S588" t="s">
        <v>143</v>
      </c>
      <c r="T588" t="s">
        <v>144</v>
      </c>
      <c r="U588" t="s">
        <v>904</v>
      </c>
      <c r="V588" t="s">
        <v>151</v>
      </c>
      <c r="W588" t="s">
        <v>130</v>
      </c>
      <c r="X588" t="s">
        <v>190</v>
      </c>
      <c r="Y588" t="s">
        <v>1040</v>
      </c>
      <c r="Z588">
        <v>1</v>
      </c>
      <c r="AA588" t="s">
        <v>1282</v>
      </c>
    </row>
    <row r="589" spans="1:27">
      <c r="A589">
        <v>160</v>
      </c>
      <c r="B589" s="139">
        <v>46189.458032407398</v>
      </c>
      <c r="C589" s="139">
        <v>46189.460729166669</v>
      </c>
      <c r="D589" t="s">
        <v>887</v>
      </c>
      <c r="E589" t="s">
        <v>888</v>
      </c>
      <c r="F589" t="s">
        <v>889</v>
      </c>
      <c r="G589" t="s">
        <v>890</v>
      </c>
      <c r="H589" s="139">
        <v>46168</v>
      </c>
      <c r="I589" t="s">
        <v>498</v>
      </c>
      <c r="J589" t="s">
        <v>161</v>
      </c>
      <c r="M589" t="s">
        <v>901</v>
      </c>
      <c r="O589" t="s">
        <v>900</v>
      </c>
      <c r="P589" t="s">
        <v>108</v>
      </c>
      <c r="Q589" t="s">
        <v>109</v>
      </c>
      <c r="R589" t="s">
        <v>24</v>
      </c>
      <c r="S589" t="s">
        <v>143</v>
      </c>
      <c r="T589" t="s">
        <v>144</v>
      </c>
      <c r="U589" t="s">
        <v>904</v>
      </c>
      <c r="V589" t="s">
        <v>151</v>
      </c>
      <c r="W589" t="s">
        <v>130</v>
      </c>
      <c r="X589" t="s">
        <v>190</v>
      </c>
      <c r="Y589" t="s">
        <v>1042</v>
      </c>
      <c r="Z589">
        <v>1</v>
      </c>
      <c r="AA589" t="s">
        <v>1217</v>
      </c>
    </row>
    <row r="590" spans="1:27">
      <c r="A590">
        <v>160</v>
      </c>
      <c r="B590" s="139">
        <v>46189.458032407398</v>
      </c>
      <c r="C590" s="139">
        <v>46189.460729166669</v>
      </c>
      <c r="D590" t="s">
        <v>887</v>
      </c>
      <c r="E590" t="s">
        <v>888</v>
      </c>
      <c r="F590" t="s">
        <v>889</v>
      </c>
      <c r="G590" t="s">
        <v>890</v>
      </c>
      <c r="H590" s="139">
        <v>46168</v>
      </c>
      <c r="I590" t="s">
        <v>498</v>
      </c>
      <c r="J590" t="s">
        <v>161</v>
      </c>
      <c r="M590" t="s">
        <v>901</v>
      </c>
      <c r="O590" t="s">
        <v>900</v>
      </c>
      <c r="P590" t="s">
        <v>108</v>
      </c>
      <c r="Q590" t="s">
        <v>109</v>
      </c>
      <c r="R590" t="s">
        <v>24</v>
      </c>
      <c r="S590" t="s">
        <v>143</v>
      </c>
      <c r="T590" t="s">
        <v>144</v>
      </c>
      <c r="U590" t="s">
        <v>904</v>
      </c>
      <c r="V590" t="s">
        <v>151</v>
      </c>
      <c r="W590" t="s">
        <v>130</v>
      </c>
      <c r="X590" t="s">
        <v>190</v>
      </c>
      <c r="Y590" t="s">
        <v>1044</v>
      </c>
      <c r="Z590">
        <v>1</v>
      </c>
      <c r="AA590" t="s">
        <v>1283</v>
      </c>
    </row>
    <row r="591" spans="1:27">
      <c r="A591">
        <v>124</v>
      </c>
      <c r="B591" s="139">
        <v>46178.843541666669</v>
      </c>
      <c r="C591" s="139">
        <v>46178.844849537039</v>
      </c>
      <c r="D591" t="s">
        <v>270</v>
      </c>
      <c r="E591" t="s">
        <v>271</v>
      </c>
      <c r="F591" t="s">
        <v>272</v>
      </c>
      <c r="G591" t="s">
        <v>273</v>
      </c>
      <c r="H591" s="139">
        <v>46169</v>
      </c>
      <c r="I591" t="s">
        <v>136</v>
      </c>
      <c r="J591" t="s">
        <v>161</v>
      </c>
      <c r="M591" t="s">
        <v>376</v>
      </c>
      <c r="N591" t="s">
        <v>749</v>
      </c>
      <c r="O591" t="s">
        <v>122</v>
      </c>
      <c r="P591" t="s">
        <v>108</v>
      </c>
      <c r="Q591" t="s">
        <v>299</v>
      </c>
      <c r="R591" t="s">
        <v>24</v>
      </c>
      <c r="S591" t="s">
        <v>149</v>
      </c>
      <c r="T591" t="s">
        <v>181</v>
      </c>
      <c r="V591" t="s">
        <v>129</v>
      </c>
      <c r="W591" t="s">
        <v>130</v>
      </c>
      <c r="X591" t="s">
        <v>419</v>
      </c>
      <c r="Y591" t="s">
        <v>1040</v>
      </c>
      <c r="Z591">
        <v>1</v>
      </c>
      <c r="AA591" t="s">
        <v>1284</v>
      </c>
    </row>
    <row r="592" spans="1:27">
      <c r="A592">
        <v>124</v>
      </c>
      <c r="B592" s="139">
        <v>46178.843541666669</v>
      </c>
      <c r="C592" s="139">
        <v>46178.844849537039</v>
      </c>
      <c r="D592" t="s">
        <v>270</v>
      </c>
      <c r="E592" t="s">
        <v>271</v>
      </c>
      <c r="F592" t="s">
        <v>272</v>
      </c>
      <c r="G592" t="s">
        <v>273</v>
      </c>
      <c r="H592" s="139">
        <v>46169</v>
      </c>
      <c r="I592" t="s">
        <v>136</v>
      </c>
      <c r="J592" t="s">
        <v>161</v>
      </c>
      <c r="M592" t="s">
        <v>376</v>
      </c>
      <c r="N592" t="s">
        <v>749</v>
      </c>
      <c r="O592" t="s">
        <v>122</v>
      </c>
      <c r="P592" t="s">
        <v>108</v>
      </c>
      <c r="Q592" t="s">
        <v>299</v>
      </c>
      <c r="R592" t="s">
        <v>24</v>
      </c>
      <c r="S592" t="s">
        <v>149</v>
      </c>
      <c r="T592" t="s">
        <v>181</v>
      </c>
      <c r="V592" t="s">
        <v>129</v>
      </c>
      <c r="W592" t="s">
        <v>130</v>
      </c>
      <c r="X592" t="s">
        <v>419</v>
      </c>
      <c r="Y592" t="s">
        <v>1042</v>
      </c>
      <c r="Z592">
        <v>1</v>
      </c>
      <c r="AA592" t="s">
        <v>1285</v>
      </c>
    </row>
    <row r="593" spans="1:27">
      <c r="A593">
        <v>124</v>
      </c>
      <c r="B593" s="139">
        <v>46178.843541666669</v>
      </c>
      <c r="C593" s="139">
        <v>46178.844849537039</v>
      </c>
      <c r="D593" t="s">
        <v>270</v>
      </c>
      <c r="E593" t="s">
        <v>271</v>
      </c>
      <c r="F593" t="s">
        <v>272</v>
      </c>
      <c r="G593" t="s">
        <v>273</v>
      </c>
      <c r="H593" s="139">
        <v>46169</v>
      </c>
      <c r="I593" t="s">
        <v>136</v>
      </c>
      <c r="J593" t="s">
        <v>161</v>
      </c>
      <c r="M593" t="s">
        <v>376</v>
      </c>
      <c r="N593" t="s">
        <v>749</v>
      </c>
      <c r="O593" t="s">
        <v>122</v>
      </c>
      <c r="P593" t="s">
        <v>108</v>
      </c>
      <c r="Q593" t="s">
        <v>299</v>
      </c>
      <c r="R593" t="s">
        <v>24</v>
      </c>
      <c r="S593" t="s">
        <v>149</v>
      </c>
      <c r="T593" t="s">
        <v>181</v>
      </c>
      <c r="V593" t="s">
        <v>129</v>
      </c>
      <c r="W593" t="s">
        <v>130</v>
      </c>
      <c r="X593" t="s">
        <v>419</v>
      </c>
      <c r="Y593" t="s">
        <v>1042</v>
      </c>
      <c r="Z593">
        <v>2</v>
      </c>
      <c r="AA593" t="s">
        <v>1182</v>
      </c>
    </row>
    <row r="594" spans="1:27">
      <c r="A594">
        <v>124</v>
      </c>
      <c r="B594" s="139">
        <v>46178.843541666669</v>
      </c>
      <c r="C594" s="139">
        <v>46178.844849537039</v>
      </c>
      <c r="D594" t="s">
        <v>270</v>
      </c>
      <c r="E594" t="s">
        <v>271</v>
      </c>
      <c r="F594" t="s">
        <v>272</v>
      </c>
      <c r="G594" t="s">
        <v>273</v>
      </c>
      <c r="H594" s="139">
        <v>46169</v>
      </c>
      <c r="I594" t="s">
        <v>136</v>
      </c>
      <c r="J594" t="s">
        <v>161</v>
      </c>
      <c r="M594" t="s">
        <v>376</v>
      </c>
      <c r="N594" t="s">
        <v>749</v>
      </c>
      <c r="O594" t="s">
        <v>122</v>
      </c>
      <c r="P594" t="s">
        <v>108</v>
      </c>
      <c r="Q594" t="s">
        <v>299</v>
      </c>
      <c r="R594" t="s">
        <v>24</v>
      </c>
      <c r="S594" t="s">
        <v>149</v>
      </c>
      <c r="T594" t="s">
        <v>181</v>
      </c>
      <c r="V594" t="s">
        <v>129</v>
      </c>
      <c r="W594" t="s">
        <v>130</v>
      </c>
      <c r="X594" t="s">
        <v>419</v>
      </c>
      <c r="Y594" t="s">
        <v>1042</v>
      </c>
      <c r="Z594">
        <v>3</v>
      </c>
      <c r="AA594" t="s">
        <v>1286</v>
      </c>
    </row>
    <row r="595" spans="1:27">
      <c r="A595">
        <v>124</v>
      </c>
      <c r="B595" s="139">
        <v>46178.843541666669</v>
      </c>
      <c r="C595" s="139">
        <v>46178.844849537039</v>
      </c>
      <c r="D595" t="s">
        <v>270</v>
      </c>
      <c r="E595" t="s">
        <v>271</v>
      </c>
      <c r="F595" t="s">
        <v>272</v>
      </c>
      <c r="G595" t="s">
        <v>273</v>
      </c>
      <c r="H595" s="139">
        <v>46169</v>
      </c>
      <c r="I595" t="s">
        <v>136</v>
      </c>
      <c r="J595" t="s">
        <v>161</v>
      </c>
      <c r="M595" t="s">
        <v>376</v>
      </c>
      <c r="N595" t="s">
        <v>749</v>
      </c>
      <c r="O595" t="s">
        <v>122</v>
      </c>
      <c r="P595" t="s">
        <v>108</v>
      </c>
      <c r="Q595" t="s">
        <v>299</v>
      </c>
      <c r="R595" t="s">
        <v>24</v>
      </c>
      <c r="S595" t="s">
        <v>149</v>
      </c>
      <c r="T595" t="s">
        <v>181</v>
      </c>
      <c r="V595" t="s">
        <v>129</v>
      </c>
      <c r="W595" t="s">
        <v>130</v>
      </c>
      <c r="X595" t="s">
        <v>419</v>
      </c>
      <c r="Y595" t="s">
        <v>1042</v>
      </c>
      <c r="Z595">
        <v>4</v>
      </c>
      <c r="AA595" t="s">
        <v>1287</v>
      </c>
    </row>
    <row r="596" spans="1:27">
      <c r="A596">
        <v>124</v>
      </c>
      <c r="B596" s="139">
        <v>46178.843541666669</v>
      </c>
      <c r="C596" s="139">
        <v>46178.844849537039</v>
      </c>
      <c r="D596" t="s">
        <v>270</v>
      </c>
      <c r="E596" t="s">
        <v>271</v>
      </c>
      <c r="F596" t="s">
        <v>272</v>
      </c>
      <c r="G596" t="s">
        <v>273</v>
      </c>
      <c r="H596" s="139">
        <v>46169</v>
      </c>
      <c r="I596" t="s">
        <v>136</v>
      </c>
      <c r="J596" t="s">
        <v>161</v>
      </c>
      <c r="M596" t="s">
        <v>376</v>
      </c>
      <c r="N596" t="s">
        <v>749</v>
      </c>
      <c r="O596" t="s">
        <v>122</v>
      </c>
      <c r="P596" t="s">
        <v>108</v>
      </c>
      <c r="Q596" t="s">
        <v>299</v>
      </c>
      <c r="R596" t="s">
        <v>24</v>
      </c>
      <c r="S596" t="s">
        <v>149</v>
      </c>
      <c r="T596" t="s">
        <v>181</v>
      </c>
      <c r="V596" t="s">
        <v>129</v>
      </c>
      <c r="W596" t="s">
        <v>130</v>
      </c>
      <c r="X596" t="s">
        <v>419</v>
      </c>
      <c r="Y596" t="s">
        <v>1044</v>
      </c>
      <c r="Z596">
        <v>1</v>
      </c>
      <c r="AA596" t="s">
        <v>1288</v>
      </c>
    </row>
    <row r="597" spans="1:27">
      <c r="A597">
        <v>126</v>
      </c>
      <c r="B597" s="139">
        <v>46178.849652777782</v>
      </c>
      <c r="C597" s="139">
        <v>46178.850543981483</v>
      </c>
      <c r="D597" t="s">
        <v>270</v>
      </c>
      <c r="E597" t="s">
        <v>271</v>
      </c>
      <c r="F597" t="s">
        <v>271</v>
      </c>
      <c r="G597" t="s">
        <v>273</v>
      </c>
      <c r="H597" s="139">
        <v>46169</v>
      </c>
      <c r="I597" t="s">
        <v>136</v>
      </c>
      <c r="J597" t="s">
        <v>161</v>
      </c>
      <c r="M597" t="s">
        <v>376</v>
      </c>
      <c r="N597" t="s">
        <v>749</v>
      </c>
      <c r="O597" t="s">
        <v>122</v>
      </c>
      <c r="P597" t="s">
        <v>108</v>
      </c>
      <c r="Q597" t="s">
        <v>299</v>
      </c>
      <c r="R597" t="s">
        <v>22</v>
      </c>
      <c r="S597" t="s">
        <v>149</v>
      </c>
      <c r="T597" t="s">
        <v>181</v>
      </c>
      <c r="V597" t="s">
        <v>129</v>
      </c>
      <c r="W597" t="s">
        <v>130</v>
      </c>
      <c r="X597" t="s">
        <v>329</v>
      </c>
      <c r="Y597" t="s">
        <v>1040</v>
      </c>
      <c r="Z597">
        <v>1</v>
      </c>
      <c r="AA597" t="s">
        <v>1289</v>
      </c>
    </row>
    <row r="598" spans="1:27">
      <c r="A598">
        <v>126</v>
      </c>
      <c r="B598" s="139">
        <v>46178.849652777782</v>
      </c>
      <c r="C598" s="139">
        <v>46178.850543981483</v>
      </c>
      <c r="D598" t="s">
        <v>270</v>
      </c>
      <c r="E598" t="s">
        <v>271</v>
      </c>
      <c r="F598" t="s">
        <v>271</v>
      </c>
      <c r="G598" t="s">
        <v>273</v>
      </c>
      <c r="H598" s="139">
        <v>46169</v>
      </c>
      <c r="I598" t="s">
        <v>136</v>
      </c>
      <c r="J598" t="s">
        <v>161</v>
      </c>
      <c r="M598" t="s">
        <v>376</v>
      </c>
      <c r="N598" t="s">
        <v>749</v>
      </c>
      <c r="O598" t="s">
        <v>122</v>
      </c>
      <c r="P598" t="s">
        <v>108</v>
      </c>
      <c r="Q598" t="s">
        <v>299</v>
      </c>
      <c r="R598" t="s">
        <v>22</v>
      </c>
      <c r="S598" t="s">
        <v>149</v>
      </c>
      <c r="T598" t="s">
        <v>181</v>
      </c>
      <c r="V598" t="s">
        <v>129</v>
      </c>
      <c r="W598" t="s">
        <v>130</v>
      </c>
      <c r="X598" t="s">
        <v>329</v>
      </c>
      <c r="Y598" t="s">
        <v>1042</v>
      </c>
      <c r="Z598">
        <v>1</v>
      </c>
      <c r="AA598" t="s">
        <v>1047</v>
      </c>
    </row>
    <row r="599" spans="1:27">
      <c r="A599">
        <v>126</v>
      </c>
      <c r="B599" s="139">
        <v>46178.849652777782</v>
      </c>
      <c r="C599" s="139">
        <v>46178.850543981483</v>
      </c>
      <c r="D599" t="s">
        <v>270</v>
      </c>
      <c r="E599" t="s">
        <v>271</v>
      </c>
      <c r="F599" t="s">
        <v>271</v>
      </c>
      <c r="G599" t="s">
        <v>273</v>
      </c>
      <c r="H599" s="139">
        <v>46169</v>
      </c>
      <c r="I599" t="s">
        <v>136</v>
      </c>
      <c r="J599" t="s">
        <v>161</v>
      </c>
      <c r="M599" t="s">
        <v>376</v>
      </c>
      <c r="N599" t="s">
        <v>749</v>
      </c>
      <c r="O599" t="s">
        <v>122</v>
      </c>
      <c r="P599" t="s">
        <v>108</v>
      </c>
      <c r="Q599" t="s">
        <v>299</v>
      </c>
      <c r="R599" t="s">
        <v>22</v>
      </c>
      <c r="S599" t="s">
        <v>149</v>
      </c>
      <c r="T599" t="s">
        <v>181</v>
      </c>
      <c r="V599" t="s">
        <v>129</v>
      </c>
      <c r="W599" t="s">
        <v>130</v>
      </c>
      <c r="X599" t="s">
        <v>329</v>
      </c>
      <c r="Y599" t="s">
        <v>1044</v>
      </c>
      <c r="Z599">
        <v>1</v>
      </c>
      <c r="AA599" t="s">
        <v>1050</v>
      </c>
    </row>
    <row r="600" spans="1:27">
      <c r="A600">
        <v>127</v>
      </c>
      <c r="B600" s="139">
        <v>46180.790254629632</v>
      </c>
      <c r="C600" s="139">
        <v>46180.803506944438</v>
      </c>
      <c r="D600" t="s">
        <v>759</v>
      </c>
      <c r="E600" t="s">
        <v>760</v>
      </c>
      <c r="F600" t="s">
        <v>760</v>
      </c>
      <c r="G600" t="s">
        <v>761</v>
      </c>
      <c r="H600" s="139">
        <v>46169</v>
      </c>
      <c r="I600" t="s">
        <v>427</v>
      </c>
      <c r="J600" t="s">
        <v>161</v>
      </c>
      <c r="M600" t="s">
        <v>762</v>
      </c>
      <c r="O600" t="s">
        <v>135</v>
      </c>
      <c r="P600" t="s">
        <v>108</v>
      </c>
      <c r="Q600" t="s">
        <v>109</v>
      </c>
      <c r="R600" t="s">
        <v>22</v>
      </c>
      <c r="S600" t="s">
        <v>149</v>
      </c>
      <c r="T600" t="s">
        <v>150</v>
      </c>
      <c r="U600" t="s">
        <v>766</v>
      </c>
      <c r="V600" t="s">
        <v>129</v>
      </c>
      <c r="W600" t="s">
        <v>130</v>
      </c>
      <c r="X600" t="s">
        <v>302</v>
      </c>
      <c r="Y600" t="s">
        <v>1040</v>
      </c>
      <c r="Z600">
        <v>1</v>
      </c>
      <c r="AA600" t="s">
        <v>1290</v>
      </c>
    </row>
    <row r="601" spans="1:27">
      <c r="A601">
        <v>127</v>
      </c>
      <c r="B601" s="139">
        <v>46180.790254629632</v>
      </c>
      <c r="C601" s="139">
        <v>46180.803506944438</v>
      </c>
      <c r="D601" t="s">
        <v>759</v>
      </c>
      <c r="E601" t="s">
        <v>760</v>
      </c>
      <c r="F601" t="s">
        <v>760</v>
      </c>
      <c r="G601" t="s">
        <v>761</v>
      </c>
      <c r="H601" s="139">
        <v>46169</v>
      </c>
      <c r="I601" t="s">
        <v>427</v>
      </c>
      <c r="J601" t="s">
        <v>161</v>
      </c>
      <c r="M601" t="s">
        <v>762</v>
      </c>
      <c r="O601" t="s">
        <v>135</v>
      </c>
      <c r="P601" t="s">
        <v>108</v>
      </c>
      <c r="Q601" t="s">
        <v>109</v>
      </c>
      <c r="R601" t="s">
        <v>22</v>
      </c>
      <c r="S601" t="s">
        <v>149</v>
      </c>
      <c r="T601" t="s">
        <v>150</v>
      </c>
      <c r="U601" t="s">
        <v>766</v>
      </c>
      <c r="V601" t="s">
        <v>129</v>
      </c>
      <c r="W601" t="s">
        <v>130</v>
      </c>
      <c r="X601" t="s">
        <v>302</v>
      </c>
      <c r="Y601" t="s">
        <v>1042</v>
      </c>
      <c r="Z601">
        <v>1</v>
      </c>
      <c r="AA601" t="s">
        <v>1092</v>
      </c>
    </row>
    <row r="602" spans="1:27">
      <c r="A602">
        <v>127</v>
      </c>
      <c r="B602" s="139">
        <v>46180.790254629632</v>
      </c>
      <c r="C602" s="139">
        <v>46180.803506944438</v>
      </c>
      <c r="D602" t="s">
        <v>759</v>
      </c>
      <c r="E602" t="s">
        <v>760</v>
      </c>
      <c r="F602" t="s">
        <v>760</v>
      </c>
      <c r="G602" t="s">
        <v>761</v>
      </c>
      <c r="H602" s="139">
        <v>46169</v>
      </c>
      <c r="I602" t="s">
        <v>427</v>
      </c>
      <c r="J602" t="s">
        <v>161</v>
      </c>
      <c r="M602" t="s">
        <v>762</v>
      </c>
      <c r="O602" t="s">
        <v>135</v>
      </c>
      <c r="P602" t="s">
        <v>108</v>
      </c>
      <c r="Q602" t="s">
        <v>109</v>
      </c>
      <c r="R602" t="s">
        <v>22</v>
      </c>
      <c r="S602" t="s">
        <v>149</v>
      </c>
      <c r="T602" t="s">
        <v>150</v>
      </c>
      <c r="U602" t="s">
        <v>766</v>
      </c>
      <c r="V602" t="s">
        <v>129</v>
      </c>
      <c r="W602" t="s">
        <v>130</v>
      </c>
      <c r="X602" t="s">
        <v>302</v>
      </c>
      <c r="Y602" t="s">
        <v>1042</v>
      </c>
      <c r="Z602">
        <v>2</v>
      </c>
      <c r="AA602" t="s">
        <v>1093</v>
      </c>
    </row>
    <row r="603" spans="1:27">
      <c r="A603">
        <v>127</v>
      </c>
      <c r="B603" s="139">
        <v>46180.790254629632</v>
      </c>
      <c r="C603" s="139">
        <v>46180.803506944438</v>
      </c>
      <c r="D603" t="s">
        <v>759</v>
      </c>
      <c r="E603" t="s">
        <v>760</v>
      </c>
      <c r="F603" t="s">
        <v>760</v>
      </c>
      <c r="G603" t="s">
        <v>761</v>
      </c>
      <c r="H603" s="139">
        <v>46169</v>
      </c>
      <c r="I603" t="s">
        <v>427</v>
      </c>
      <c r="J603" t="s">
        <v>161</v>
      </c>
      <c r="M603" t="s">
        <v>762</v>
      </c>
      <c r="O603" t="s">
        <v>135</v>
      </c>
      <c r="P603" t="s">
        <v>108</v>
      </c>
      <c r="Q603" t="s">
        <v>109</v>
      </c>
      <c r="R603" t="s">
        <v>22</v>
      </c>
      <c r="S603" t="s">
        <v>149</v>
      </c>
      <c r="T603" t="s">
        <v>150</v>
      </c>
      <c r="U603" t="s">
        <v>766</v>
      </c>
      <c r="V603" t="s">
        <v>129</v>
      </c>
      <c r="W603" t="s">
        <v>130</v>
      </c>
      <c r="X603" t="s">
        <v>302</v>
      </c>
      <c r="Y603" t="s">
        <v>1044</v>
      </c>
      <c r="Z603">
        <v>1</v>
      </c>
      <c r="AA603" t="s">
        <v>1095</v>
      </c>
    </row>
    <row r="604" spans="1:27">
      <c r="A604">
        <v>127</v>
      </c>
      <c r="B604" s="139">
        <v>46180.790254629632</v>
      </c>
      <c r="C604" s="139">
        <v>46180.803506944438</v>
      </c>
      <c r="D604" t="s">
        <v>759</v>
      </c>
      <c r="E604" t="s">
        <v>760</v>
      </c>
      <c r="F604" t="s">
        <v>760</v>
      </c>
      <c r="G604" t="s">
        <v>761</v>
      </c>
      <c r="H604" s="139">
        <v>46169</v>
      </c>
      <c r="I604" t="s">
        <v>427</v>
      </c>
      <c r="J604" t="s">
        <v>161</v>
      </c>
      <c r="M604" t="s">
        <v>762</v>
      </c>
      <c r="O604" t="s">
        <v>135</v>
      </c>
      <c r="P604" t="s">
        <v>108</v>
      </c>
      <c r="Q604" t="s">
        <v>109</v>
      </c>
      <c r="R604" t="s">
        <v>22</v>
      </c>
      <c r="S604" t="s">
        <v>149</v>
      </c>
      <c r="T604" t="s">
        <v>150</v>
      </c>
      <c r="U604" t="s">
        <v>766</v>
      </c>
      <c r="V604" t="s">
        <v>129</v>
      </c>
      <c r="W604" t="s">
        <v>130</v>
      </c>
      <c r="X604" t="s">
        <v>302</v>
      </c>
      <c r="Y604" t="s">
        <v>1044</v>
      </c>
      <c r="Z604">
        <v>2</v>
      </c>
      <c r="AA604" t="s">
        <v>1165</v>
      </c>
    </row>
    <row r="605" spans="1:27">
      <c r="A605">
        <v>127</v>
      </c>
      <c r="B605" s="139">
        <v>46180.790254629632</v>
      </c>
      <c r="C605" s="139">
        <v>46180.803506944438</v>
      </c>
      <c r="D605" t="s">
        <v>759</v>
      </c>
      <c r="E605" t="s">
        <v>760</v>
      </c>
      <c r="F605" t="s">
        <v>760</v>
      </c>
      <c r="G605" t="s">
        <v>761</v>
      </c>
      <c r="H605" s="139">
        <v>46169</v>
      </c>
      <c r="I605" t="s">
        <v>427</v>
      </c>
      <c r="J605" t="s">
        <v>161</v>
      </c>
      <c r="M605" t="s">
        <v>762</v>
      </c>
      <c r="O605" t="s">
        <v>135</v>
      </c>
      <c r="P605" t="s">
        <v>108</v>
      </c>
      <c r="Q605" t="s">
        <v>109</v>
      </c>
      <c r="R605" t="s">
        <v>22</v>
      </c>
      <c r="S605" t="s">
        <v>149</v>
      </c>
      <c r="T605" t="s">
        <v>150</v>
      </c>
      <c r="U605" t="s">
        <v>766</v>
      </c>
      <c r="V605" t="s">
        <v>129</v>
      </c>
      <c r="W605" t="s">
        <v>130</v>
      </c>
      <c r="X605" t="s">
        <v>302</v>
      </c>
      <c r="Y605" t="s">
        <v>1044</v>
      </c>
      <c r="Z605">
        <v>3</v>
      </c>
      <c r="AA605" t="s">
        <v>1166</v>
      </c>
    </row>
    <row r="606" spans="1:27">
      <c r="A606">
        <v>161</v>
      </c>
      <c r="B606" s="139">
        <v>46189.460775462961</v>
      </c>
      <c r="C606" s="139">
        <v>46189.462546296287</v>
      </c>
      <c r="D606" t="s">
        <v>887</v>
      </c>
      <c r="E606" t="s">
        <v>888</v>
      </c>
      <c r="F606" t="s">
        <v>889</v>
      </c>
      <c r="G606" t="s">
        <v>890</v>
      </c>
      <c r="H606" s="139">
        <v>46169</v>
      </c>
      <c r="I606" t="s">
        <v>498</v>
      </c>
      <c r="J606" t="s">
        <v>161</v>
      </c>
      <c r="M606" t="s">
        <v>901</v>
      </c>
      <c r="O606" t="s">
        <v>905</v>
      </c>
      <c r="P606" t="s">
        <v>108</v>
      </c>
      <c r="Q606" t="s">
        <v>109</v>
      </c>
      <c r="R606" t="s">
        <v>21</v>
      </c>
      <c r="S606" t="s">
        <v>143</v>
      </c>
      <c r="T606" t="s">
        <v>233</v>
      </c>
      <c r="U606" t="s">
        <v>909</v>
      </c>
      <c r="V606" t="s">
        <v>151</v>
      </c>
      <c r="W606" t="s">
        <v>130</v>
      </c>
      <c r="X606" t="s">
        <v>177</v>
      </c>
      <c r="Y606" t="s">
        <v>1040</v>
      </c>
      <c r="Z606">
        <v>1</v>
      </c>
      <c r="AA606" t="s">
        <v>1101</v>
      </c>
    </row>
    <row r="607" spans="1:27">
      <c r="A607">
        <v>161</v>
      </c>
      <c r="B607" s="139">
        <v>46189.460775462961</v>
      </c>
      <c r="C607" s="139">
        <v>46189.462546296287</v>
      </c>
      <c r="D607" t="s">
        <v>887</v>
      </c>
      <c r="E607" t="s">
        <v>888</v>
      </c>
      <c r="F607" t="s">
        <v>889</v>
      </c>
      <c r="G607" t="s">
        <v>890</v>
      </c>
      <c r="H607" s="139">
        <v>46169</v>
      </c>
      <c r="I607" t="s">
        <v>498</v>
      </c>
      <c r="J607" t="s">
        <v>161</v>
      </c>
      <c r="M607" t="s">
        <v>901</v>
      </c>
      <c r="O607" t="s">
        <v>905</v>
      </c>
      <c r="P607" t="s">
        <v>108</v>
      </c>
      <c r="Q607" t="s">
        <v>109</v>
      </c>
      <c r="R607" t="s">
        <v>21</v>
      </c>
      <c r="S607" t="s">
        <v>143</v>
      </c>
      <c r="T607" t="s">
        <v>233</v>
      </c>
      <c r="U607" t="s">
        <v>909</v>
      </c>
      <c r="V607" t="s">
        <v>151</v>
      </c>
      <c r="W607" t="s">
        <v>130</v>
      </c>
      <c r="X607" t="s">
        <v>177</v>
      </c>
      <c r="Y607" t="s">
        <v>1040</v>
      </c>
      <c r="Z607">
        <v>2</v>
      </c>
      <c r="AA607" t="s">
        <v>1215</v>
      </c>
    </row>
    <row r="608" spans="1:27">
      <c r="A608">
        <v>161</v>
      </c>
      <c r="B608" s="139">
        <v>46189.460775462961</v>
      </c>
      <c r="C608" s="139">
        <v>46189.462546296287</v>
      </c>
      <c r="D608" t="s">
        <v>887</v>
      </c>
      <c r="E608" t="s">
        <v>888</v>
      </c>
      <c r="F608" t="s">
        <v>889</v>
      </c>
      <c r="G608" t="s">
        <v>890</v>
      </c>
      <c r="H608" s="139">
        <v>46169</v>
      </c>
      <c r="I608" t="s">
        <v>498</v>
      </c>
      <c r="J608" t="s">
        <v>161</v>
      </c>
      <c r="M608" t="s">
        <v>901</v>
      </c>
      <c r="O608" t="s">
        <v>905</v>
      </c>
      <c r="P608" t="s">
        <v>108</v>
      </c>
      <c r="Q608" t="s">
        <v>109</v>
      </c>
      <c r="R608" t="s">
        <v>21</v>
      </c>
      <c r="S608" t="s">
        <v>143</v>
      </c>
      <c r="T608" t="s">
        <v>233</v>
      </c>
      <c r="U608" t="s">
        <v>909</v>
      </c>
      <c r="V608" t="s">
        <v>151</v>
      </c>
      <c r="W608" t="s">
        <v>130</v>
      </c>
      <c r="X608" t="s">
        <v>177</v>
      </c>
      <c r="Y608" t="s">
        <v>1042</v>
      </c>
      <c r="Z608">
        <v>1</v>
      </c>
      <c r="AA608" t="s">
        <v>1104</v>
      </c>
    </row>
    <row r="609" spans="1:27">
      <c r="A609">
        <v>161</v>
      </c>
      <c r="B609" s="139">
        <v>46189.460775462961</v>
      </c>
      <c r="C609" s="139">
        <v>46189.462546296287</v>
      </c>
      <c r="D609" t="s">
        <v>887</v>
      </c>
      <c r="E609" t="s">
        <v>888</v>
      </c>
      <c r="F609" t="s">
        <v>889</v>
      </c>
      <c r="G609" t="s">
        <v>890</v>
      </c>
      <c r="H609" s="139">
        <v>46169</v>
      </c>
      <c r="I609" t="s">
        <v>498</v>
      </c>
      <c r="J609" t="s">
        <v>161</v>
      </c>
      <c r="M609" t="s">
        <v>901</v>
      </c>
      <c r="O609" t="s">
        <v>905</v>
      </c>
      <c r="P609" t="s">
        <v>108</v>
      </c>
      <c r="Q609" t="s">
        <v>109</v>
      </c>
      <c r="R609" t="s">
        <v>21</v>
      </c>
      <c r="S609" t="s">
        <v>143</v>
      </c>
      <c r="T609" t="s">
        <v>233</v>
      </c>
      <c r="U609" t="s">
        <v>909</v>
      </c>
      <c r="V609" t="s">
        <v>151</v>
      </c>
      <c r="W609" t="s">
        <v>130</v>
      </c>
      <c r="X609" t="s">
        <v>177</v>
      </c>
      <c r="Y609" t="s">
        <v>1042</v>
      </c>
      <c r="Z609">
        <v>2</v>
      </c>
      <c r="AA609" t="s">
        <v>1105</v>
      </c>
    </row>
    <row r="610" spans="1:27">
      <c r="A610">
        <v>161</v>
      </c>
      <c r="B610" s="139">
        <v>46189.460775462961</v>
      </c>
      <c r="C610" s="139">
        <v>46189.462546296287</v>
      </c>
      <c r="D610" t="s">
        <v>887</v>
      </c>
      <c r="E610" t="s">
        <v>888</v>
      </c>
      <c r="F610" t="s">
        <v>889</v>
      </c>
      <c r="G610" t="s">
        <v>890</v>
      </c>
      <c r="H610" s="139">
        <v>46169</v>
      </c>
      <c r="I610" t="s">
        <v>498</v>
      </c>
      <c r="J610" t="s">
        <v>161</v>
      </c>
      <c r="M610" t="s">
        <v>901</v>
      </c>
      <c r="O610" t="s">
        <v>905</v>
      </c>
      <c r="P610" t="s">
        <v>108</v>
      </c>
      <c r="Q610" t="s">
        <v>109</v>
      </c>
      <c r="R610" t="s">
        <v>21</v>
      </c>
      <c r="S610" t="s">
        <v>143</v>
      </c>
      <c r="T610" t="s">
        <v>233</v>
      </c>
      <c r="U610" t="s">
        <v>909</v>
      </c>
      <c r="V610" t="s">
        <v>151</v>
      </c>
      <c r="W610" t="s">
        <v>130</v>
      </c>
      <c r="X610" t="s">
        <v>177</v>
      </c>
      <c r="Y610" t="s">
        <v>1042</v>
      </c>
      <c r="Z610">
        <v>3</v>
      </c>
      <c r="AA610" t="s">
        <v>1107</v>
      </c>
    </row>
    <row r="611" spans="1:27">
      <c r="A611">
        <v>161</v>
      </c>
      <c r="B611" s="139">
        <v>46189.460775462961</v>
      </c>
      <c r="C611" s="139">
        <v>46189.462546296287</v>
      </c>
      <c r="D611" t="s">
        <v>887</v>
      </c>
      <c r="E611" t="s">
        <v>888</v>
      </c>
      <c r="F611" t="s">
        <v>889</v>
      </c>
      <c r="G611" t="s">
        <v>890</v>
      </c>
      <c r="H611" s="139">
        <v>46169</v>
      </c>
      <c r="I611" t="s">
        <v>498</v>
      </c>
      <c r="J611" t="s">
        <v>161</v>
      </c>
      <c r="M611" t="s">
        <v>901</v>
      </c>
      <c r="O611" t="s">
        <v>905</v>
      </c>
      <c r="P611" t="s">
        <v>108</v>
      </c>
      <c r="Q611" t="s">
        <v>109</v>
      </c>
      <c r="R611" t="s">
        <v>21</v>
      </c>
      <c r="S611" t="s">
        <v>143</v>
      </c>
      <c r="T611" t="s">
        <v>233</v>
      </c>
      <c r="U611" t="s">
        <v>909</v>
      </c>
      <c r="V611" t="s">
        <v>151</v>
      </c>
      <c r="W611" t="s">
        <v>130</v>
      </c>
      <c r="X611" t="s">
        <v>177</v>
      </c>
      <c r="Y611" t="s">
        <v>1042</v>
      </c>
      <c r="Z611">
        <v>4</v>
      </c>
      <c r="AA611" t="s">
        <v>1155</v>
      </c>
    </row>
    <row r="612" spans="1:27">
      <c r="A612">
        <v>161</v>
      </c>
      <c r="B612" s="139">
        <v>46189.460775462961</v>
      </c>
      <c r="C612" s="139">
        <v>46189.462546296287</v>
      </c>
      <c r="D612" t="s">
        <v>887</v>
      </c>
      <c r="E612" t="s">
        <v>888</v>
      </c>
      <c r="F612" t="s">
        <v>889</v>
      </c>
      <c r="G612" t="s">
        <v>890</v>
      </c>
      <c r="H612" s="139">
        <v>46169</v>
      </c>
      <c r="I612" t="s">
        <v>498</v>
      </c>
      <c r="J612" t="s">
        <v>161</v>
      </c>
      <c r="M612" t="s">
        <v>901</v>
      </c>
      <c r="O612" t="s">
        <v>905</v>
      </c>
      <c r="P612" t="s">
        <v>108</v>
      </c>
      <c r="Q612" t="s">
        <v>109</v>
      </c>
      <c r="R612" t="s">
        <v>21</v>
      </c>
      <c r="S612" t="s">
        <v>143</v>
      </c>
      <c r="T612" t="s">
        <v>233</v>
      </c>
      <c r="U612" t="s">
        <v>909</v>
      </c>
      <c r="V612" t="s">
        <v>151</v>
      </c>
      <c r="W612" t="s">
        <v>130</v>
      </c>
      <c r="X612" t="s">
        <v>177</v>
      </c>
      <c r="Y612" t="s">
        <v>1044</v>
      </c>
      <c r="Z612">
        <v>1</v>
      </c>
      <c r="AA612" t="s">
        <v>1108</v>
      </c>
    </row>
    <row r="613" spans="1:27">
      <c r="A613">
        <v>161</v>
      </c>
      <c r="B613" s="139">
        <v>46189.460775462961</v>
      </c>
      <c r="C613" s="139">
        <v>46189.462546296287</v>
      </c>
      <c r="D613" t="s">
        <v>887</v>
      </c>
      <c r="E613" t="s">
        <v>888</v>
      </c>
      <c r="F613" t="s">
        <v>889</v>
      </c>
      <c r="G613" t="s">
        <v>890</v>
      </c>
      <c r="H613" s="139">
        <v>46169</v>
      </c>
      <c r="I613" t="s">
        <v>498</v>
      </c>
      <c r="J613" t="s">
        <v>161</v>
      </c>
      <c r="M613" t="s">
        <v>901</v>
      </c>
      <c r="O613" t="s">
        <v>905</v>
      </c>
      <c r="P613" t="s">
        <v>108</v>
      </c>
      <c r="Q613" t="s">
        <v>109</v>
      </c>
      <c r="R613" t="s">
        <v>21</v>
      </c>
      <c r="S613" t="s">
        <v>143</v>
      </c>
      <c r="T613" t="s">
        <v>233</v>
      </c>
      <c r="U613" t="s">
        <v>909</v>
      </c>
      <c r="V613" t="s">
        <v>151</v>
      </c>
      <c r="W613" t="s">
        <v>130</v>
      </c>
      <c r="X613" t="s">
        <v>177</v>
      </c>
      <c r="Y613" t="s">
        <v>1044</v>
      </c>
      <c r="Z613">
        <v>2</v>
      </c>
      <c r="AA613" t="s">
        <v>909</v>
      </c>
    </row>
    <row r="614" spans="1:27">
      <c r="A614">
        <v>130</v>
      </c>
      <c r="B614" s="139">
        <v>46181.42900462963</v>
      </c>
      <c r="C614" s="139">
        <v>46181.435127314813</v>
      </c>
      <c r="D614" t="s">
        <v>767</v>
      </c>
      <c r="E614" t="s">
        <v>768</v>
      </c>
      <c r="F614" t="s">
        <v>769</v>
      </c>
      <c r="G614" t="s">
        <v>770</v>
      </c>
      <c r="H614" s="139">
        <v>46170</v>
      </c>
      <c r="I614" t="s">
        <v>772</v>
      </c>
      <c r="J614" t="s">
        <v>161</v>
      </c>
      <c r="M614" t="s">
        <v>782</v>
      </c>
      <c r="N614" t="s">
        <v>783</v>
      </c>
      <c r="O614" t="s">
        <v>781</v>
      </c>
      <c r="P614" t="s">
        <v>108</v>
      </c>
      <c r="Q614" t="s">
        <v>109</v>
      </c>
      <c r="R614" t="s">
        <v>21</v>
      </c>
      <c r="S614" t="s">
        <v>143</v>
      </c>
      <c r="T614" t="s">
        <v>233</v>
      </c>
      <c r="V614" t="s">
        <v>151</v>
      </c>
      <c r="W614" t="s">
        <v>169</v>
      </c>
      <c r="X614" t="s">
        <v>177</v>
      </c>
      <c r="Y614" t="s">
        <v>1040</v>
      </c>
      <c r="Z614">
        <v>1</v>
      </c>
      <c r="AA614" t="s">
        <v>1100</v>
      </c>
    </row>
    <row r="615" spans="1:27">
      <c r="A615">
        <v>130</v>
      </c>
      <c r="B615" s="139">
        <v>46181.42900462963</v>
      </c>
      <c r="C615" s="139">
        <v>46181.435127314813</v>
      </c>
      <c r="D615" t="s">
        <v>767</v>
      </c>
      <c r="E615" t="s">
        <v>768</v>
      </c>
      <c r="F615" t="s">
        <v>769</v>
      </c>
      <c r="G615" t="s">
        <v>770</v>
      </c>
      <c r="H615" s="139">
        <v>46170</v>
      </c>
      <c r="I615" t="s">
        <v>772</v>
      </c>
      <c r="J615" t="s">
        <v>161</v>
      </c>
      <c r="M615" t="s">
        <v>782</v>
      </c>
      <c r="N615" t="s">
        <v>783</v>
      </c>
      <c r="O615" t="s">
        <v>781</v>
      </c>
      <c r="P615" t="s">
        <v>108</v>
      </c>
      <c r="Q615" t="s">
        <v>109</v>
      </c>
      <c r="R615" t="s">
        <v>21</v>
      </c>
      <c r="S615" t="s">
        <v>143</v>
      </c>
      <c r="T615" t="s">
        <v>233</v>
      </c>
      <c r="V615" t="s">
        <v>151</v>
      </c>
      <c r="W615" t="s">
        <v>169</v>
      </c>
      <c r="X615" t="s">
        <v>177</v>
      </c>
      <c r="Y615" t="s">
        <v>1040</v>
      </c>
      <c r="Z615">
        <v>2</v>
      </c>
      <c r="AA615" t="s">
        <v>1291</v>
      </c>
    </row>
    <row r="616" spans="1:27">
      <c r="A616">
        <v>130</v>
      </c>
      <c r="B616" s="139">
        <v>46181.42900462963</v>
      </c>
      <c r="C616" s="139">
        <v>46181.435127314813</v>
      </c>
      <c r="D616" t="s">
        <v>767</v>
      </c>
      <c r="E616" t="s">
        <v>768</v>
      </c>
      <c r="F616" t="s">
        <v>769</v>
      </c>
      <c r="G616" t="s">
        <v>770</v>
      </c>
      <c r="H616" s="139">
        <v>46170</v>
      </c>
      <c r="I616" t="s">
        <v>772</v>
      </c>
      <c r="J616" t="s">
        <v>161</v>
      </c>
      <c r="M616" t="s">
        <v>782</v>
      </c>
      <c r="N616" t="s">
        <v>783</v>
      </c>
      <c r="O616" t="s">
        <v>781</v>
      </c>
      <c r="P616" t="s">
        <v>108</v>
      </c>
      <c r="Q616" t="s">
        <v>109</v>
      </c>
      <c r="R616" t="s">
        <v>21</v>
      </c>
      <c r="S616" t="s">
        <v>143</v>
      </c>
      <c r="T616" t="s">
        <v>233</v>
      </c>
      <c r="V616" t="s">
        <v>151</v>
      </c>
      <c r="W616" t="s">
        <v>169</v>
      </c>
      <c r="X616" t="s">
        <v>177</v>
      </c>
      <c r="Y616" t="s">
        <v>1042</v>
      </c>
      <c r="Z616">
        <v>1</v>
      </c>
      <c r="AA616" t="s">
        <v>1104</v>
      </c>
    </row>
    <row r="617" spans="1:27">
      <c r="A617">
        <v>130</v>
      </c>
      <c r="B617" s="139">
        <v>46181.42900462963</v>
      </c>
      <c r="C617" s="139">
        <v>46181.435127314813</v>
      </c>
      <c r="D617" t="s">
        <v>767</v>
      </c>
      <c r="E617" t="s">
        <v>768</v>
      </c>
      <c r="F617" t="s">
        <v>769</v>
      </c>
      <c r="G617" t="s">
        <v>770</v>
      </c>
      <c r="H617" s="139">
        <v>46170</v>
      </c>
      <c r="I617" t="s">
        <v>772</v>
      </c>
      <c r="J617" t="s">
        <v>161</v>
      </c>
      <c r="M617" t="s">
        <v>782</v>
      </c>
      <c r="N617" t="s">
        <v>783</v>
      </c>
      <c r="O617" t="s">
        <v>781</v>
      </c>
      <c r="P617" t="s">
        <v>108</v>
      </c>
      <c r="Q617" t="s">
        <v>109</v>
      </c>
      <c r="R617" t="s">
        <v>21</v>
      </c>
      <c r="S617" t="s">
        <v>143</v>
      </c>
      <c r="T617" t="s">
        <v>233</v>
      </c>
      <c r="V617" t="s">
        <v>151</v>
      </c>
      <c r="W617" t="s">
        <v>169</v>
      </c>
      <c r="X617" t="s">
        <v>177</v>
      </c>
      <c r="Y617" t="s">
        <v>1042</v>
      </c>
      <c r="Z617">
        <v>2</v>
      </c>
      <c r="AA617" t="s">
        <v>1105</v>
      </c>
    </row>
    <row r="618" spans="1:27">
      <c r="A618">
        <v>130</v>
      </c>
      <c r="B618" s="139">
        <v>46181.42900462963</v>
      </c>
      <c r="C618" s="139">
        <v>46181.435127314813</v>
      </c>
      <c r="D618" t="s">
        <v>767</v>
      </c>
      <c r="E618" t="s">
        <v>768</v>
      </c>
      <c r="F618" t="s">
        <v>769</v>
      </c>
      <c r="G618" t="s">
        <v>770</v>
      </c>
      <c r="H618" s="139">
        <v>46170</v>
      </c>
      <c r="I618" t="s">
        <v>772</v>
      </c>
      <c r="J618" t="s">
        <v>161</v>
      </c>
      <c r="M618" t="s">
        <v>782</v>
      </c>
      <c r="N618" t="s">
        <v>783</v>
      </c>
      <c r="O618" t="s">
        <v>781</v>
      </c>
      <c r="P618" t="s">
        <v>108</v>
      </c>
      <c r="Q618" t="s">
        <v>109</v>
      </c>
      <c r="R618" t="s">
        <v>21</v>
      </c>
      <c r="S618" t="s">
        <v>143</v>
      </c>
      <c r="T618" t="s">
        <v>233</v>
      </c>
      <c r="V618" t="s">
        <v>151</v>
      </c>
      <c r="W618" t="s">
        <v>169</v>
      </c>
      <c r="X618" t="s">
        <v>177</v>
      </c>
      <c r="Y618" t="s">
        <v>1042</v>
      </c>
      <c r="Z618">
        <v>3</v>
      </c>
      <c r="AA618" t="s">
        <v>1107</v>
      </c>
    </row>
    <row r="619" spans="1:27">
      <c r="A619">
        <v>130</v>
      </c>
      <c r="B619" s="139">
        <v>46181.42900462963</v>
      </c>
      <c r="C619" s="139">
        <v>46181.435127314813</v>
      </c>
      <c r="D619" t="s">
        <v>767</v>
      </c>
      <c r="E619" t="s">
        <v>768</v>
      </c>
      <c r="F619" t="s">
        <v>769</v>
      </c>
      <c r="G619" t="s">
        <v>770</v>
      </c>
      <c r="H619" s="139">
        <v>46170</v>
      </c>
      <c r="I619" t="s">
        <v>772</v>
      </c>
      <c r="J619" t="s">
        <v>161</v>
      </c>
      <c r="M619" t="s">
        <v>782</v>
      </c>
      <c r="N619" t="s">
        <v>783</v>
      </c>
      <c r="O619" t="s">
        <v>781</v>
      </c>
      <c r="P619" t="s">
        <v>108</v>
      </c>
      <c r="Q619" t="s">
        <v>109</v>
      </c>
      <c r="R619" t="s">
        <v>21</v>
      </c>
      <c r="S619" t="s">
        <v>143</v>
      </c>
      <c r="T619" t="s">
        <v>233</v>
      </c>
      <c r="V619" t="s">
        <v>151</v>
      </c>
      <c r="W619" t="s">
        <v>169</v>
      </c>
      <c r="X619" t="s">
        <v>177</v>
      </c>
      <c r="Y619" t="s">
        <v>1042</v>
      </c>
      <c r="Z619">
        <v>4</v>
      </c>
      <c r="AA619" t="s">
        <v>1173</v>
      </c>
    </row>
    <row r="620" spans="1:27">
      <c r="A620">
        <v>130</v>
      </c>
      <c r="B620" s="139">
        <v>46181.42900462963</v>
      </c>
      <c r="C620" s="139">
        <v>46181.435127314813</v>
      </c>
      <c r="D620" t="s">
        <v>767</v>
      </c>
      <c r="E620" t="s">
        <v>768</v>
      </c>
      <c r="F620" t="s">
        <v>769</v>
      </c>
      <c r="G620" t="s">
        <v>770</v>
      </c>
      <c r="H620" s="139">
        <v>46170</v>
      </c>
      <c r="I620" t="s">
        <v>772</v>
      </c>
      <c r="J620" t="s">
        <v>161</v>
      </c>
      <c r="M620" t="s">
        <v>782</v>
      </c>
      <c r="N620" t="s">
        <v>783</v>
      </c>
      <c r="O620" t="s">
        <v>781</v>
      </c>
      <c r="P620" t="s">
        <v>108</v>
      </c>
      <c r="Q620" t="s">
        <v>109</v>
      </c>
      <c r="R620" t="s">
        <v>21</v>
      </c>
      <c r="S620" t="s">
        <v>143</v>
      </c>
      <c r="T620" t="s">
        <v>233</v>
      </c>
      <c r="V620" t="s">
        <v>151</v>
      </c>
      <c r="W620" t="s">
        <v>169</v>
      </c>
      <c r="X620" t="s">
        <v>177</v>
      </c>
      <c r="Y620" t="s">
        <v>1044</v>
      </c>
      <c r="Z620">
        <v>1</v>
      </c>
      <c r="AA620" t="s">
        <v>1108</v>
      </c>
    </row>
    <row r="621" spans="1:27">
      <c r="A621">
        <v>130</v>
      </c>
      <c r="B621" s="139">
        <v>46181.42900462963</v>
      </c>
      <c r="C621" s="139">
        <v>46181.435127314813</v>
      </c>
      <c r="D621" t="s">
        <v>767</v>
      </c>
      <c r="E621" t="s">
        <v>768</v>
      </c>
      <c r="F621" t="s">
        <v>769</v>
      </c>
      <c r="G621" t="s">
        <v>770</v>
      </c>
      <c r="H621" s="139">
        <v>46170</v>
      </c>
      <c r="I621" t="s">
        <v>772</v>
      </c>
      <c r="J621" t="s">
        <v>161</v>
      </c>
      <c r="M621" t="s">
        <v>782</v>
      </c>
      <c r="N621" t="s">
        <v>783</v>
      </c>
      <c r="O621" t="s">
        <v>781</v>
      </c>
      <c r="P621" t="s">
        <v>108</v>
      </c>
      <c r="Q621" t="s">
        <v>109</v>
      </c>
      <c r="R621" t="s">
        <v>21</v>
      </c>
      <c r="S621" t="s">
        <v>143</v>
      </c>
      <c r="T621" t="s">
        <v>233</v>
      </c>
      <c r="V621" t="s">
        <v>151</v>
      </c>
      <c r="W621" t="s">
        <v>169</v>
      </c>
      <c r="X621" t="s">
        <v>177</v>
      </c>
      <c r="Y621" t="s">
        <v>1044</v>
      </c>
      <c r="Z621">
        <v>2</v>
      </c>
      <c r="AA621" t="s">
        <v>1111</v>
      </c>
    </row>
    <row r="622" spans="1:27">
      <c r="A622">
        <v>130</v>
      </c>
      <c r="B622" s="139">
        <v>46181.42900462963</v>
      </c>
      <c r="C622" s="139">
        <v>46181.435127314813</v>
      </c>
      <c r="D622" t="s">
        <v>767</v>
      </c>
      <c r="E622" t="s">
        <v>768</v>
      </c>
      <c r="F622" t="s">
        <v>769</v>
      </c>
      <c r="G622" t="s">
        <v>770</v>
      </c>
      <c r="H622" s="139">
        <v>46170</v>
      </c>
      <c r="I622" t="s">
        <v>772</v>
      </c>
      <c r="J622" t="s">
        <v>161</v>
      </c>
      <c r="M622" t="s">
        <v>782</v>
      </c>
      <c r="N622" t="s">
        <v>783</v>
      </c>
      <c r="O622" t="s">
        <v>781</v>
      </c>
      <c r="P622" t="s">
        <v>108</v>
      </c>
      <c r="Q622" t="s">
        <v>109</v>
      </c>
      <c r="R622" t="s">
        <v>21</v>
      </c>
      <c r="S622" t="s">
        <v>143</v>
      </c>
      <c r="T622" t="s">
        <v>233</v>
      </c>
      <c r="V622" t="s">
        <v>151</v>
      </c>
      <c r="W622" t="s">
        <v>169</v>
      </c>
      <c r="X622" t="s">
        <v>177</v>
      </c>
      <c r="Y622" t="s">
        <v>1044</v>
      </c>
      <c r="Z622">
        <v>3</v>
      </c>
      <c r="AA622" t="s">
        <v>1109</v>
      </c>
    </row>
    <row r="623" spans="1:27">
      <c r="A623">
        <v>130</v>
      </c>
      <c r="B623" s="139">
        <v>46181.42900462963</v>
      </c>
      <c r="C623" s="139">
        <v>46181.435127314813</v>
      </c>
      <c r="D623" t="s">
        <v>767</v>
      </c>
      <c r="E623" t="s">
        <v>768</v>
      </c>
      <c r="F623" t="s">
        <v>769</v>
      </c>
      <c r="G623" t="s">
        <v>770</v>
      </c>
      <c r="H623" s="139">
        <v>46170</v>
      </c>
      <c r="I623" t="s">
        <v>772</v>
      </c>
      <c r="J623" t="s">
        <v>161</v>
      </c>
      <c r="M623" t="s">
        <v>782</v>
      </c>
      <c r="N623" t="s">
        <v>783</v>
      </c>
      <c r="O623" t="s">
        <v>781</v>
      </c>
      <c r="P623" t="s">
        <v>108</v>
      </c>
      <c r="Q623" t="s">
        <v>109</v>
      </c>
      <c r="R623" t="s">
        <v>21</v>
      </c>
      <c r="S623" t="s">
        <v>143</v>
      </c>
      <c r="T623" t="s">
        <v>233</v>
      </c>
      <c r="V623" t="s">
        <v>151</v>
      </c>
      <c r="W623" t="s">
        <v>169</v>
      </c>
      <c r="X623" t="s">
        <v>177</v>
      </c>
      <c r="Y623" t="s">
        <v>1044</v>
      </c>
      <c r="Z623">
        <v>4</v>
      </c>
      <c r="AA623" t="s">
        <v>1174</v>
      </c>
    </row>
    <row r="624" spans="1:27">
      <c r="A624">
        <v>153</v>
      </c>
      <c r="B624" s="139">
        <v>46185.824432870373</v>
      </c>
      <c r="C624" s="139">
        <v>46185.826053240737</v>
      </c>
      <c r="D624" t="s">
        <v>170</v>
      </c>
      <c r="E624" t="s">
        <v>171</v>
      </c>
      <c r="F624" t="s">
        <v>171</v>
      </c>
      <c r="G624" t="s">
        <v>172</v>
      </c>
      <c r="H624" s="139">
        <v>46170</v>
      </c>
      <c r="I624" t="s">
        <v>136</v>
      </c>
      <c r="J624" t="s">
        <v>161</v>
      </c>
      <c r="M624" t="s">
        <v>197</v>
      </c>
      <c r="N624" t="s">
        <v>876</v>
      </c>
      <c r="O624" t="s">
        <v>107</v>
      </c>
      <c r="P624" t="s">
        <v>108</v>
      </c>
      <c r="Q624" t="s">
        <v>109</v>
      </c>
      <c r="R624" t="s">
        <v>22</v>
      </c>
      <c r="S624" t="s">
        <v>114</v>
      </c>
      <c r="T624" t="s">
        <v>181</v>
      </c>
      <c r="V624" t="s">
        <v>151</v>
      </c>
      <c r="W624" t="s">
        <v>130</v>
      </c>
      <c r="X624" t="s">
        <v>110</v>
      </c>
      <c r="Y624" t="s">
        <v>1040</v>
      </c>
      <c r="Z624">
        <v>1</v>
      </c>
      <c r="AA624" t="s">
        <v>1292</v>
      </c>
    </row>
    <row r="625" spans="1:27">
      <c r="A625">
        <v>153</v>
      </c>
      <c r="B625" s="139">
        <v>46185.824432870373</v>
      </c>
      <c r="C625" s="139">
        <v>46185.826053240737</v>
      </c>
      <c r="D625" t="s">
        <v>170</v>
      </c>
      <c r="E625" t="s">
        <v>171</v>
      </c>
      <c r="F625" t="s">
        <v>171</v>
      </c>
      <c r="G625" t="s">
        <v>172</v>
      </c>
      <c r="H625" s="139">
        <v>46170</v>
      </c>
      <c r="I625" t="s">
        <v>136</v>
      </c>
      <c r="J625" t="s">
        <v>161</v>
      </c>
      <c r="M625" t="s">
        <v>197</v>
      </c>
      <c r="N625" t="s">
        <v>876</v>
      </c>
      <c r="O625" t="s">
        <v>107</v>
      </c>
      <c r="P625" t="s">
        <v>108</v>
      </c>
      <c r="Q625" t="s">
        <v>109</v>
      </c>
      <c r="R625" t="s">
        <v>22</v>
      </c>
      <c r="S625" t="s">
        <v>114</v>
      </c>
      <c r="T625" t="s">
        <v>181</v>
      </c>
      <c r="V625" t="s">
        <v>151</v>
      </c>
      <c r="W625" t="s">
        <v>130</v>
      </c>
      <c r="X625" t="s">
        <v>110</v>
      </c>
      <c r="Y625" t="s">
        <v>1042</v>
      </c>
      <c r="Z625">
        <v>1</v>
      </c>
      <c r="AA625" t="s">
        <v>1293</v>
      </c>
    </row>
    <row r="626" spans="1:27">
      <c r="A626">
        <v>153</v>
      </c>
      <c r="B626" s="139">
        <v>46185.824432870373</v>
      </c>
      <c r="C626" s="139">
        <v>46185.826053240737</v>
      </c>
      <c r="D626" t="s">
        <v>170</v>
      </c>
      <c r="E626" t="s">
        <v>171</v>
      </c>
      <c r="F626" t="s">
        <v>171</v>
      </c>
      <c r="G626" t="s">
        <v>172</v>
      </c>
      <c r="H626" s="139">
        <v>46170</v>
      </c>
      <c r="I626" t="s">
        <v>136</v>
      </c>
      <c r="J626" t="s">
        <v>161</v>
      </c>
      <c r="M626" t="s">
        <v>197</v>
      </c>
      <c r="N626" t="s">
        <v>876</v>
      </c>
      <c r="O626" t="s">
        <v>107</v>
      </c>
      <c r="P626" t="s">
        <v>108</v>
      </c>
      <c r="Q626" t="s">
        <v>109</v>
      </c>
      <c r="R626" t="s">
        <v>22</v>
      </c>
      <c r="S626" t="s">
        <v>114</v>
      </c>
      <c r="T626" t="s">
        <v>181</v>
      </c>
      <c r="V626" t="s">
        <v>151</v>
      </c>
      <c r="W626" t="s">
        <v>130</v>
      </c>
      <c r="X626" t="s">
        <v>110</v>
      </c>
      <c r="Y626" t="s">
        <v>1044</v>
      </c>
      <c r="Z626">
        <v>1</v>
      </c>
      <c r="AA626" t="s">
        <v>1294</v>
      </c>
    </row>
    <row r="627" spans="1:27">
      <c r="A627">
        <v>154</v>
      </c>
      <c r="B627" s="139">
        <v>46185.826099537036</v>
      </c>
      <c r="C627" s="139">
        <v>46185.827418981477</v>
      </c>
      <c r="D627" t="s">
        <v>170</v>
      </c>
      <c r="E627" t="s">
        <v>171</v>
      </c>
      <c r="F627" t="s">
        <v>171</v>
      </c>
      <c r="G627" t="s">
        <v>172</v>
      </c>
      <c r="H627" s="139">
        <v>46170</v>
      </c>
      <c r="I627" t="s">
        <v>136</v>
      </c>
      <c r="J627" t="s">
        <v>161</v>
      </c>
      <c r="M627" t="s">
        <v>205</v>
      </c>
      <c r="N627" t="s">
        <v>880</v>
      </c>
      <c r="O627" t="s">
        <v>107</v>
      </c>
      <c r="P627" t="s">
        <v>108</v>
      </c>
      <c r="Q627" t="s">
        <v>109</v>
      </c>
      <c r="R627" t="s">
        <v>22</v>
      </c>
      <c r="S627" t="s">
        <v>114</v>
      </c>
      <c r="T627" t="s">
        <v>181</v>
      </c>
      <c r="V627" t="s">
        <v>151</v>
      </c>
      <c r="W627" t="s">
        <v>130</v>
      </c>
      <c r="X627" t="s">
        <v>110</v>
      </c>
      <c r="Y627" t="s">
        <v>1040</v>
      </c>
      <c r="Z627">
        <v>1</v>
      </c>
      <c r="AA627" t="s">
        <v>1295</v>
      </c>
    </row>
    <row r="628" spans="1:27">
      <c r="A628">
        <v>154</v>
      </c>
      <c r="B628" s="139">
        <v>46185.826099537036</v>
      </c>
      <c r="C628" s="139">
        <v>46185.827418981477</v>
      </c>
      <c r="D628" t="s">
        <v>170</v>
      </c>
      <c r="E628" t="s">
        <v>171</v>
      </c>
      <c r="F628" t="s">
        <v>171</v>
      </c>
      <c r="G628" t="s">
        <v>172</v>
      </c>
      <c r="H628" s="139">
        <v>46170</v>
      </c>
      <c r="I628" t="s">
        <v>136</v>
      </c>
      <c r="J628" t="s">
        <v>161</v>
      </c>
      <c r="M628" t="s">
        <v>205</v>
      </c>
      <c r="N628" t="s">
        <v>880</v>
      </c>
      <c r="O628" t="s">
        <v>107</v>
      </c>
      <c r="P628" t="s">
        <v>108</v>
      </c>
      <c r="Q628" t="s">
        <v>109</v>
      </c>
      <c r="R628" t="s">
        <v>22</v>
      </c>
      <c r="S628" t="s">
        <v>114</v>
      </c>
      <c r="T628" t="s">
        <v>181</v>
      </c>
      <c r="V628" t="s">
        <v>151</v>
      </c>
      <c r="W628" t="s">
        <v>130</v>
      </c>
      <c r="X628" t="s">
        <v>110</v>
      </c>
      <c r="Y628" t="s">
        <v>1042</v>
      </c>
      <c r="Z628">
        <v>1</v>
      </c>
      <c r="AA628" t="s">
        <v>1296</v>
      </c>
    </row>
    <row r="629" spans="1:27">
      <c r="A629">
        <v>154</v>
      </c>
      <c r="B629" s="139">
        <v>46185.826099537036</v>
      </c>
      <c r="C629" s="139">
        <v>46185.827418981477</v>
      </c>
      <c r="D629" t="s">
        <v>170</v>
      </c>
      <c r="E629" t="s">
        <v>171</v>
      </c>
      <c r="F629" t="s">
        <v>171</v>
      </c>
      <c r="G629" t="s">
        <v>172</v>
      </c>
      <c r="H629" s="139">
        <v>46170</v>
      </c>
      <c r="I629" t="s">
        <v>136</v>
      </c>
      <c r="J629" t="s">
        <v>161</v>
      </c>
      <c r="M629" t="s">
        <v>205</v>
      </c>
      <c r="N629" t="s">
        <v>880</v>
      </c>
      <c r="O629" t="s">
        <v>107</v>
      </c>
      <c r="P629" t="s">
        <v>108</v>
      </c>
      <c r="Q629" t="s">
        <v>109</v>
      </c>
      <c r="R629" t="s">
        <v>22</v>
      </c>
      <c r="S629" t="s">
        <v>114</v>
      </c>
      <c r="T629" t="s">
        <v>181</v>
      </c>
      <c r="V629" t="s">
        <v>151</v>
      </c>
      <c r="W629" t="s">
        <v>130</v>
      </c>
      <c r="X629" t="s">
        <v>110</v>
      </c>
      <c r="Y629" t="s">
        <v>1042</v>
      </c>
      <c r="Z629">
        <v>2</v>
      </c>
      <c r="AA629" t="s">
        <v>1297</v>
      </c>
    </row>
    <row r="630" spans="1:27">
      <c r="A630">
        <v>154</v>
      </c>
      <c r="B630" s="139">
        <v>46185.826099537036</v>
      </c>
      <c r="C630" s="139">
        <v>46185.827418981477</v>
      </c>
      <c r="D630" t="s">
        <v>170</v>
      </c>
      <c r="E630" t="s">
        <v>171</v>
      </c>
      <c r="F630" t="s">
        <v>171</v>
      </c>
      <c r="G630" t="s">
        <v>172</v>
      </c>
      <c r="H630" s="139">
        <v>46170</v>
      </c>
      <c r="I630" t="s">
        <v>136</v>
      </c>
      <c r="J630" t="s">
        <v>161</v>
      </c>
      <c r="M630" t="s">
        <v>205</v>
      </c>
      <c r="N630" t="s">
        <v>880</v>
      </c>
      <c r="O630" t="s">
        <v>107</v>
      </c>
      <c r="P630" t="s">
        <v>108</v>
      </c>
      <c r="Q630" t="s">
        <v>109</v>
      </c>
      <c r="R630" t="s">
        <v>22</v>
      </c>
      <c r="S630" t="s">
        <v>114</v>
      </c>
      <c r="T630" t="s">
        <v>181</v>
      </c>
      <c r="V630" t="s">
        <v>151</v>
      </c>
      <c r="W630" t="s">
        <v>130</v>
      </c>
      <c r="X630" t="s">
        <v>110</v>
      </c>
      <c r="Y630" t="s">
        <v>1044</v>
      </c>
      <c r="Z630">
        <v>1</v>
      </c>
      <c r="AA630" t="s">
        <v>1298</v>
      </c>
    </row>
    <row r="631" spans="1:27">
      <c r="A631">
        <v>154</v>
      </c>
      <c r="B631" s="139">
        <v>46185.826099537036</v>
      </c>
      <c r="C631" s="139">
        <v>46185.827418981477</v>
      </c>
      <c r="D631" t="s">
        <v>170</v>
      </c>
      <c r="E631" t="s">
        <v>171</v>
      </c>
      <c r="F631" t="s">
        <v>171</v>
      </c>
      <c r="G631" t="s">
        <v>172</v>
      </c>
      <c r="H631" s="139">
        <v>46170</v>
      </c>
      <c r="I631" t="s">
        <v>136</v>
      </c>
      <c r="J631" t="s">
        <v>161</v>
      </c>
      <c r="M631" t="s">
        <v>205</v>
      </c>
      <c r="N631" t="s">
        <v>880</v>
      </c>
      <c r="O631" t="s">
        <v>107</v>
      </c>
      <c r="P631" t="s">
        <v>108</v>
      </c>
      <c r="Q631" t="s">
        <v>109</v>
      </c>
      <c r="R631" t="s">
        <v>22</v>
      </c>
      <c r="S631" t="s">
        <v>114</v>
      </c>
      <c r="T631" t="s">
        <v>181</v>
      </c>
      <c r="V631" t="s">
        <v>151</v>
      </c>
      <c r="W631" t="s">
        <v>130</v>
      </c>
      <c r="X631" t="s">
        <v>110</v>
      </c>
      <c r="Y631" t="s">
        <v>1044</v>
      </c>
      <c r="Z631">
        <v>2</v>
      </c>
      <c r="AA631" t="s">
        <v>1295</v>
      </c>
    </row>
    <row r="632" spans="1:27">
      <c r="A632">
        <v>50</v>
      </c>
      <c r="B632" s="139">
        <v>46168.731817129628</v>
      </c>
      <c r="C632" s="139">
        <v>46168.739687499998</v>
      </c>
      <c r="D632" t="s">
        <v>337</v>
      </c>
      <c r="E632" t="s">
        <v>338</v>
      </c>
      <c r="F632" t="s">
        <v>339</v>
      </c>
      <c r="G632" t="s">
        <v>340</v>
      </c>
      <c r="H632" s="139">
        <v>46171</v>
      </c>
      <c r="I632" t="s">
        <v>136</v>
      </c>
      <c r="J632" t="s">
        <v>161</v>
      </c>
      <c r="M632" t="s">
        <v>260</v>
      </c>
      <c r="N632" t="s">
        <v>401</v>
      </c>
      <c r="O632" t="s">
        <v>107</v>
      </c>
      <c r="P632" t="s">
        <v>108</v>
      </c>
      <c r="Q632" t="s">
        <v>109</v>
      </c>
      <c r="R632" t="s">
        <v>22</v>
      </c>
      <c r="S632" t="s">
        <v>149</v>
      </c>
      <c r="T632" t="s">
        <v>181</v>
      </c>
      <c r="U632" t="s">
        <v>405</v>
      </c>
      <c r="V632" t="s">
        <v>129</v>
      </c>
      <c r="W632" t="s">
        <v>130</v>
      </c>
      <c r="X632" t="s">
        <v>110</v>
      </c>
      <c r="Y632" t="s">
        <v>1040</v>
      </c>
      <c r="Z632">
        <v>1</v>
      </c>
      <c r="AA632" t="s">
        <v>1299</v>
      </c>
    </row>
    <row r="633" spans="1:27">
      <c r="A633">
        <v>50</v>
      </c>
      <c r="B633" s="139">
        <v>46168.731817129628</v>
      </c>
      <c r="C633" s="139">
        <v>46168.739687499998</v>
      </c>
      <c r="D633" t="s">
        <v>337</v>
      </c>
      <c r="E633" t="s">
        <v>338</v>
      </c>
      <c r="F633" t="s">
        <v>339</v>
      </c>
      <c r="G633" t="s">
        <v>340</v>
      </c>
      <c r="H633" s="139">
        <v>46171</v>
      </c>
      <c r="I633" t="s">
        <v>136</v>
      </c>
      <c r="J633" t="s">
        <v>161</v>
      </c>
      <c r="M633" t="s">
        <v>260</v>
      </c>
      <c r="N633" t="s">
        <v>401</v>
      </c>
      <c r="O633" t="s">
        <v>107</v>
      </c>
      <c r="P633" t="s">
        <v>108</v>
      </c>
      <c r="Q633" t="s">
        <v>109</v>
      </c>
      <c r="R633" t="s">
        <v>22</v>
      </c>
      <c r="S633" t="s">
        <v>149</v>
      </c>
      <c r="T633" t="s">
        <v>181</v>
      </c>
      <c r="U633" t="s">
        <v>405</v>
      </c>
      <c r="V633" t="s">
        <v>129</v>
      </c>
      <c r="W633" t="s">
        <v>130</v>
      </c>
      <c r="X633" t="s">
        <v>110</v>
      </c>
      <c r="Y633" t="s">
        <v>1042</v>
      </c>
      <c r="Z633">
        <v>1</v>
      </c>
      <c r="AA633" t="s">
        <v>1151</v>
      </c>
    </row>
    <row r="634" spans="1:27">
      <c r="A634">
        <v>50</v>
      </c>
      <c r="B634" s="139">
        <v>46168.731817129628</v>
      </c>
      <c r="C634" s="139">
        <v>46168.739687499998</v>
      </c>
      <c r="D634" t="s">
        <v>337</v>
      </c>
      <c r="E634" t="s">
        <v>338</v>
      </c>
      <c r="F634" t="s">
        <v>339</v>
      </c>
      <c r="G634" t="s">
        <v>340</v>
      </c>
      <c r="H634" s="139">
        <v>46171</v>
      </c>
      <c r="I634" t="s">
        <v>136</v>
      </c>
      <c r="J634" t="s">
        <v>161</v>
      </c>
      <c r="M634" t="s">
        <v>260</v>
      </c>
      <c r="N634" t="s">
        <v>401</v>
      </c>
      <c r="O634" t="s">
        <v>107</v>
      </c>
      <c r="P634" t="s">
        <v>108</v>
      </c>
      <c r="Q634" t="s">
        <v>109</v>
      </c>
      <c r="R634" t="s">
        <v>22</v>
      </c>
      <c r="S634" t="s">
        <v>149</v>
      </c>
      <c r="T634" t="s">
        <v>181</v>
      </c>
      <c r="U634" t="s">
        <v>405</v>
      </c>
      <c r="V634" t="s">
        <v>129</v>
      </c>
      <c r="W634" t="s">
        <v>130</v>
      </c>
      <c r="X634" t="s">
        <v>110</v>
      </c>
      <c r="Y634" t="s">
        <v>1042</v>
      </c>
      <c r="Z634">
        <v>2</v>
      </c>
      <c r="AA634" t="s">
        <v>1296</v>
      </c>
    </row>
    <row r="635" spans="1:27">
      <c r="A635">
        <v>50</v>
      </c>
      <c r="B635" s="139">
        <v>46168.731817129628</v>
      </c>
      <c r="C635" s="139">
        <v>46168.739687499998</v>
      </c>
      <c r="D635" t="s">
        <v>337</v>
      </c>
      <c r="E635" t="s">
        <v>338</v>
      </c>
      <c r="F635" t="s">
        <v>339</v>
      </c>
      <c r="G635" t="s">
        <v>340</v>
      </c>
      <c r="H635" s="139">
        <v>46171</v>
      </c>
      <c r="I635" t="s">
        <v>136</v>
      </c>
      <c r="J635" t="s">
        <v>161</v>
      </c>
      <c r="M635" t="s">
        <v>260</v>
      </c>
      <c r="N635" t="s">
        <v>401</v>
      </c>
      <c r="O635" t="s">
        <v>107</v>
      </c>
      <c r="P635" t="s">
        <v>108</v>
      </c>
      <c r="Q635" t="s">
        <v>109</v>
      </c>
      <c r="R635" t="s">
        <v>22</v>
      </c>
      <c r="S635" t="s">
        <v>149</v>
      </c>
      <c r="T635" t="s">
        <v>181</v>
      </c>
      <c r="U635" t="s">
        <v>405</v>
      </c>
      <c r="V635" t="s">
        <v>129</v>
      </c>
      <c r="W635" t="s">
        <v>130</v>
      </c>
      <c r="X635" t="s">
        <v>110</v>
      </c>
      <c r="Y635" t="s">
        <v>1042</v>
      </c>
      <c r="Z635">
        <v>3</v>
      </c>
      <c r="AA635" t="s">
        <v>1153</v>
      </c>
    </row>
    <row r="636" spans="1:27">
      <c r="A636">
        <v>50</v>
      </c>
      <c r="B636" s="139">
        <v>46168.731817129628</v>
      </c>
      <c r="C636" s="139">
        <v>46168.739687499998</v>
      </c>
      <c r="D636" t="s">
        <v>337</v>
      </c>
      <c r="E636" t="s">
        <v>338</v>
      </c>
      <c r="F636" t="s">
        <v>339</v>
      </c>
      <c r="G636" t="s">
        <v>340</v>
      </c>
      <c r="H636" s="139">
        <v>46171</v>
      </c>
      <c r="I636" t="s">
        <v>136</v>
      </c>
      <c r="J636" t="s">
        <v>161</v>
      </c>
      <c r="M636" t="s">
        <v>260</v>
      </c>
      <c r="N636" t="s">
        <v>401</v>
      </c>
      <c r="O636" t="s">
        <v>107</v>
      </c>
      <c r="P636" t="s">
        <v>108</v>
      </c>
      <c r="Q636" t="s">
        <v>109</v>
      </c>
      <c r="R636" t="s">
        <v>22</v>
      </c>
      <c r="S636" t="s">
        <v>149</v>
      </c>
      <c r="T636" t="s">
        <v>181</v>
      </c>
      <c r="U636" t="s">
        <v>405</v>
      </c>
      <c r="V636" t="s">
        <v>129</v>
      </c>
      <c r="W636" t="s">
        <v>130</v>
      </c>
      <c r="X636" t="s">
        <v>110</v>
      </c>
      <c r="Y636" t="s">
        <v>1044</v>
      </c>
      <c r="Z636">
        <v>1</v>
      </c>
      <c r="AA636" t="s">
        <v>1300</v>
      </c>
    </row>
    <row r="637" spans="1:27">
      <c r="A637">
        <v>99</v>
      </c>
      <c r="B637" s="139">
        <v>46178.527083333327</v>
      </c>
      <c r="C637" s="139">
        <v>46178.53</v>
      </c>
      <c r="D637" t="s">
        <v>413</v>
      </c>
      <c r="E637" t="s">
        <v>414</v>
      </c>
      <c r="F637" t="s">
        <v>415</v>
      </c>
      <c r="G637" t="s">
        <v>416</v>
      </c>
      <c r="H637" s="139">
        <v>46171</v>
      </c>
      <c r="I637" t="s">
        <v>136</v>
      </c>
      <c r="J637" t="s">
        <v>174</v>
      </c>
      <c r="L637" t="s">
        <v>627</v>
      </c>
      <c r="N637" t="s">
        <v>655</v>
      </c>
      <c r="O637" t="s">
        <v>135</v>
      </c>
      <c r="P637" t="s">
        <v>108</v>
      </c>
      <c r="Q637" t="s">
        <v>109</v>
      </c>
      <c r="R637" t="s">
        <v>24</v>
      </c>
      <c r="S637" t="s">
        <v>143</v>
      </c>
      <c r="T637" t="s">
        <v>661</v>
      </c>
      <c r="U637" t="s">
        <v>662</v>
      </c>
      <c r="V637" t="s">
        <v>151</v>
      </c>
      <c r="W637" t="s">
        <v>169</v>
      </c>
      <c r="X637" t="s">
        <v>524</v>
      </c>
      <c r="Y637" t="s">
        <v>1040</v>
      </c>
      <c r="Z637">
        <v>1</v>
      </c>
      <c r="AA637" t="s">
        <v>1301</v>
      </c>
    </row>
    <row r="638" spans="1:27">
      <c r="A638">
        <v>99</v>
      </c>
      <c r="B638" s="139">
        <v>46178.527083333327</v>
      </c>
      <c r="C638" s="139">
        <v>46178.53</v>
      </c>
      <c r="D638" t="s">
        <v>413</v>
      </c>
      <c r="E638" t="s">
        <v>414</v>
      </c>
      <c r="F638" t="s">
        <v>415</v>
      </c>
      <c r="G638" t="s">
        <v>416</v>
      </c>
      <c r="H638" s="139">
        <v>46171</v>
      </c>
      <c r="I638" t="s">
        <v>136</v>
      </c>
      <c r="J638" t="s">
        <v>174</v>
      </c>
      <c r="L638" t="s">
        <v>627</v>
      </c>
      <c r="N638" t="s">
        <v>655</v>
      </c>
      <c r="O638" t="s">
        <v>135</v>
      </c>
      <c r="P638" t="s">
        <v>108</v>
      </c>
      <c r="Q638" t="s">
        <v>109</v>
      </c>
      <c r="R638" t="s">
        <v>24</v>
      </c>
      <c r="S638" t="s">
        <v>143</v>
      </c>
      <c r="T638" t="s">
        <v>661</v>
      </c>
      <c r="U638" t="s">
        <v>662</v>
      </c>
      <c r="V638" t="s">
        <v>151</v>
      </c>
      <c r="W638" t="s">
        <v>169</v>
      </c>
      <c r="X638" t="s">
        <v>524</v>
      </c>
      <c r="Y638" t="s">
        <v>1042</v>
      </c>
      <c r="Z638">
        <v>1</v>
      </c>
      <c r="AA638" t="s">
        <v>1302</v>
      </c>
    </row>
    <row r="639" spans="1:27">
      <c r="A639">
        <v>99</v>
      </c>
      <c r="B639" s="139">
        <v>46178.527083333327</v>
      </c>
      <c r="C639" s="139">
        <v>46178.53</v>
      </c>
      <c r="D639" t="s">
        <v>413</v>
      </c>
      <c r="E639" t="s">
        <v>414</v>
      </c>
      <c r="F639" t="s">
        <v>415</v>
      </c>
      <c r="G639" t="s">
        <v>416</v>
      </c>
      <c r="H639" s="139">
        <v>46171</v>
      </c>
      <c r="I639" t="s">
        <v>136</v>
      </c>
      <c r="J639" t="s">
        <v>174</v>
      </c>
      <c r="L639" t="s">
        <v>627</v>
      </c>
      <c r="N639" t="s">
        <v>655</v>
      </c>
      <c r="O639" t="s">
        <v>135</v>
      </c>
      <c r="P639" t="s">
        <v>108</v>
      </c>
      <c r="Q639" t="s">
        <v>109</v>
      </c>
      <c r="R639" t="s">
        <v>24</v>
      </c>
      <c r="S639" t="s">
        <v>143</v>
      </c>
      <c r="T639" t="s">
        <v>661</v>
      </c>
      <c r="U639" t="s">
        <v>662</v>
      </c>
      <c r="V639" t="s">
        <v>151</v>
      </c>
      <c r="W639" t="s">
        <v>169</v>
      </c>
      <c r="X639" t="s">
        <v>524</v>
      </c>
      <c r="Y639" t="s">
        <v>1042</v>
      </c>
      <c r="Z639">
        <v>2</v>
      </c>
      <c r="AA639" t="s">
        <v>1303</v>
      </c>
    </row>
    <row r="640" spans="1:27">
      <c r="A640">
        <v>99</v>
      </c>
      <c r="B640" s="139">
        <v>46178.527083333327</v>
      </c>
      <c r="C640" s="139">
        <v>46178.53</v>
      </c>
      <c r="D640" t="s">
        <v>413</v>
      </c>
      <c r="E640" t="s">
        <v>414</v>
      </c>
      <c r="F640" t="s">
        <v>415</v>
      </c>
      <c r="G640" t="s">
        <v>416</v>
      </c>
      <c r="H640" s="139">
        <v>46171</v>
      </c>
      <c r="I640" t="s">
        <v>136</v>
      </c>
      <c r="J640" t="s">
        <v>174</v>
      </c>
      <c r="L640" t="s">
        <v>627</v>
      </c>
      <c r="N640" t="s">
        <v>655</v>
      </c>
      <c r="O640" t="s">
        <v>135</v>
      </c>
      <c r="P640" t="s">
        <v>108</v>
      </c>
      <c r="Q640" t="s">
        <v>109</v>
      </c>
      <c r="R640" t="s">
        <v>24</v>
      </c>
      <c r="S640" t="s">
        <v>143</v>
      </c>
      <c r="T640" t="s">
        <v>661</v>
      </c>
      <c r="U640" t="s">
        <v>662</v>
      </c>
      <c r="V640" t="s">
        <v>151</v>
      </c>
      <c r="W640" t="s">
        <v>169</v>
      </c>
      <c r="X640" t="s">
        <v>524</v>
      </c>
      <c r="Y640" t="s">
        <v>1044</v>
      </c>
      <c r="Z640">
        <v>1</v>
      </c>
      <c r="AA640" t="s">
        <v>1304</v>
      </c>
    </row>
    <row r="641" spans="1:27">
      <c r="A641">
        <v>99</v>
      </c>
      <c r="B641" s="139">
        <v>46178.527083333327</v>
      </c>
      <c r="C641" s="139">
        <v>46178.53</v>
      </c>
      <c r="D641" t="s">
        <v>413</v>
      </c>
      <c r="E641" t="s">
        <v>414</v>
      </c>
      <c r="F641" t="s">
        <v>415</v>
      </c>
      <c r="G641" t="s">
        <v>416</v>
      </c>
      <c r="H641" s="139">
        <v>46171</v>
      </c>
      <c r="I641" t="s">
        <v>136</v>
      </c>
      <c r="J641" t="s">
        <v>174</v>
      </c>
      <c r="L641" t="s">
        <v>627</v>
      </c>
      <c r="N641" t="s">
        <v>655</v>
      </c>
      <c r="O641" t="s">
        <v>135</v>
      </c>
      <c r="P641" t="s">
        <v>108</v>
      </c>
      <c r="Q641" t="s">
        <v>109</v>
      </c>
      <c r="R641" t="s">
        <v>24</v>
      </c>
      <c r="S641" t="s">
        <v>143</v>
      </c>
      <c r="T641" t="s">
        <v>661</v>
      </c>
      <c r="U641" t="s">
        <v>662</v>
      </c>
      <c r="V641" t="s">
        <v>151</v>
      </c>
      <c r="W641" t="s">
        <v>169</v>
      </c>
      <c r="X641" t="s">
        <v>524</v>
      </c>
      <c r="Y641" t="s">
        <v>1044</v>
      </c>
      <c r="Z641">
        <v>2</v>
      </c>
      <c r="AA641" t="s">
        <v>1305</v>
      </c>
    </row>
    <row r="642" spans="1:27">
      <c r="A642">
        <v>100</v>
      </c>
      <c r="B642" s="139">
        <v>46178.530046296299</v>
      </c>
      <c r="C642" s="139">
        <v>46178.531759259262</v>
      </c>
      <c r="D642" t="s">
        <v>413</v>
      </c>
      <c r="E642" t="s">
        <v>414</v>
      </c>
      <c r="F642" t="s">
        <v>415</v>
      </c>
      <c r="G642" t="s">
        <v>416</v>
      </c>
      <c r="H642" s="139">
        <v>46171</v>
      </c>
      <c r="I642" t="s">
        <v>136</v>
      </c>
      <c r="J642" t="s">
        <v>174</v>
      </c>
      <c r="L642" t="s">
        <v>627</v>
      </c>
      <c r="N642" t="s">
        <v>418</v>
      </c>
      <c r="O642" t="s">
        <v>107</v>
      </c>
      <c r="P642" t="s">
        <v>108</v>
      </c>
      <c r="Q642" t="s">
        <v>109</v>
      </c>
      <c r="R642" t="s">
        <v>21</v>
      </c>
      <c r="S642" t="s">
        <v>149</v>
      </c>
      <c r="T642" t="s">
        <v>233</v>
      </c>
      <c r="U642" t="s">
        <v>666</v>
      </c>
      <c r="V642" t="s">
        <v>151</v>
      </c>
      <c r="W642" t="s">
        <v>169</v>
      </c>
      <c r="X642" t="s">
        <v>177</v>
      </c>
      <c r="Y642" t="s">
        <v>1040</v>
      </c>
      <c r="Z642">
        <v>1</v>
      </c>
      <c r="AA642" t="s">
        <v>1215</v>
      </c>
    </row>
    <row r="643" spans="1:27">
      <c r="A643">
        <v>100</v>
      </c>
      <c r="B643" s="139">
        <v>46178.530046296299</v>
      </c>
      <c r="C643" s="139">
        <v>46178.531759259262</v>
      </c>
      <c r="D643" t="s">
        <v>413</v>
      </c>
      <c r="E643" t="s">
        <v>414</v>
      </c>
      <c r="F643" t="s">
        <v>415</v>
      </c>
      <c r="G643" t="s">
        <v>416</v>
      </c>
      <c r="H643" s="139">
        <v>46171</v>
      </c>
      <c r="I643" t="s">
        <v>136</v>
      </c>
      <c r="J643" t="s">
        <v>174</v>
      </c>
      <c r="L643" t="s">
        <v>627</v>
      </c>
      <c r="N643" t="s">
        <v>418</v>
      </c>
      <c r="O643" t="s">
        <v>107</v>
      </c>
      <c r="P643" t="s">
        <v>108</v>
      </c>
      <c r="Q643" t="s">
        <v>109</v>
      </c>
      <c r="R643" t="s">
        <v>21</v>
      </c>
      <c r="S643" t="s">
        <v>149</v>
      </c>
      <c r="T643" t="s">
        <v>233</v>
      </c>
      <c r="U643" t="s">
        <v>666</v>
      </c>
      <c r="V643" t="s">
        <v>151</v>
      </c>
      <c r="W643" t="s">
        <v>169</v>
      </c>
      <c r="X643" t="s">
        <v>177</v>
      </c>
      <c r="Y643" t="s">
        <v>1040</v>
      </c>
      <c r="Z643">
        <v>2</v>
      </c>
      <c r="AA643" t="s">
        <v>1201</v>
      </c>
    </row>
    <row r="644" spans="1:27">
      <c r="A644">
        <v>100</v>
      </c>
      <c r="B644" s="139">
        <v>46178.530046296299</v>
      </c>
      <c r="C644" s="139">
        <v>46178.531759259262</v>
      </c>
      <c r="D644" t="s">
        <v>413</v>
      </c>
      <c r="E644" t="s">
        <v>414</v>
      </c>
      <c r="F644" t="s">
        <v>415</v>
      </c>
      <c r="G644" t="s">
        <v>416</v>
      </c>
      <c r="H644" s="139">
        <v>46171</v>
      </c>
      <c r="I644" t="s">
        <v>136</v>
      </c>
      <c r="J644" t="s">
        <v>174</v>
      </c>
      <c r="L644" t="s">
        <v>627</v>
      </c>
      <c r="N644" t="s">
        <v>418</v>
      </c>
      <c r="O644" t="s">
        <v>107</v>
      </c>
      <c r="P644" t="s">
        <v>108</v>
      </c>
      <c r="Q644" t="s">
        <v>109</v>
      </c>
      <c r="R644" t="s">
        <v>21</v>
      </c>
      <c r="S644" t="s">
        <v>149</v>
      </c>
      <c r="T644" t="s">
        <v>233</v>
      </c>
      <c r="U644" t="s">
        <v>666</v>
      </c>
      <c r="V644" t="s">
        <v>151</v>
      </c>
      <c r="W644" t="s">
        <v>169</v>
      </c>
      <c r="X644" t="s">
        <v>177</v>
      </c>
      <c r="Y644" t="s">
        <v>1042</v>
      </c>
      <c r="Z644">
        <v>1</v>
      </c>
      <c r="AA644" t="s">
        <v>1104</v>
      </c>
    </row>
    <row r="645" spans="1:27">
      <c r="A645">
        <v>100</v>
      </c>
      <c r="B645" s="139">
        <v>46178.530046296299</v>
      </c>
      <c r="C645" s="139">
        <v>46178.531759259262</v>
      </c>
      <c r="D645" t="s">
        <v>413</v>
      </c>
      <c r="E645" t="s">
        <v>414</v>
      </c>
      <c r="F645" t="s">
        <v>415</v>
      </c>
      <c r="G645" t="s">
        <v>416</v>
      </c>
      <c r="H645" s="139">
        <v>46171</v>
      </c>
      <c r="I645" t="s">
        <v>136</v>
      </c>
      <c r="J645" t="s">
        <v>174</v>
      </c>
      <c r="L645" t="s">
        <v>627</v>
      </c>
      <c r="N645" t="s">
        <v>418</v>
      </c>
      <c r="O645" t="s">
        <v>107</v>
      </c>
      <c r="P645" t="s">
        <v>108</v>
      </c>
      <c r="Q645" t="s">
        <v>109</v>
      </c>
      <c r="R645" t="s">
        <v>21</v>
      </c>
      <c r="S645" t="s">
        <v>149</v>
      </c>
      <c r="T645" t="s">
        <v>233</v>
      </c>
      <c r="U645" t="s">
        <v>666</v>
      </c>
      <c r="V645" t="s">
        <v>151</v>
      </c>
      <c r="W645" t="s">
        <v>169</v>
      </c>
      <c r="X645" t="s">
        <v>177</v>
      </c>
      <c r="Y645" t="s">
        <v>1042</v>
      </c>
      <c r="Z645">
        <v>2</v>
      </c>
      <c r="AA645" t="s">
        <v>1107</v>
      </c>
    </row>
    <row r="646" spans="1:27">
      <c r="A646">
        <v>100</v>
      </c>
      <c r="B646" s="139">
        <v>46178.530046296299</v>
      </c>
      <c r="C646" s="139">
        <v>46178.531759259262</v>
      </c>
      <c r="D646" t="s">
        <v>413</v>
      </c>
      <c r="E646" t="s">
        <v>414</v>
      </c>
      <c r="F646" t="s">
        <v>415</v>
      </c>
      <c r="G646" t="s">
        <v>416</v>
      </c>
      <c r="H646" s="139">
        <v>46171</v>
      </c>
      <c r="I646" t="s">
        <v>136</v>
      </c>
      <c r="J646" t="s">
        <v>174</v>
      </c>
      <c r="L646" t="s">
        <v>627</v>
      </c>
      <c r="N646" t="s">
        <v>418</v>
      </c>
      <c r="O646" t="s">
        <v>107</v>
      </c>
      <c r="P646" t="s">
        <v>108</v>
      </c>
      <c r="Q646" t="s">
        <v>109</v>
      </c>
      <c r="R646" t="s">
        <v>21</v>
      </c>
      <c r="S646" t="s">
        <v>149</v>
      </c>
      <c r="T646" t="s">
        <v>233</v>
      </c>
      <c r="U646" t="s">
        <v>666</v>
      </c>
      <c r="V646" t="s">
        <v>151</v>
      </c>
      <c r="W646" t="s">
        <v>169</v>
      </c>
      <c r="X646" t="s">
        <v>177</v>
      </c>
      <c r="Y646" t="s">
        <v>1042</v>
      </c>
      <c r="Z646">
        <v>3</v>
      </c>
      <c r="AA646" t="s">
        <v>1106</v>
      </c>
    </row>
    <row r="647" spans="1:27">
      <c r="A647">
        <v>100</v>
      </c>
      <c r="B647" s="139">
        <v>46178.530046296299</v>
      </c>
      <c r="C647" s="139">
        <v>46178.531759259262</v>
      </c>
      <c r="D647" t="s">
        <v>413</v>
      </c>
      <c r="E647" t="s">
        <v>414</v>
      </c>
      <c r="F647" t="s">
        <v>415</v>
      </c>
      <c r="G647" t="s">
        <v>416</v>
      </c>
      <c r="H647" s="139">
        <v>46171</v>
      </c>
      <c r="I647" t="s">
        <v>136</v>
      </c>
      <c r="J647" t="s">
        <v>174</v>
      </c>
      <c r="L647" t="s">
        <v>627</v>
      </c>
      <c r="N647" t="s">
        <v>418</v>
      </c>
      <c r="O647" t="s">
        <v>107</v>
      </c>
      <c r="P647" t="s">
        <v>108</v>
      </c>
      <c r="Q647" t="s">
        <v>109</v>
      </c>
      <c r="R647" t="s">
        <v>21</v>
      </c>
      <c r="S647" t="s">
        <v>149</v>
      </c>
      <c r="T647" t="s">
        <v>233</v>
      </c>
      <c r="U647" t="s">
        <v>666</v>
      </c>
      <c r="V647" t="s">
        <v>151</v>
      </c>
      <c r="W647" t="s">
        <v>169</v>
      </c>
      <c r="X647" t="s">
        <v>177</v>
      </c>
      <c r="Y647" t="s">
        <v>1042</v>
      </c>
      <c r="Z647">
        <v>4</v>
      </c>
      <c r="AA647" t="s">
        <v>1306</v>
      </c>
    </row>
    <row r="648" spans="1:27">
      <c r="A648">
        <v>100</v>
      </c>
      <c r="B648" s="139">
        <v>46178.530046296299</v>
      </c>
      <c r="C648" s="139">
        <v>46178.531759259262</v>
      </c>
      <c r="D648" t="s">
        <v>413</v>
      </c>
      <c r="E648" t="s">
        <v>414</v>
      </c>
      <c r="F648" t="s">
        <v>415</v>
      </c>
      <c r="G648" t="s">
        <v>416</v>
      </c>
      <c r="H648" s="139">
        <v>46171</v>
      </c>
      <c r="I648" t="s">
        <v>136</v>
      </c>
      <c r="J648" t="s">
        <v>174</v>
      </c>
      <c r="L648" t="s">
        <v>627</v>
      </c>
      <c r="N648" t="s">
        <v>418</v>
      </c>
      <c r="O648" t="s">
        <v>107</v>
      </c>
      <c r="P648" t="s">
        <v>108</v>
      </c>
      <c r="Q648" t="s">
        <v>109</v>
      </c>
      <c r="R648" t="s">
        <v>21</v>
      </c>
      <c r="S648" t="s">
        <v>149</v>
      </c>
      <c r="T648" t="s">
        <v>233</v>
      </c>
      <c r="U648" t="s">
        <v>666</v>
      </c>
      <c r="V648" t="s">
        <v>151</v>
      </c>
      <c r="W648" t="s">
        <v>169</v>
      </c>
      <c r="X648" t="s">
        <v>177</v>
      </c>
      <c r="Y648" t="s">
        <v>1042</v>
      </c>
      <c r="Z648">
        <v>5</v>
      </c>
      <c r="AA648" t="s">
        <v>1173</v>
      </c>
    </row>
    <row r="649" spans="1:27">
      <c r="A649">
        <v>100</v>
      </c>
      <c r="B649" s="139">
        <v>46178.530046296299</v>
      </c>
      <c r="C649" s="139">
        <v>46178.531759259262</v>
      </c>
      <c r="D649" t="s">
        <v>413</v>
      </c>
      <c r="E649" t="s">
        <v>414</v>
      </c>
      <c r="F649" t="s">
        <v>415</v>
      </c>
      <c r="G649" t="s">
        <v>416</v>
      </c>
      <c r="H649" s="139">
        <v>46171</v>
      </c>
      <c r="I649" t="s">
        <v>136</v>
      </c>
      <c r="J649" t="s">
        <v>174</v>
      </c>
      <c r="L649" t="s">
        <v>627</v>
      </c>
      <c r="N649" t="s">
        <v>418</v>
      </c>
      <c r="O649" t="s">
        <v>107</v>
      </c>
      <c r="P649" t="s">
        <v>108</v>
      </c>
      <c r="Q649" t="s">
        <v>109</v>
      </c>
      <c r="R649" t="s">
        <v>21</v>
      </c>
      <c r="S649" t="s">
        <v>149</v>
      </c>
      <c r="T649" t="s">
        <v>233</v>
      </c>
      <c r="U649" t="s">
        <v>666</v>
      </c>
      <c r="V649" t="s">
        <v>151</v>
      </c>
      <c r="W649" t="s">
        <v>169</v>
      </c>
      <c r="X649" t="s">
        <v>177</v>
      </c>
      <c r="Y649" t="s">
        <v>1042</v>
      </c>
      <c r="Z649">
        <v>6</v>
      </c>
      <c r="AA649" t="s">
        <v>1155</v>
      </c>
    </row>
    <row r="650" spans="1:27">
      <c r="A650">
        <v>100</v>
      </c>
      <c r="B650" s="139">
        <v>46178.530046296299</v>
      </c>
      <c r="C650" s="139">
        <v>46178.531759259262</v>
      </c>
      <c r="D650" t="s">
        <v>413</v>
      </c>
      <c r="E650" t="s">
        <v>414</v>
      </c>
      <c r="F650" t="s">
        <v>415</v>
      </c>
      <c r="G650" t="s">
        <v>416</v>
      </c>
      <c r="H650" s="139">
        <v>46171</v>
      </c>
      <c r="I650" t="s">
        <v>136</v>
      </c>
      <c r="J650" t="s">
        <v>174</v>
      </c>
      <c r="L650" t="s">
        <v>627</v>
      </c>
      <c r="N650" t="s">
        <v>418</v>
      </c>
      <c r="O650" t="s">
        <v>107</v>
      </c>
      <c r="P650" t="s">
        <v>108</v>
      </c>
      <c r="Q650" t="s">
        <v>109</v>
      </c>
      <c r="R650" t="s">
        <v>21</v>
      </c>
      <c r="S650" t="s">
        <v>149</v>
      </c>
      <c r="T650" t="s">
        <v>233</v>
      </c>
      <c r="U650" t="s">
        <v>666</v>
      </c>
      <c r="V650" t="s">
        <v>151</v>
      </c>
      <c r="W650" t="s">
        <v>169</v>
      </c>
      <c r="X650" t="s">
        <v>177</v>
      </c>
      <c r="Y650" t="s">
        <v>1042</v>
      </c>
      <c r="Z650">
        <v>7</v>
      </c>
      <c r="AA650" t="s">
        <v>1307</v>
      </c>
    </row>
    <row r="651" spans="1:27">
      <c r="A651">
        <v>100</v>
      </c>
      <c r="B651" s="139">
        <v>46178.530046296299</v>
      </c>
      <c r="C651" s="139">
        <v>46178.531759259262</v>
      </c>
      <c r="D651" t="s">
        <v>413</v>
      </c>
      <c r="E651" t="s">
        <v>414</v>
      </c>
      <c r="F651" t="s">
        <v>415</v>
      </c>
      <c r="G651" t="s">
        <v>416</v>
      </c>
      <c r="H651" s="139">
        <v>46171</v>
      </c>
      <c r="I651" t="s">
        <v>136</v>
      </c>
      <c r="J651" t="s">
        <v>174</v>
      </c>
      <c r="L651" t="s">
        <v>627</v>
      </c>
      <c r="N651" t="s">
        <v>418</v>
      </c>
      <c r="O651" t="s">
        <v>107</v>
      </c>
      <c r="P651" t="s">
        <v>108</v>
      </c>
      <c r="Q651" t="s">
        <v>109</v>
      </c>
      <c r="R651" t="s">
        <v>21</v>
      </c>
      <c r="S651" t="s">
        <v>149</v>
      </c>
      <c r="T651" t="s">
        <v>233</v>
      </c>
      <c r="U651" t="s">
        <v>666</v>
      </c>
      <c r="V651" t="s">
        <v>151</v>
      </c>
      <c r="W651" t="s">
        <v>169</v>
      </c>
      <c r="X651" t="s">
        <v>177</v>
      </c>
      <c r="Y651" t="s">
        <v>1044</v>
      </c>
      <c r="Z651">
        <v>1</v>
      </c>
      <c r="AA651" t="s">
        <v>1108</v>
      </c>
    </row>
    <row r="652" spans="1:27">
      <c r="A652">
        <v>100</v>
      </c>
      <c r="B652" s="139">
        <v>46178.530046296299</v>
      </c>
      <c r="C652" s="139">
        <v>46178.531759259262</v>
      </c>
      <c r="D652" t="s">
        <v>413</v>
      </c>
      <c r="E652" t="s">
        <v>414</v>
      </c>
      <c r="F652" t="s">
        <v>415</v>
      </c>
      <c r="G652" t="s">
        <v>416</v>
      </c>
      <c r="H652" s="139">
        <v>46171</v>
      </c>
      <c r="I652" t="s">
        <v>136</v>
      </c>
      <c r="J652" t="s">
        <v>174</v>
      </c>
      <c r="L652" t="s">
        <v>627</v>
      </c>
      <c r="N652" t="s">
        <v>418</v>
      </c>
      <c r="O652" t="s">
        <v>107</v>
      </c>
      <c r="P652" t="s">
        <v>108</v>
      </c>
      <c r="Q652" t="s">
        <v>109</v>
      </c>
      <c r="R652" t="s">
        <v>21</v>
      </c>
      <c r="S652" t="s">
        <v>149</v>
      </c>
      <c r="T652" t="s">
        <v>233</v>
      </c>
      <c r="U652" t="s">
        <v>666</v>
      </c>
      <c r="V652" t="s">
        <v>151</v>
      </c>
      <c r="W652" t="s">
        <v>169</v>
      </c>
      <c r="X652" t="s">
        <v>177</v>
      </c>
      <c r="Y652" t="s">
        <v>1044</v>
      </c>
      <c r="Z652">
        <v>2</v>
      </c>
      <c r="AA652" t="s">
        <v>909</v>
      </c>
    </row>
    <row r="653" spans="1:27">
      <c r="A653">
        <v>100</v>
      </c>
      <c r="B653" s="139">
        <v>46178.530046296299</v>
      </c>
      <c r="C653" s="139">
        <v>46178.531759259262</v>
      </c>
      <c r="D653" t="s">
        <v>413</v>
      </c>
      <c r="E653" t="s">
        <v>414</v>
      </c>
      <c r="F653" t="s">
        <v>415</v>
      </c>
      <c r="G653" t="s">
        <v>416</v>
      </c>
      <c r="H653" s="139">
        <v>46171</v>
      </c>
      <c r="I653" t="s">
        <v>136</v>
      </c>
      <c r="J653" t="s">
        <v>174</v>
      </c>
      <c r="L653" t="s">
        <v>627</v>
      </c>
      <c r="N653" t="s">
        <v>418</v>
      </c>
      <c r="O653" t="s">
        <v>107</v>
      </c>
      <c r="P653" t="s">
        <v>108</v>
      </c>
      <c r="Q653" t="s">
        <v>109</v>
      </c>
      <c r="R653" t="s">
        <v>21</v>
      </c>
      <c r="S653" t="s">
        <v>149</v>
      </c>
      <c r="T653" t="s">
        <v>233</v>
      </c>
      <c r="U653" t="s">
        <v>666</v>
      </c>
      <c r="V653" t="s">
        <v>151</v>
      </c>
      <c r="W653" t="s">
        <v>169</v>
      </c>
      <c r="X653" t="s">
        <v>177</v>
      </c>
      <c r="Y653" t="s">
        <v>1044</v>
      </c>
      <c r="Z653">
        <v>3</v>
      </c>
      <c r="AA653" t="s">
        <v>1205</v>
      </c>
    </row>
    <row r="654" spans="1:27">
      <c r="A654">
        <v>100</v>
      </c>
      <c r="B654" s="139">
        <v>46178.530046296299</v>
      </c>
      <c r="C654" s="139">
        <v>46178.531759259262</v>
      </c>
      <c r="D654" t="s">
        <v>413</v>
      </c>
      <c r="E654" t="s">
        <v>414</v>
      </c>
      <c r="F654" t="s">
        <v>415</v>
      </c>
      <c r="G654" t="s">
        <v>416</v>
      </c>
      <c r="H654" s="139">
        <v>46171</v>
      </c>
      <c r="I654" t="s">
        <v>136</v>
      </c>
      <c r="J654" t="s">
        <v>174</v>
      </c>
      <c r="L654" t="s">
        <v>627</v>
      </c>
      <c r="N654" t="s">
        <v>418</v>
      </c>
      <c r="O654" t="s">
        <v>107</v>
      </c>
      <c r="P654" t="s">
        <v>108</v>
      </c>
      <c r="Q654" t="s">
        <v>109</v>
      </c>
      <c r="R654" t="s">
        <v>21</v>
      </c>
      <c r="S654" t="s">
        <v>149</v>
      </c>
      <c r="T654" t="s">
        <v>233</v>
      </c>
      <c r="U654" t="s">
        <v>666</v>
      </c>
      <c r="V654" t="s">
        <v>151</v>
      </c>
      <c r="W654" t="s">
        <v>169</v>
      </c>
      <c r="X654" t="s">
        <v>177</v>
      </c>
      <c r="Y654" t="s">
        <v>1044</v>
      </c>
      <c r="Z654">
        <v>4</v>
      </c>
      <c r="AA654" t="s">
        <v>1280</v>
      </c>
    </row>
    <row r="655" spans="1:27">
      <c r="A655">
        <v>101</v>
      </c>
      <c r="B655" s="139">
        <v>46178.531828703701</v>
      </c>
      <c r="C655" s="139">
        <v>46178.53334490741</v>
      </c>
      <c r="D655" t="s">
        <v>413</v>
      </c>
      <c r="E655" t="s">
        <v>414</v>
      </c>
      <c r="F655" t="s">
        <v>415</v>
      </c>
      <c r="G655" t="s">
        <v>416</v>
      </c>
      <c r="H655" s="139">
        <v>46171</v>
      </c>
      <c r="I655" t="s">
        <v>136</v>
      </c>
      <c r="J655" t="s">
        <v>174</v>
      </c>
      <c r="L655" t="s">
        <v>627</v>
      </c>
      <c r="N655" t="s">
        <v>418</v>
      </c>
      <c r="O655" t="s">
        <v>107</v>
      </c>
      <c r="P655" t="s">
        <v>108</v>
      </c>
      <c r="Q655" t="s">
        <v>109</v>
      </c>
      <c r="R655" t="s">
        <v>22</v>
      </c>
      <c r="S655" t="s">
        <v>149</v>
      </c>
      <c r="T655" t="s">
        <v>150</v>
      </c>
      <c r="U655" t="s">
        <v>668</v>
      </c>
      <c r="V655" t="s">
        <v>151</v>
      </c>
      <c r="W655" t="s">
        <v>130</v>
      </c>
      <c r="X655" t="s">
        <v>146</v>
      </c>
      <c r="Y655" t="s">
        <v>1040</v>
      </c>
      <c r="Z655">
        <v>1</v>
      </c>
      <c r="AA655" t="s">
        <v>1260</v>
      </c>
    </row>
    <row r="656" spans="1:27">
      <c r="A656">
        <v>101</v>
      </c>
      <c r="B656" s="139">
        <v>46178.531828703701</v>
      </c>
      <c r="C656" s="139">
        <v>46178.53334490741</v>
      </c>
      <c r="D656" t="s">
        <v>413</v>
      </c>
      <c r="E656" t="s">
        <v>414</v>
      </c>
      <c r="F656" t="s">
        <v>415</v>
      </c>
      <c r="G656" t="s">
        <v>416</v>
      </c>
      <c r="H656" s="139">
        <v>46171</v>
      </c>
      <c r="I656" t="s">
        <v>136</v>
      </c>
      <c r="J656" t="s">
        <v>174</v>
      </c>
      <c r="L656" t="s">
        <v>627</v>
      </c>
      <c r="N656" t="s">
        <v>418</v>
      </c>
      <c r="O656" t="s">
        <v>107</v>
      </c>
      <c r="P656" t="s">
        <v>108</v>
      </c>
      <c r="Q656" t="s">
        <v>109</v>
      </c>
      <c r="R656" t="s">
        <v>22</v>
      </c>
      <c r="S656" t="s">
        <v>149</v>
      </c>
      <c r="T656" t="s">
        <v>150</v>
      </c>
      <c r="U656" t="s">
        <v>668</v>
      </c>
      <c r="V656" t="s">
        <v>151</v>
      </c>
      <c r="W656" t="s">
        <v>130</v>
      </c>
      <c r="X656" t="s">
        <v>146</v>
      </c>
      <c r="Y656" t="s">
        <v>1042</v>
      </c>
      <c r="Z656">
        <v>1</v>
      </c>
      <c r="AA656" t="s">
        <v>1140</v>
      </c>
    </row>
    <row r="657" spans="1:27">
      <c r="A657">
        <v>101</v>
      </c>
      <c r="B657" s="139">
        <v>46178.531828703701</v>
      </c>
      <c r="C657" s="139">
        <v>46178.53334490741</v>
      </c>
      <c r="D657" t="s">
        <v>413</v>
      </c>
      <c r="E657" t="s">
        <v>414</v>
      </c>
      <c r="F657" t="s">
        <v>415</v>
      </c>
      <c r="G657" t="s">
        <v>416</v>
      </c>
      <c r="H657" s="139">
        <v>46171</v>
      </c>
      <c r="I657" t="s">
        <v>136</v>
      </c>
      <c r="J657" t="s">
        <v>174</v>
      </c>
      <c r="L657" t="s">
        <v>627</v>
      </c>
      <c r="N657" t="s">
        <v>418</v>
      </c>
      <c r="O657" t="s">
        <v>107</v>
      </c>
      <c r="P657" t="s">
        <v>108</v>
      </c>
      <c r="Q657" t="s">
        <v>109</v>
      </c>
      <c r="R657" t="s">
        <v>22</v>
      </c>
      <c r="S657" t="s">
        <v>149</v>
      </c>
      <c r="T657" t="s">
        <v>150</v>
      </c>
      <c r="U657" t="s">
        <v>668</v>
      </c>
      <c r="V657" t="s">
        <v>151</v>
      </c>
      <c r="W657" t="s">
        <v>130</v>
      </c>
      <c r="X657" t="s">
        <v>146</v>
      </c>
      <c r="Y657" t="s">
        <v>1042</v>
      </c>
      <c r="Z657">
        <v>2</v>
      </c>
      <c r="AA657" t="s">
        <v>1112</v>
      </c>
    </row>
    <row r="658" spans="1:27">
      <c r="A658">
        <v>101</v>
      </c>
      <c r="B658" s="139">
        <v>46178.531828703701</v>
      </c>
      <c r="C658" s="139">
        <v>46178.53334490741</v>
      </c>
      <c r="D658" t="s">
        <v>413</v>
      </c>
      <c r="E658" t="s">
        <v>414</v>
      </c>
      <c r="F658" t="s">
        <v>415</v>
      </c>
      <c r="G658" t="s">
        <v>416</v>
      </c>
      <c r="H658" s="139">
        <v>46171</v>
      </c>
      <c r="I658" t="s">
        <v>136</v>
      </c>
      <c r="J658" t="s">
        <v>174</v>
      </c>
      <c r="L658" t="s">
        <v>627</v>
      </c>
      <c r="N658" t="s">
        <v>418</v>
      </c>
      <c r="O658" t="s">
        <v>107</v>
      </c>
      <c r="P658" t="s">
        <v>108</v>
      </c>
      <c r="Q658" t="s">
        <v>109</v>
      </c>
      <c r="R658" t="s">
        <v>22</v>
      </c>
      <c r="S658" t="s">
        <v>149</v>
      </c>
      <c r="T658" t="s">
        <v>150</v>
      </c>
      <c r="U658" t="s">
        <v>668</v>
      </c>
      <c r="V658" t="s">
        <v>151</v>
      </c>
      <c r="W658" t="s">
        <v>130</v>
      </c>
      <c r="X658" t="s">
        <v>146</v>
      </c>
      <c r="Y658" t="s">
        <v>1044</v>
      </c>
      <c r="Z658">
        <v>1</v>
      </c>
      <c r="AA658" t="s">
        <v>1141</v>
      </c>
    </row>
    <row r="659" spans="1:27">
      <c r="A659">
        <v>101</v>
      </c>
      <c r="B659" s="139">
        <v>46178.531828703701</v>
      </c>
      <c r="C659" s="139">
        <v>46178.53334490741</v>
      </c>
      <c r="D659" t="s">
        <v>413</v>
      </c>
      <c r="E659" t="s">
        <v>414</v>
      </c>
      <c r="F659" t="s">
        <v>415</v>
      </c>
      <c r="G659" t="s">
        <v>416</v>
      </c>
      <c r="H659" s="139">
        <v>46171</v>
      </c>
      <c r="I659" t="s">
        <v>136</v>
      </c>
      <c r="J659" t="s">
        <v>174</v>
      </c>
      <c r="L659" t="s">
        <v>627</v>
      </c>
      <c r="N659" t="s">
        <v>418</v>
      </c>
      <c r="O659" t="s">
        <v>107</v>
      </c>
      <c r="P659" t="s">
        <v>108</v>
      </c>
      <c r="Q659" t="s">
        <v>109</v>
      </c>
      <c r="R659" t="s">
        <v>22</v>
      </c>
      <c r="S659" t="s">
        <v>149</v>
      </c>
      <c r="T659" t="s">
        <v>150</v>
      </c>
      <c r="U659" t="s">
        <v>668</v>
      </c>
      <c r="V659" t="s">
        <v>151</v>
      </c>
      <c r="W659" t="s">
        <v>130</v>
      </c>
      <c r="X659" t="s">
        <v>146</v>
      </c>
      <c r="Y659" t="s">
        <v>1044</v>
      </c>
      <c r="Z659">
        <v>2</v>
      </c>
      <c r="AA659" t="s">
        <v>1308</v>
      </c>
    </row>
    <row r="660" spans="1:27">
      <c r="A660">
        <v>102</v>
      </c>
      <c r="B660" s="139">
        <v>46178.533449074072</v>
      </c>
      <c r="C660" s="139">
        <v>46178.535092592603</v>
      </c>
      <c r="D660" t="s">
        <v>413</v>
      </c>
      <c r="E660" t="s">
        <v>414</v>
      </c>
      <c r="F660" t="s">
        <v>415</v>
      </c>
      <c r="G660" t="s">
        <v>416</v>
      </c>
      <c r="H660" s="139">
        <v>46171</v>
      </c>
      <c r="I660" t="s">
        <v>136</v>
      </c>
      <c r="J660" t="s">
        <v>174</v>
      </c>
      <c r="L660" t="s">
        <v>627</v>
      </c>
      <c r="N660" t="s">
        <v>418</v>
      </c>
      <c r="O660" t="s">
        <v>107</v>
      </c>
      <c r="P660" t="s">
        <v>108</v>
      </c>
      <c r="Q660" t="s">
        <v>109</v>
      </c>
      <c r="R660" t="s">
        <v>22</v>
      </c>
      <c r="S660" t="s">
        <v>143</v>
      </c>
      <c r="T660" t="s">
        <v>150</v>
      </c>
      <c r="U660" t="s">
        <v>670</v>
      </c>
      <c r="V660" t="s">
        <v>151</v>
      </c>
      <c r="W660" t="s">
        <v>130</v>
      </c>
      <c r="X660" t="s">
        <v>110</v>
      </c>
      <c r="Y660" t="s">
        <v>1040</v>
      </c>
      <c r="Z660">
        <v>1</v>
      </c>
      <c r="AA660" t="s">
        <v>1309</v>
      </c>
    </row>
    <row r="661" spans="1:27">
      <c r="A661">
        <v>102</v>
      </c>
      <c r="B661" s="139">
        <v>46178.533449074072</v>
      </c>
      <c r="C661" s="139">
        <v>46178.535092592603</v>
      </c>
      <c r="D661" t="s">
        <v>413</v>
      </c>
      <c r="E661" t="s">
        <v>414</v>
      </c>
      <c r="F661" t="s">
        <v>415</v>
      </c>
      <c r="G661" t="s">
        <v>416</v>
      </c>
      <c r="H661" s="139">
        <v>46171</v>
      </c>
      <c r="I661" t="s">
        <v>136</v>
      </c>
      <c r="J661" t="s">
        <v>174</v>
      </c>
      <c r="L661" t="s">
        <v>627</v>
      </c>
      <c r="N661" t="s">
        <v>418</v>
      </c>
      <c r="O661" t="s">
        <v>107</v>
      </c>
      <c r="P661" t="s">
        <v>108</v>
      </c>
      <c r="Q661" t="s">
        <v>109</v>
      </c>
      <c r="R661" t="s">
        <v>22</v>
      </c>
      <c r="S661" t="s">
        <v>143</v>
      </c>
      <c r="T661" t="s">
        <v>150</v>
      </c>
      <c r="U661" t="s">
        <v>670</v>
      </c>
      <c r="V661" t="s">
        <v>151</v>
      </c>
      <c r="W661" t="s">
        <v>130</v>
      </c>
      <c r="X661" t="s">
        <v>110</v>
      </c>
      <c r="Y661" t="s">
        <v>1042</v>
      </c>
      <c r="Z661">
        <v>1</v>
      </c>
      <c r="AA661" t="s">
        <v>1151</v>
      </c>
    </row>
    <row r="662" spans="1:27">
      <c r="A662">
        <v>102</v>
      </c>
      <c r="B662" s="139">
        <v>46178.533449074072</v>
      </c>
      <c r="C662" s="139">
        <v>46178.535092592603</v>
      </c>
      <c r="D662" t="s">
        <v>413</v>
      </c>
      <c r="E662" t="s">
        <v>414</v>
      </c>
      <c r="F662" t="s">
        <v>415</v>
      </c>
      <c r="G662" t="s">
        <v>416</v>
      </c>
      <c r="H662" s="139">
        <v>46171</v>
      </c>
      <c r="I662" t="s">
        <v>136</v>
      </c>
      <c r="J662" t="s">
        <v>174</v>
      </c>
      <c r="L662" t="s">
        <v>627</v>
      </c>
      <c r="N662" t="s">
        <v>418</v>
      </c>
      <c r="O662" t="s">
        <v>107</v>
      </c>
      <c r="P662" t="s">
        <v>108</v>
      </c>
      <c r="Q662" t="s">
        <v>109</v>
      </c>
      <c r="R662" t="s">
        <v>22</v>
      </c>
      <c r="S662" t="s">
        <v>143</v>
      </c>
      <c r="T662" t="s">
        <v>150</v>
      </c>
      <c r="U662" t="s">
        <v>670</v>
      </c>
      <c r="V662" t="s">
        <v>151</v>
      </c>
      <c r="W662" t="s">
        <v>130</v>
      </c>
      <c r="X662" t="s">
        <v>110</v>
      </c>
      <c r="Y662" t="s">
        <v>1042</v>
      </c>
      <c r="Z662">
        <v>2</v>
      </c>
      <c r="AA662" t="s">
        <v>1296</v>
      </c>
    </row>
    <row r="663" spans="1:27">
      <c r="A663">
        <v>102</v>
      </c>
      <c r="B663" s="139">
        <v>46178.533449074072</v>
      </c>
      <c r="C663" s="139">
        <v>46178.535092592603</v>
      </c>
      <c r="D663" t="s">
        <v>413</v>
      </c>
      <c r="E663" t="s">
        <v>414</v>
      </c>
      <c r="F663" t="s">
        <v>415</v>
      </c>
      <c r="G663" t="s">
        <v>416</v>
      </c>
      <c r="H663" s="139">
        <v>46171</v>
      </c>
      <c r="I663" t="s">
        <v>136</v>
      </c>
      <c r="J663" t="s">
        <v>174</v>
      </c>
      <c r="L663" t="s">
        <v>627</v>
      </c>
      <c r="N663" t="s">
        <v>418</v>
      </c>
      <c r="O663" t="s">
        <v>107</v>
      </c>
      <c r="P663" t="s">
        <v>108</v>
      </c>
      <c r="Q663" t="s">
        <v>109</v>
      </c>
      <c r="R663" t="s">
        <v>22</v>
      </c>
      <c r="S663" t="s">
        <v>143</v>
      </c>
      <c r="T663" t="s">
        <v>150</v>
      </c>
      <c r="U663" t="s">
        <v>670</v>
      </c>
      <c r="V663" t="s">
        <v>151</v>
      </c>
      <c r="W663" t="s">
        <v>130</v>
      </c>
      <c r="X663" t="s">
        <v>110</v>
      </c>
      <c r="Y663" t="s">
        <v>1042</v>
      </c>
      <c r="Z663">
        <v>3</v>
      </c>
      <c r="AA663" t="s">
        <v>1153</v>
      </c>
    </row>
    <row r="664" spans="1:27">
      <c r="A664">
        <v>102</v>
      </c>
      <c r="B664" s="139">
        <v>46178.533449074072</v>
      </c>
      <c r="C664" s="139">
        <v>46178.535092592603</v>
      </c>
      <c r="D664" t="s">
        <v>413</v>
      </c>
      <c r="E664" t="s">
        <v>414</v>
      </c>
      <c r="F664" t="s">
        <v>415</v>
      </c>
      <c r="G664" t="s">
        <v>416</v>
      </c>
      <c r="H664" s="139">
        <v>46171</v>
      </c>
      <c r="I664" t="s">
        <v>136</v>
      </c>
      <c r="J664" t="s">
        <v>174</v>
      </c>
      <c r="L664" t="s">
        <v>627</v>
      </c>
      <c r="N664" t="s">
        <v>418</v>
      </c>
      <c r="O664" t="s">
        <v>107</v>
      </c>
      <c r="P664" t="s">
        <v>108</v>
      </c>
      <c r="Q664" t="s">
        <v>109</v>
      </c>
      <c r="R664" t="s">
        <v>22</v>
      </c>
      <c r="S664" t="s">
        <v>143</v>
      </c>
      <c r="T664" t="s">
        <v>150</v>
      </c>
      <c r="U664" t="s">
        <v>670</v>
      </c>
      <c r="V664" t="s">
        <v>151</v>
      </c>
      <c r="W664" t="s">
        <v>130</v>
      </c>
      <c r="X664" t="s">
        <v>110</v>
      </c>
      <c r="Y664" t="s">
        <v>1044</v>
      </c>
      <c r="Z664">
        <v>1</v>
      </c>
      <c r="AA664" t="s">
        <v>1258</v>
      </c>
    </row>
    <row r="665" spans="1:27">
      <c r="A665">
        <v>103</v>
      </c>
      <c r="B665" s="139">
        <v>46178.598564814813</v>
      </c>
      <c r="C665" s="139">
        <v>46178.598912037043</v>
      </c>
      <c r="D665" t="s">
        <v>152</v>
      </c>
      <c r="E665" t="s">
        <v>153</v>
      </c>
      <c r="F665" t="s">
        <v>216</v>
      </c>
      <c r="G665" t="s">
        <v>154</v>
      </c>
      <c r="H665" s="139">
        <v>46171</v>
      </c>
      <c r="I665" t="s">
        <v>136</v>
      </c>
      <c r="J665" t="s">
        <v>174</v>
      </c>
      <c r="L665" t="s">
        <v>671</v>
      </c>
      <c r="N665" t="s">
        <v>672</v>
      </c>
      <c r="O665" t="s">
        <v>107</v>
      </c>
      <c r="P665" t="s">
        <v>108</v>
      </c>
      <c r="Q665" t="s">
        <v>109</v>
      </c>
      <c r="R665" t="s">
        <v>22</v>
      </c>
      <c r="S665" t="s">
        <v>143</v>
      </c>
      <c r="T665" t="s">
        <v>150</v>
      </c>
      <c r="U665" t="s">
        <v>675</v>
      </c>
      <c r="V665" t="s">
        <v>151</v>
      </c>
      <c r="W665" t="s">
        <v>130</v>
      </c>
      <c r="X665" t="s">
        <v>329</v>
      </c>
      <c r="Y665" t="s">
        <v>1040</v>
      </c>
      <c r="Z665">
        <v>1</v>
      </c>
      <c r="AA665" t="s">
        <v>1046</v>
      </c>
    </row>
    <row r="666" spans="1:27">
      <c r="A666">
        <v>103</v>
      </c>
      <c r="B666" s="139">
        <v>46178.598564814813</v>
      </c>
      <c r="C666" s="139">
        <v>46178.598912037043</v>
      </c>
      <c r="D666" t="s">
        <v>152</v>
      </c>
      <c r="E666" t="s">
        <v>153</v>
      </c>
      <c r="F666" t="s">
        <v>216</v>
      </c>
      <c r="G666" t="s">
        <v>154</v>
      </c>
      <c r="H666" s="139">
        <v>46171</v>
      </c>
      <c r="I666" t="s">
        <v>136</v>
      </c>
      <c r="J666" t="s">
        <v>174</v>
      </c>
      <c r="L666" t="s">
        <v>671</v>
      </c>
      <c r="N666" t="s">
        <v>672</v>
      </c>
      <c r="O666" t="s">
        <v>107</v>
      </c>
      <c r="P666" t="s">
        <v>108</v>
      </c>
      <c r="Q666" t="s">
        <v>109</v>
      </c>
      <c r="R666" t="s">
        <v>22</v>
      </c>
      <c r="S666" t="s">
        <v>143</v>
      </c>
      <c r="T666" t="s">
        <v>150</v>
      </c>
      <c r="U666" t="s">
        <v>675</v>
      </c>
      <c r="V666" t="s">
        <v>151</v>
      </c>
      <c r="W666" t="s">
        <v>130</v>
      </c>
      <c r="X666" t="s">
        <v>329</v>
      </c>
      <c r="Y666" t="s">
        <v>1042</v>
      </c>
      <c r="Z666">
        <v>1</v>
      </c>
      <c r="AA666" t="s">
        <v>1047</v>
      </c>
    </row>
    <row r="667" spans="1:27">
      <c r="A667">
        <v>103</v>
      </c>
      <c r="B667" s="139">
        <v>46178.598564814813</v>
      </c>
      <c r="C667" s="139">
        <v>46178.598912037043</v>
      </c>
      <c r="D667" t="s">
        <v>152</v>
      </c>
      <c r="E667" t="s">
        <v>153</v>
      </c>
      <c r="F667" t="s">
        <v>216</v>
      </c>
      <c r="G667" t="s">
        <v>154</v>
      </c>
      <c r="H667" s="139">
        <v>46171</v>
      </c>
      <c r="I667" t="s">
        <v>136</v>
      </c>
      <c r="J667" t="s">
        <v>174</v>
      </c>
      <c r="L667" t="s">
        <v>671</v>
      </c>
      <c r="N667" t="s">
        <v>672</v>
      </c>
      <c r="O667" t="s">
        <v>107</v>
      </c>
      <c r="P667" t="s">
        <v>108</v>
      </c>
      <c r="Q667" t="s">
        <v>109</v>
      </c>
      <c r="R667" t="s">
        <v>22</v>
      </c>
      <c r="S667" t="s">
        <v>143</v>
      </c>
      <c r="T667" t="s">
        <v>150</v>
      </c>
      <c r="U667" t="s">
        <v>675</v>
      </c>
      <c r="V667" t="s">
        <v>151</v>
      </c>
      <c r="W667" t="s">
        <v>130</v>
      </c>
      <c r="X667" t="s">
        <v>329</v>
      </c>
      <c r="Y667" t="s">
        <v>1042</v>
      </c>
      <c r="Z667">
        <v>2</v>
      </c>
      <c r="AA667" t="s">
        <v>1049</v>
      </c>
    </row>
    <row r="668" spans="1:27">
      <c r="A668">
        <v>103</v>
      </c>
      <c r="B668" s="139">
        <v>46178.598564814813</v>
      </c>
      <c r="C668" s="139">
        <v>46178.598912037043</v>
      </c>
      <c r="D668" t="s">
        <v>152</v>
      </c>
      <c r="E668" t="s">
        <v>153</v>
      </c>
      <c r="F668" t="s">
        <v>216</v>
      </c>
      <c r="G668" t="s">
        <v>154</v>
      </c>
      <c r="H668" s="139">
        <v>46171</v>
      </c>
      <c r="I668" t="s">
        <v>136</v>
      </c>
      <c r="J668" t="s">
        <v>174</v>
      </c>
      <c r="L668" t="s">
        <v>671</v>
      </c>
      <c r="N668" t="s">
        <v>672</v>
      </c>
      <c r="O668" t="s">
        <v>107</v>
      </c>
      <c r="P668" t="s">
        <v>108</v>
      </c>
      <c r="Q668" t="s">
        <v>109</v>
      </c>
      <c r="R668" t="s">
        <v>22</v>
      </c>
      <c r="S668" t="s">
        <v>143</v>
      </c>
      <c r="T668" t="s">
        <v>150</v>
      </c>
      <c r="U668" t="s">
        <v>675</v>
      </c>
      <c r="V668" t="s">
        <v>151</v>
      </c>
      <c r="W668" t="s">
        <v>130</v>
      </c>
      <c r="X668" t="s">
        <v>329</v>
      </c>
      <c r="Y668" t="s">
        <v>1042</v>
      </c>
      <c r="Z668">
        <v>3</v>
      </c>
      <c r="AA668" t="s">
        <v>1085</v>
      </c>
    </row>
    <row r="669" spans="1:27">
      <c r="A669">
        <v>103</v>
      </c>
      <c r="B669" s="139">
        <v>46178.598564814813</v>
      </c>
      <c r="C669" s="139">
        <v>46178.598912037043</v>
      </c>
      <c r="D669" t="s">
        <v>152</v>
      </c>
      <c r="E669" t="s">
        <v>153</v>
      </c>
      <c r="F669" t="s">
        <v>216</v>
      </c>
      <c r="G669" t="s">
        <v>154</v>
      </c>
      <c r="H669" s="139">
        <v>46171</v>
      </c>
      <c r="I669" t="s">
        <v>136</v>
      </c>
      <c r="J669" t="s">
        <v>174</v>
      </c>
      <c r="L669" t="s">
        <v>671</v>
      </c>
      <c r="N669" t="s">
        <v>672</v>
      </c>
      <c r="O669" t="s">
        <v>107</v>
      </c>
      <c r="P669" t="s">
        <v>108</v>
      </c>
      <c r="Q669" t="s">
        <v>109</v>
      </c>
      <c r="R669" t="s">
        <v>22</v>
      </c>
      <c r="S669" t="s">
        <v>143</v>
      </c>
      <c r="T669" t="s">
        <v>150</v>
      </c>
      <c r="U669" t="s">
        <v>675</v>
      </c>
      <c r="V669" t="s">
        <v>151</v>
      </c>
      <c r="W669" t="s">
        <v>130</v>
      </c>
      <c r="X669" t="s">
        <v>329</v>
      </c>
      <c r="Y669" t="s">
        <v>1044</v>
      </c>
      <c r="Z669">
        <v>1</v>
      </c>
      <c r="AA669" t="s">
        <v>1050</v>
      </c>
    </row>
    <row r="670" spans="1:27">
      <c r="A670">
        <v>103</v>
      </c>
      <c r="B670" s="139">
        <v>46178.598564814813</v>
      </c>
      <c r="C670" s="139">
        <v>46178.598912037043</v>
      </c>
      <c r="D670" t="s">
        <v>152</v>
      </c>
      <c r="E670" t="s">
        <v>153</v>
      </c>
      <c r="F670" t="s">
        <v>216</v>
      </c>
      <c r="G670" t="s">
        <v>154</v>
      </c>
      <c r="H670" s="139">
        <v>46171</v>
      </c>
      <c r="I670" t="s">
        <v>136</v>
      </c>
      <c r="J670" t="s">
        <v>174</v>
      </c>
      <c r="L670" t="s">
        <v>671</v>
      </c>
      <c r="N670" t="s">
        <v>672</v>
      </c>
      <c r="O670" t="s">
        <v>107</v>
      </c>
      <c r="P670" t="s">
        <v>108</v>
      </c>
      <c r="Q670" t="s">
        <v>109</v>
      </c>
      <c r="R670" t="s">
        <v>22</v>
      </c>
      <c r="S670" t="s">
        <v>143</v>
      </c>
      <c r="T670" t="s">
        <v>150</v>
      </c>
      <c r="U670" t="s">
        <v>675</v>
      </c>
      <c r="V670" t="s">
        <v>151</v>
      </c>
      <c r="W670" t="s">
        <v>130</v>
      </c>
      <c r="X670" t="s">
        <v>329</v>
      </c>
      <c r="Y670" t="s">
        <v>1044</v>
      </c>
      <c r="Z670">
        <v>2</v>
      </c>
      <c r="AA670" t="s">
        <v>1310</v>
      </c>
    </row>
    <row r="671" spans="1:27">
      <c r="A671">
        <v>103</v>
      </c>
      <c r="B671" s="139">
        <v>46178.598564814813</v>
      </c>
      <c r="C671" s="139">
        <v>46178.598912037043</v>
      </c>
      <c r="D671" t="s">
        <v>152</v>
      </c>
      <c r="E671" t="s">
        <v>153</v>
      </c>
      <c r="F671" t="s">
        <v>216</v>
      </c>
      <c r="G671" t="s">
        <v>154</v>
      </c>
      <c r="H671" s="139">
        <v>46171</v>
      </c>
      <c r="I671" t="s">
        <v>136</v>
      </c>
      <c r="J671" t="s">
        <v>174</v>
      </c>
      <c r="L671" t="s">
        <v>671</v>
      </c>
      <c r="N671" t="s">
        <v>672</v>
      </c>
      <c r="O671" t="s">
        <v>107</v>
      </c>
      <c r="P671" t="s">
        <v>108</v>
      </c>
      <c r="Q671" t="s">
        <v>109</v>
      </c>
      <c r="R671" t="s">
        <v>22</v>
      </c>
      <c r="S671" t="s">
        <v>143</v>
      </c>
      <c r="T671" t="s">
        <v>150</v>
      </c>
      <c r="U671" t="s">
        <v>675</v>
      </c>
      <c r="V671" t="s">
        <v>151</v>
      </c>
      <c r="W671" t="s">
        <v>130</v>
      </c>
      <c r="X671" t="s">
        <v>329</v>
      </c>
      <c r="Y671" t="s">
        <v>1044</v>
      </c>
      <c r="Z671">
        <v>3</v>
      </c>
      <c r="AA671" t="s">
        <v>1311</v>
      </c>
    </row>
    <row r="672" spans="1:27">
      <c r="A672">
        <v>111</v>
      </c>
      <c r="B672" s="139">
        <v>46178.669571759259</v>
      </c>
      <c r="C672" s="139">
        <v>46178.671377314808</v>
      </c>
      <c r="D672" t="s">
        <v>296</v>
      </c>
      <c r="E672" t="s">
        <v>297</v>
      </c>
      <c r="F672" t="s">
        <v>297</v>
      </c>
      <c r="G672" t="s">
        <v>298</v>
      </c>
      <c r="H672" s="139">
        <v>46171</v>
      </c>
      <c r="I672" t="s">
        <v>136</v>
      </c>
      <c r="J672" t="s">
        <v>174</v>
      </c>
      <c r="L672" t="s">
        <v>349</v>
      </c>
      <c r="N672" t="s">
        <v>114</v>
      </c>
      <c r="O672" t="s">
        <v>135</v>
      </c>
      <c r="P672" t="s">
        <v>108</v>
      </c>
      <c r="Q672" t="s">
        <v>109</v>
      </c>
      <c r="R672" t="s">
        <v>21</v>
      </c>
      <c r="S672" t="s">
        <v>143</v>
      </c>
      <c r="T672" t="s">
        <v>181</v>
      </c>
      <c r="V672" t="s">
        <v>151</v>
      </c>
      <c r="W672" t="s">
        <v>130</v>
      </c>
      <c r="X672" t="s">
        <v>177</v>
      </c>
      <c r="Y672" t="s">
        <v>1040</v>
      </c>
      <c r="Z672">
        <v>1</v>
      </c>
      <c r="AA672" t="s">
        <v>1101</v>
      </c>
    </row>
    <row r="673" spans="1:27">
      <c r="A673">
        <v>111</v>
      </c>
      <c r="B673" s="139">
        <v>46178.669571759259</v>
      </c>
      <c r="C673" s="139">
        <v>46178.671377314808</v>
      </c>
      <c r="D673" t="s">
        <v>296</v>
      </c>
      <c r="E673" t="s">
        <v>297</v>
      </c>
      <c r="F673" t="s">
        <v>297</v>
      </c>
      <c r="G673" t="s">
        <v>298</v>
      </c>
      <c r="H673" s="139">
        <v>46171</v>
      </c>
      <c r="I673" t="s">
        <v>136</v>
      </c>
      <c r="J673" t="s">
        <v>174</v>
      </c>
      <c r="L673" t="s">
        <v>349</v>
      </c>
      <c r="N673" t="s">
        <v>114</v>
      </c>
      <c r="O673" t="s">
        <v>135</v>
      </c>
      <c r="P673" t="s">
        <v>108</v>
      </c>
      <c r="Q673" t="s">
        <v>109</v>
      </c>
      <c r="R673" t="s">
        <v>21</v>
      </c>
      <c r="S673" t="s">
        <v>143</v>
      </c>
      <c r="T673" t="s">
        <v>181</v>
      </c>
      <c r="V673" t="s">
        <v>151</v>
      </c>
      <c r="W673" t="s">
        <v>130</v>
      </c>
      <c r="X673" t="s">
        <v>177</v>
      </c>
      <c r="Y673" t="s">
        <v>1042</v>
      </c>
      <c r="Z673">
        <v>1</v>
      </c>
      <c r="AA673" t="s">
        <v>1104</v>
      </c>
    </row>
    <row r="674" spans="1:27">
      <c r="A674">
        <v>111</v>
      </c>
      <c r="B674" s="139">
        <v>46178.669571759259</v>
      </c>
      <c r="C674" s="139">
        <v>46178.671377314808</v>
      </c>
      <c r="D674" t="s">
        <v>296</v>
      </c>
      <c r="E674" t="s">
        <v>297</v>
      </c>
      <c r="F674" t="s">
        <v>297</v>
      </c>
      <c r="G674" t="s">
        <v>298</v>
      </c>
      <c r="H674" s="139">
        <v>46171</v>
      </c>
      <c r="I674" t="s">
        <v>136</v>
      </c>
      <c r="J674" t="s">
        <v>174</v>
      </c>
      <c r="L674" t="s">
        <v>349</v>
      </c>
      <c r="N674" t="s">
        <v>114</v>
      </c>
      <c r="O674" t="s">
        <v>135</v>
      </c>
      <c r="P674" t="s">
        <v>108</v>
      </c>
      <c r="Q674" t="s">
        <v>109</v>
      </c>
      <c r="R674" t="s">
        <v>21</v>
      </c>
      <c r="S674" t="s">
        <v>143</v>
      </c>
      <c r="T674" t="s">
        <v>181</v>
      </c>
      <c r="V674" t="s">
        <v>151</v>
      </c>
      <c r="W674" t="s">
        <v>130</v>
      </c>
      <c r="X674" t="s">
        <v>177</v>
      </c>
      <c r="Y674" t="s">
        <v>1042</v>
      </c>
      <c r="Z674">
        <v>2</v>
      </c>
      <c r="AA674" t="s">
        <v>1105</v>
      </c>
    </row>
    <row r="675" spans="1:27">
      <c r="A675">
        <v>111</v>
      </c>
      <c r="B675" s="139">
        <v>46178.669571759259</v>
      </c>
      <c r="C675" s="139">
        <v>46178.671377314808</v>
      </c>
      <c r="D675" t="s">
        <v>296</v>
      </c>
      <c r="E675" t="s">
        <v>297</v>
      </c>
      <c r="F675" t="s">
        <v>297</v>
      </c>
      <c r="G675" t="s">
        <v>298</v>
      </c>
      <c r="H675" s="139">
        <v>46171</v>
      </c>
      <c r="I675" t="s">
        <v>136</v>
      </c>
      <c r="J675" t="s">
        <v>174</v>
      </c>
      <c r="L675" t="s">
        <v>349</v>
      </c>
      <c r="N675" t="s">
        <v>114</v>
      </c>
      <c r="O675" t="s">
        <v>135</v>
      </c>
      <c r="P675" t="s">
        <v>108</v>
      </c>
      <c r="Q675" t="s">
        <v>109</v>
      </c>
      <c r="R675" t="s">
        <v>21</v>
      </c>
      <c r="S675" t="s">
        <v>143</v>
      </c>
      <c r="T675" t="s">
        <v>181</v>
      </c>
      <c r="V675" t="s">
        <v>151</v>
      </c>
      <c r="W675" t="s">
        <v>130</v>
      </c>
      <c r="X675" t="s">
        <v>177</v>
      </c>
      <c r="Y675" t="s">
        <v>1042</v>
      </c>
      <c r="Z675">
        <v>3</v>
      </c>
      <c r="AA675" t="s">
        <v>1106</v>
      </c>
    </row>
    <row r="676" spans="1:27">
      <c r="A676">
        <v>111</v>
      </c>
      <c r="B676" s="139">
        <v>46178.669571759259</v>
      </c>
      <c r="C676" s="139">
        <v>46178.671377314808</v>
      </c>
      <c r="D676" t="s">
        <v>296</v>
      </c>
      <c r="E676" t="s">
        <v>297</v>
      </c>
      <c r="F676" t="s">
        <v>297</v>
      </c>
      <c r="G676" t="s">
        <v>298</v>
      </c>
      <c r="H676" s="139">
        <v>46171</v>
      </c>
      <c r="I676" t="s">
        <v>136</v>
      </c>
      <c r="J676" t="s">
        <v>174</v>
      </c>
      <c r="L676" t="s">
        <v>349</v>
      </c>
      <c r="N676" t="s">
        <v>114</v>
      </c>
      <c r="O676" t="s">
        <v>135</v>
      </c>
      <c r="P676" t="s">
        <v>108</v>
      </c>
      <c r="Q676" t="s">
        <v>109</v>
      </c>
      <c r="R676" t="s">
        <v>21</v>
      </c>
      <c r="S676" t="s">
        <v>143</v>
      </c>
      <c r="T676" t="s">
        <v>181</v>
      </c>
      <c r="V676" t="s">
        <v>151</v>
      </c>
      <c r="W676" t="s">
        <v>130</v>
      </c>
      <c r="X676" t="s">
        <v>177</v>
      </c>
      <c r="Y676" t="s">
        <v>1042</v>
      </c>
      <c r="Z676">
        <v>4</v>
      </c>
      <c r="AA676" t="s">
        <v>1107</v>
      </c>
    </row>
    <row r="677" spans="1:27">
      <c r="A677">
        <v>111</v>
      </c>
      <c r="B677" s="139">
        <v>46178.669571759259</v>
      </c>
      <c r="C677" s="139">
        <v>46178.671377314808</v>
      </c>
      <c r="D677" t="s">
        <v>296</v>
      </c>
      <c r="E677" t="s">
        <v>297</v>
      </c>
      <c r="F677" t="s">
        <v>297</v>
      </c>
      <c r="G677" t="s">
        <v>298</v>
      </c>
      <c r="H677" s="139">
        <v>46171</v>
      </c>
      <c r="I677" t="s">
        <v>136</v>
      </c>
      <c r="J677" t="s">
        <v>174</v>
      </c>
      <c r="L677" t="s">
        <v>349</v>
      </c>
      <c r="N677" t="s">
        <v>114</v>
      </c>
      <c r="O677" t="s">
        <v>135</v>
      </c>
      <c r="P677" t="s">
        <v>108</v>
      </c>
      <c r="Q677" t="s">
        <v>109</v>
      </c>
      <c r="R677" t="s">
        <v>21</v>
      </c>
      <c r="S677" t="s">
        <v>143</v>
      </c>
      <c r="T677" t="s">
        <v>181</v>
      </c>
      <c r="V677" t="s">
        <v>151</v>
      </c>
      <c r="W677" t="s">
        <v>130</v>
      </c>
      <c r="X677" t="s">
        <v>177</v>
      </c>
      <c r="Y677" t="s">
        <v>1044</v>
      </c>
      <c r="Z677">
        <v>1</v>
      </c>
      <c r="AA677" t="s">
        <v>1109</v>
      </c>
    </row>
    <row r="678" spans="1:27">
      <c r="A678">
        <v>111</v>
      </c>
      <c r="B678" s="139">
        <v>46178.669571759259</v>
      </c>
      <c r="C678" s="139">
        <v>46178.671377314808</v>
      </c>
      <c r="D678" t="s">
        <v>296</v>
      </c>
      <c r="E678" t="s">
        <v>297</v>
      </c>
      <c r="F678" t="s">
        <v>297</v>
      </c>
      <c r="G678" t="s">
        <v>298</v>
      </c>
      <c r="H678" s="139">
        <v>46171</v>
      </c>
      <c r="I678" t="s">
        <v>136</v>
      </c>
      <c r="J678" t="s">
        <v>174</v>
      </c>
      <c r="L678" t="s">
        <v>349</v>
      </c>
      <c r="N678" t="s">
        <v>114</v>
      </c>
      <c r="O678" t="s">
        <v>135</v>
      </c>
      <c r="P678" t="s">
        <v>108</v>
      </c>
      <c r="Q678" t="s">
        <v>109</v>
      </c>
      <c r="R678" t="s">
        <v>21</v>
      </c>
      <c r="S678" t="s">
        <v>143</v>
      </c>
      <c r="T678" t="s">
        <v>181</v>
      </c>
      <c r="V678" t="s">
        <v>151</v>
      </c>
      <c r="W678" t="s">
        <v>130</v>
      </c>
      <c r="X678" t="s">
        <v>177</v>
      </c>
      <c r="Y678" t="s">
        <v>1044</v>
      </c>
      <c r="Z678">
        <v>2</v>
      </c>
      <c r="AA678" t="s">
        <v>1110</v>
      </c>
    </row>
    <row r="679" spans="1:27">
      <c r="A679">
        <v>111</v>
      </c>
      <c r="B679" s="139">
        <v>46178.669571759259</v>
      </c>
      <c r="C679" s="139">
        <v>46178.671377314808</v>
      </c>
      <c r="D679" t="s">
        <v>296</v>
      </c>
      <c r="E679" t="s">
        <v>297</v>
      </c>
      <c r="F679" t="s">
        <v>297</v>
      </c>
      <c r="G679" t="s">
        <v>298</v>
      </c>
      <c r="H679" s="139">
        <v>46171</v>
      </c>
      <c r="I679" t="s">
        <v>136</v>
      </c>
      <c r="J679" t="s">
        <v>174</v>
      </c>
      <c r="L679" t="s">
        <v>349</v>
      </c>
      <c r="N679" t="s">
        <v>114</v>
      </c>
      <c r="O679" t="s">
        <v>135</v>
      </c>
      <c r="P679" t="s">
        <v>108</v>
      </c>
      <c r="Q679" t="s">
        <v>109</v>
      </c>
      <c r="R679" t="s">
        <v>21</v>
      </c>
      <c r="S679" t="s">
        <v>143</v>
      </c>
      <c r="T679" t="s">
        <v>181</v>
      </c>
      <c r="V679" t="s">
        <v>151</v>
      </c>
      <c r="W679" t="s">
        <v>130</v>
      </c>
      <c r="X679" t="s">
        <v>177</v>
      </c>
      <c r="Y679" t="s">
        <v>1044</v>
      </c>
      <c r="Z679">
        <v>3</v>
      </c>
      <c r="AA679" t="s">
        <v>1174</v>
      </c>
    </row>
    <row r="680" spans="1:27">
      <c r="A680">
        <v>140</v>
      </c>
      <c r="B680" s="139">
        <v>46182.495150462957</v>
      </c>
      <c r="C680" s="139">
        <v>46182.515960648147</v>
      </c>
      <c r="D680" t="s">
        <v>103</v>
      </c>
      <c r="E680" t="s">
        <v>104</v>
      </c>
      <c r="F680" t="s">
        <v>375</v>
      </c>
      <c r="G680" t="s">
        <v>106</v>
      </c>
      <c r="H680" s="139">
        <v>46171</v>
      </c>
      <c r="I680" t="s">
        <v>136</v>
      </c>
      <c r="J680" t="s">
        <v>174</v>
      </c>
      <c r="L680" t="s">
        <v>376</v>
      </c>
      <c r="N680" t="s">
        <v>293</v>
      </c>
      <c r="O680" t="s">
        <v>107</v>
      </c>
      <c r="P680" t="s">
        <v>196</v>
      </c>
      <c r="Q680" t="s">
        <v>109</v>
      </c>
      <c r="R680" t="s">
        <v>24</v>
      </c>
      <c r="S680" t="s">
        <v>149</v>
      </c>
      <c r="T680" t="s">
        <v>181</v>
      </c>
      <c r="U680" t="s">
        <v>843</v>
      </c>
      <c r="V680" t="s">
        <v>129</v>
      </c>
      <c r="W680" t="s">
        <v>130</v>
      </c>
      <c r="X680" t="s">
        <v>705</v>
      </c>
      <c r="Y680" t="s">
        <v>1040</v>
      </c>
      <c r="Z680">
        <v>1</v>
      </c>
      <c r="AA680" t="s">
        <v>1160</v>
      </c>
    </row>
    <row r="681" spans="1:27">
      <c r="A681">
        <v>140</v>
      </c>
      <c r="B681" s="139">
        <v>46182.495150462957</v>
      </c>
      <c r="C681" s="139">
        <v>46182.515960648147</v>
      </c>
      <c r="D681" t="s">
        <v>103</v>
      </c>
      <c r="E681" t="s">
        <v>104</v>
      </c>
      <c r="F681" t="s">
        <v>375</v>
      </c>
      <c r="G681" t="s">
        <v>106</v>
      </c>
      <c r="H681" s="139">
        <v>46171</v>
      </c>
      <c r="I681" t="s">
        <v>136</v>
      </c>
      <c r="J681" t="s">
        <v>174</v>
      </c>
      <c r="L681" t="s">
        <v>376</v>
      </c>
      <c r="N681" t="s">
        <v>293</v>
      </c>
      <c r="O681" t="s">
        <v>107</v>
      </c>
      <c r="P681" t="s">
        <v>196</v>
      </c>
      <c r="Q681" t="s">
        <v>109</v>
      </c>
      <c r="R681" t="s">
        <v>24</v>
      </c>
      <c r="S681" t="s">
        <v>149</v>
      </c>
      <c r="T681" t="s">
        <v>181</v>
      </c>
      <c r="U681" t="s">
        <v>843</v>
      </c>
      <c r="V681" t="s">
        <v>129</v>
      </c>
      <c r="W681" t="s">
        <v>130</v>
      </c>
      <c r="X681" t="s">
        <v>705</v>
      </c>
      <c r="Y681" t="s">
        <v>1042</v>
      </c>
      <c r="Z681">
        <v>1</v>
      </c>
      <c r="AA681" t="s">
        <v>1161</v>
      </c>
    </row>
    <row r="682" spans="1:27">
      <c r="A682">
        <v>140</v>
      </c>
      <c r="B682" s="139">
        <v>46182.495150462957</v>
      </c>
      <c r="C682" s="139">
        <v>46182.515960648147</v>
      </c>
      <c r="D682" t="s">
        <v>103</v>
      </c>
      <c r="E682" t="s">
        <v>104</v>
      </c>
      <c r="F682" t="s">
        <v>375</v>
      </c>
      <c r="G682" t="s">
        <v>106</v>
      </c>
      <c r="H682" s="139">
        <v>46171</v>
      </c>
      <c r="I682" t="s">
        <v>136</v>
      </c>
      <c r="J682" t="s">
        <v>174</v>
      </c>
      <c r="L682" t="s">
        <v>376</v>
      </c>
      <c r="N682" t="s">
        <v>293</v>
      </c>
      <c r="O682" t="s">
        <v>107</v>
      </c>
      <c r="P682" t="s">
        <v>196</v>
      </c>
      <c r="Q682" t="s">
        <v>109</v>
      </c>
      <c r="R682" t="s">
        <v>24</v>
      </c>
      <c r="S682" t="s">
        <v>149</v>
      </c>
      <c r="T682" t="s">
        <v>181</v>
      </c>
      <c r="U682" t="s">
        <v>843</v>
      </c>
      <c r="V682" t="s">
        <v>129</v>
      </c>
      <c r="W682" t="s">
        <v>130</v>
      </c>
      <c r="X682" t="s">
        <v>705</v>
      </c>
      <c r="Y682" t="s">
        <v>1042</v>
      </c>
      <c r="Z682">
        <v>2</v>
      </c>
      <c r="AA682" t="s">
        <v>1312</v>
      </c>
    </row>
    <row r="683" spans="1:27">
      <c r="A683">
        <v>140</v>
      </c>
      <c r="B683" s="139">
        <v>46182.495150462957</v>
      </c>
      <c r="C683" s="139">
        <v>46182.515960648147</v>
      </c>
      <c r="D683" t="s">
        <v>103</v>
      </c>
      <c r="E683" t="s">
        <v>104</v>
      </c>
      <c r="F683" t="s">
        <v>375</v>
      </c>
      <c r="G683" t="s">
        <v>106</v>
      </c>
      <c r="H683" s="139">
        <v>46171</v>
      </c>
      <c r="I683" t="s">
        <v>136</v>
      </c>
      <c r="J683" t="s">
        <v>174</v>
      </c>
      <c r="L683" t="s">
        <v>376</v>
      </c>
      <c r="N683" t="s">
        <v>293</v>
      </c>
      <c r="O683" t="s">
        <v>107</v>
      </c>
      <c r="P683" t="s">
        <v>196</v>
      </c>
      <c r="Q683" t="s">
        <v>109</v>
      </c>
      <c r="R683" t="s">
        <v>24</v>
      </c>
      <c r="S683" t="s">
        <v>149</v>
      </c>
      <c r="T683" t="s">
        <v>181</v>
      </c>
      <c r="U683" t="s">
        <v>843</v>
      </c>
      <c r="V683" t="s">
        <v>129</v>
      </c>
      <c r="W683" t="s">
        <v>130</v>
      </c>
      <c r="X683" t="s">
        <v>705</v>
      </c>
      <c r="Y683" t="s">
        <v>1042</v>
      </c>
      <c r="Z683">
        <v>3</v>
      </c>
      <c r="AA683" t="s">
        <v>1313</v>
      </c>
    </row>
    <row r="684" spans="1:27">
      <c r="A684">
        <v>140</v>
      </c>
      <c r="B684" s="139">
        <v>46182.495150462957</v>
      </c>
      <c r="C684" s="139">
        <v>46182.515960648147</v>
      </c>
      <c r="D684" t="s">
        <v>103</v>
      </c>
      <c r="E684" t="s">
        <v>104</v>
      </c>
      <c r="F684" t="s">
        <v>375</v>
      </c>
      <c r="G684" t="s">
        <v>106</v>
      </c>
      <c r="H684" s="139">
        <v>46171</v>
      </c>
      <c r="I684" t="s">
        <v>136</v>
      </c>
      <c r="J684" t="s">
        <v>174</v>
      </c>
      <c r="L684" t="s">
        <v>376</v>
      </c>
      <c r="N684" t="s">
        <v>293</v>
      </c>
      <c r="O684" t="s">
        <v>107</v>
      </c>
      <c r="P684" t="s">
        <v>196</v>
      </c>
      <c r="Q684" t="s">
        <v>109</v>
      </c>
      <c r="R684" t="s">
        <v>24</v>
      </c>
      <c r="S684" t="s">
        <v>149</v>
      </c>
      <c r="T684" t="s">
        <v>181</v>
      </c>
      <c r="U684" t="s">
        <v>843</v>
      </c>
      <c r="V684" t="s">
        <v>129</v>
      </c>
      <c r="W684" t="s">
        <v>130</v>
      </c>
      <c r="X684" t="s">
        <v>705</v>
      </c>
      <c r="Y684" t="s">
        <v>1044</v>
      </c>
      <c r="Z684">
        <v>1</v>
      </c>
      <c r="AA684" t="s">
        <v>291</v>
      </c>
    </row>
    <row r="685" spans="1:27">
      <c r="A685">
        <v>151</v>
      </c>
      <c r="B685" s="139">
        <v>46185.821585648147</v>
      </c>
      <c r="C685" s="139">
        <v>46185.823159722233</v>
      </c>
      <c r="D685" t="s">
        <v>170</v>
      </c>
      <c r="E685" t="s">
        <v>171</v>
      </c>
      <c r="F685" t="s">
        <v>171</v>
      </c>
      <c r="G685" t="s">
        <v>172</v>
      </c>
      <c r="H685" s="139">
        <v>46171</v>
      </c>
      <c r="I685" t="s">
        <v>136</v>
      </c>
      <c r="J685" t="s">
        <v>161</v>
      </c>
      <c r="M685" t="s">
        <v>197</v>
      </c>
      <c r="N685" t="s">
        <v>871</v>
      </c>
      <c r="O685" t="s">
        <v>107</v>
      </c>
      <c r="P685" t="s">
        <v>108</v>
      </c>
      <c r="Q685" t="s">
        <v>109</v>
      </c>
      <c r="R685" t="s">
        <v>22</v>
      </c>
      <c r="S685" t="s">
        <v>143</v>
      </c>
      <c r="T685" t="s">
        <v>150</v>
      </c>
      <c r="V685" t="s">
        <v>151</v>
      </c>
      <c r="W685" t="s">
        <v>130</v>
      </c>
      <c r="X685" t="s">
        <v>146</v>
      </c>
      <c r="Y685" t="s">
        <v>1040</v>
      </c>
      <c r="Z685">
        <v>1</v>
      </c>
      <c r="AA685" t="s">
        <v>1138</v>
      </c>
    </row>
    <row r="686" spans="1:27">
      <c r="A686">
        <v>151</v>
      </c>
      <c r="B686" s="139">
        <v>46185.821585648147</v>
      </c>
      <c r="C686" s="139">
        <v>46185.823159722233</v>
      </c>
      <c r="D686" t="s">
        <v>170</v>
      </c>
      <c r="E686" t="s">
        <v>171</v>
      </c>
      <c r="F686" t="s">
        <v>171</v>
      </c>
      <c r="G686" t="s">
        <v>172</v>
      </c>
      <c r="H686" s="139">
        <v>46171</v>
      </c>
      <c r="I686" t="s">
        <v>136</v>
      </c>
      <c r="J686" t="s">
        <v>161</v>
      </c>
      <c r="M686" t="s">
        <v>197</v>
      </c>
      <c r="N686" t="s">
        <v>871</v>
      </c>
      <c r="O686" t="s">
        <v>107</v>
      </c>
      <c r="P686" t="s">
        <v>108</v>
      </c>
      <c r="Q686" t="s">
        <v>109</v>
      </c>
      <c r="R686" t="s">
        <v>22</v>
      </c>
      <c r="S686" t="s">
        <v>143</v>
      </c>
      <c r="T686" t="s">
        <v>150</v>
      </c>
      <c r="V686" t="s">
        <v>151</v>
      </c>
      <c r="W686" t="s">
        <v>130</v>
      </c>
      <c r="X686" t="s">
        <v>146</v>
      </c>
      <c r="Y686" t="s">
        <v>1042</v>
      </c>
      <c r="Z686">
        <v>1</v>
      </c>
      <c r="AA686" t="s">
        <v>1139</v>
      </c>
    </row>
    <row r="687" spans="1:27">
      <c r="A687">
        <v>151</v>
      </c>
      <c r="B687" s="139">
        <v>46185.821585648147</v>
      </c>
      <c r="C687" s="139">
        <v>46185.823159722233</v>
      </c>
      <c r="D687" t="s">
        <v>170</v>
      </c>
      <c r="E687" t="s">
        <v>171</v>
      </c>
      <c r="F687" t="s">
        <v>171</v>
      </c>
      <c r="G687" t="s">
        <v>172</v>
      </c>
      <c r="H687" s="139">
        <v>46171</v>
      </c>
      <c r="I687" t="s">
        <v>136</v>
      </c>
      <c r="J687" t="s">
        <v>161</v>
      </c>
      <c r="M687" t="s">
        <v>197</v>
      </c>
      <c r="N687" t="s">
        <v>871</v>
      </c>
      <c r="O687" t="s">
        <v>107</v>
      </c>
      <c r="P687" t="s">
        <v>108</v>
      </c>
      <c r="Q687" t="s">
        <v>109</v>
      </c>
      <c r="R687" t="s">
        <v>22</v>
      </c>
      <c r="S687" t="s">
        <v>143</v>
      </c>
      <c r="T687" t="s">
        <v>150</v>
      </c>
      <c r="V687" t="s">
        <v>151</v>
      </c>
      <c r="W687" t="s">
        <v>130</v>
      </c>
      <c r="X687" t="s">
        <v>146</v>
      </c>
      <c r="Y687" t="s">
        <v>1042</v>
      </c>
      <c r="Z687">
        <v>2</v>
      </c>
      <c r="AA687" t="s">
        <v>1140</v>
      </c>
    </row>
    <row r="688" spans="1:27">
      <c r="A688">
        <v>151</v>
      </c>
      <c r="B688" s="139">
        <v>46185.821585648147</v>
      </c>
      <c r="C688" s="139">
        <v>46185.823159722233</v>
      </c>
      <c r="D688" t="s">
        <v>170</v>
      </c>
      <c r="E688" t="s">
        <v>171</v>
      </c>
      <c r="F688" t="s">
        <v>171</v>
      </c>
      <c r="G688" t="s">
        <v>172</v>
      </c>
      <c r="H688" s="139">
        <v>46171</v>
      </c>
      <c r="I688" t="s">
        <v>136</v>
      </c>
      <c r="J688" t="s">
        <v>161</v>
      </c>
      <c r="M688" t="s">
        <v>197</v>
      </c>
      <c r="N688" t="s">
        <v>871</v>
      </c>
      <c r="O688" t="s">
        <v>107</v>
      </c>
      <c r="P688" t="s">
        <v>108</v>
      </c>
      <c r="Q688" t="s">
        <v>109</v>
      </c>
      <c r="R688" t="s">
        <v>22</v>
      </c>
      <c r="S688" t="s">
        <v>143</v>
      </c>
      <c r="T688" t="s">
        <v>150</v>
      </c>
      <c r="V688" t="s">
        <v>151</v>
      </c>
      <c r="W688" t="s">
        <v>130</v>
      </c>
      <c r="X688" t="s">
        <v>146</v>
      </c>
      <c r="Y688" t="s">
        <v>1042</v>
      </c>
      <c r="Z688">
        <v>3</v>
      </c>
      <c r="AA688" t="s">
        <v>1314</v>
      </c>
    </row>
    <row r="689" spans="1:27">
      <c r="A689">
        <v>151</v>
      </c>
      <c r="B689" s="139">
        <v>46185.821585648147</v>
      </c>
      <c r="C689" s="139">
        <v>46185.823159722233</v>
      </c>
      <c r="D689" t="s">
        <v>170</v>
      </c>
      <c r="E689" t="s">
        <v>171</v>
      </c>
      <c r="F689" t="s">
        <v>171</v>
      </c>
      <c r="G689" t="s">
        <v>172</v>
      </c>
      <c r="H689" s="139">
        <v>46171</v>
      </c>
      <c r="I689" t="s">
        <v>136</v>
      </c>
      <c r="J689" t="s">
        <v>161</v>
      </c>
      <c r="M689" t="s">
        <v>197</v>
      </c>
      <c r="N689" t="s">
        <v>871</v>
      </c>
      <c r="O689" t="s">
        <v>107</v>
      </c>
      <c r="P689" t="s">
        <v>108</v>
      </c>
      <c r="Q689" t="s">
        <v>109</v>
      </c>
      <c r="R689" t="s">
        <v>22</v>
      </c>
      <c r="S689" t="s">
        <v>143</v>
      </c>
      <c r="T689" t="s">
        <v>150</v>
      </c>
      <c r="V689" t="s">
        <v>151</v>
      </c>
      <c r="W689" t="s">
        <v>130</v>
      </c>
      <c r="X689" t="s">
        <v>146</v>
      </c>
      <c r="Y689" t="s">
        <v>1042</v>
      </c>
      <c r="Z689">
        <v>4</v>
      </c>
      <c r="AA689" t="s">
        <v>1112</v>
      </c>
    </row>
    <row r="690" spans="1:27">
      <c r="A690">
        <v>151</v>
      </c>
      <c r="B690" s="139">
        <v>46185.821585648147</v>
      </c>
      <c r="C690" s="139">
        <v>46185.823159722233</v>
      </c>
      <c r="D690" t="s">
        <v>170</v>
      </c>
      <c r="E690" t="s">
        <v>171</v>
      </c>
      <c r="F690" t="s">
        <v>171</v>
      </c>
      <c r="G690" t="s">
        <v>172</v>
      </c>
      <c r="H690" s="139">
        <v>46171</v>
      </c>
      <c r="I690" t="s">
        <v>136</v>
      </c>
      <c r="J690" t="s">
        <v>161</v>
      </c>
      <c r="M690" t="s">
        <v>197</v>
      </c>
      <c r="N690" t="s">
        <v>871</v>
      </c>
      <c r="O690" t="s">
        <v>107</v>
      </c>
      <c r="P690" t="s">
        <v>108</v>
      </c>
      <c r="Q690" t="s">
        <v>109</v>
      </c>
      <c r="R690" t="s">
        <v>22</v>
      </c>
      <c r="S690" t="s">
        <v>143</v>
      </c>
      <c r="T690" t="s">
        <v>150</v>
      </c>
      <c r="V690" t="s">
        <v>151</v>
      </c>
      <c r="W690" t="s">
        <v>130</v>
      </c>
      <c r="X690" t="s">
        <v>146</v>
      </c>
      <c r="Y690" t="s">
        <v>1044</v>
      </c>
      <c r="Z690">
        <v>1</v>
      </c>
      <c r="AA690" t="s">
        <v>1141</v>
      </c>
    </row>
    <row r="691" spans="1:27">
      <c r="A691">
        <v>152</v>
      </c>
      <c r="B691" s="139">
        <v>46185.823194444441</v>
      </c>
      <c r="C691" s="139">
        <v>46185.82439814815</v>
      </c>
      <c r="D691" t="s">
        <v>170</v>
      </c>
      <c r="E691" t="s">
        <v>171</v>
      </c>
      <c r="F691" t="s">
        <v>171</v>
      </c>
      <c r="G691" t="s">
        <v>172</v>
      </c>
      <c r="H691" s="139">
        <v>46171</v>
      </c>
      <c r="I691" t="s">
        <v>136</v>
      </c>
      <c r="J691" t="s">
        <v>161</v>
      </c>
      <c r="M691" t="s">
        <v>205</v>
      </c>
      <c r="N691" t="s">
        <v>873</v>
      </c>
      <c r="O691" t="s">
        <v>107</v>
      </c>
      <c r="P691" t="s">
        <v>108</v>
      </c>
      <c r="Q691" t="s">
        <v>109</v>
      </c>
      <c r="R691" t="s">
        <v>22</v>
      </c>
      <c r="S691" t="s">
        <v>143</v>
      </c>
      <c r="T691" t="s">
        <v>150</v>
      </c>
      <c r="U691" t="s">
        <v>875</v>
      </c>
      <c r="V691" t="s">
        <v>151</v>
      </c>
      <c r="W691" t="s">
        <v>130</v>
      </c>
      <c r="X691" t="s">
        <v>146</v>
      </c>
      <c r="Y691" t="s">
        <v>1040</v>
      </c>
      <c r="Z691">
        <v>1</v>
      </c>
      <c r="AA691" t="s">
        <v>1260</v>
      </c>
    </row>
    <row r="692" spans="1:27">
      <c r="A692">
        <v>152</v>
      </c>
      <c r="B692" s="139">
        <v>46185.823194444441</v>
      </c>
      <c r="C692" s="139">
        <v>46185.82439814815</v>
      </c>
      <c r="D692" t="s">
        <v>170</v>
      </c>
      <c r="E692" t="s">
        <v>171</v>
      </c>
      <c r="F692" t="s">
        <v>171</v>
      </c>
      <c r="G692" t="s">
        <v>172</v>
      </c>
      <c r="H692" s="139">
        <v>46171</v>
      </c>
      <c r="I692" t="s">
        <v>136</v>
      </c>
      <c r="J692" t="s">
        <v>161</v>
      </c>
      <c r="M692" t="s">
        <v>205</v>
      </c>
      <c r="N692" t="s">
        <v>873</v>
      </c>
      <c r="O692" t="s">
        <v>107</v>
      </c>
      <c r="P692" t="s">
        <v>108</v>
      </c>
      <c r="Q692" t="s">
        <v>109</v>
      </c>
      <c r="R692" t="s">
        <v>22</v>
      </c>
      <c r="S692" t="s">
        <v>143</v>
      </c>
      <c r="T692" t="s">
        <v>150</v>
      </c>
      <c r="U692" t="s">
        <v>875</v>
      </c>
      <c r="V692" t="s">
        <v>151</v>
      </c>
      <c r="W692" t="s">
        <v>130</v>
      </c>
      <c r="X692" t="s">
        <v>146</v>
      </c>
      <c r="Y692" t="s">
        <v>1042</v>
      </c>
      <c r="Z692">
        <v>1</v>
      </c>
      <c r="AA692" t="s">
        <v>1139</v>
      </c>
    </row>
    <row r="693" spans="1:27">
      <c r="A693">
        <v>152</v>
      </c>
      <c r="B693" s="139">
        <v>46185.823194444441</v>
      </c>
      <c r="C693" s="139">
        <v>46185.82439814815</v>
      </c>
      <c r="D693" t="s">
        <v>170</v>
      </c>
      <c r="E693" t="s">
        <v>171</v>
      </c>
      <c r="F693" t="s">
        <v>171</v>
      </c>
      <c r="G693" t="s">
        <v>172</v>
      </c>
      <c r="H693" s="139">
        <v>46171</v>
      </c>
      <c r="I693" t="s">
        <v>136</v>
      </c>
      <c r="J693" t="s">
        <v>161</v>
      </c>
      <c r="M693" t="s">
        <v>205</v>
      </c>
      <c r="N693" t="s">
        <v>873</v>
      </c>
      <c r="O693" t="s">
        <v>107</v>
      </c>
      <c r="P693" t="s">
        <v>108</v>
      </c>
      <c r="Q693" t="s">
        <v>109</v>
      </c>
      <c r="R693" t="s">
        <v>22</v>
      </c>
      <c r="S693" t="s">
        <v>143</v>
      </c>
      <c r="T693" t="s">
        <v>150</v>
      </c>
      <c r="U693" t="s">
        <v>875</v>
      </c>
      <c r="V693" t="s">
        <v>151</v>
      </c>
      <c r="W693" t="s">
        <v>130</v>
      </c>
      <c r="X693" t="s">
        <v>146</v>
      </c>
      <c r="Y693" t="s">
        <v>1042</v>
      </c>
      <c r="Z693">
        <v>2</v>
      </c>
      <c r="AA693" t="s">
        <v>1175</v>
      </c>
    </row>
    <row r="694" spans="1:27">
      <c r="A694">
        <v>152</v>
      </c>
      <c r="B694" s="139">
        <v>46185.823194444441</v>
      </c>
      <c r="C694" s="139">
        <v>46185.82439814815</v>
      </c>
      <c r="D694" t="s">
        <v>170</v>
      </c>
      <c r="E694" t="s">
        <v>171</v>
      </c>
      <c r="F694" t="s">
        <v>171</v>
      </c>
      <c r="G694" t="s">
        <v>172</v>
      </c>
      <c r="H694" s="139">
        <v>46171</v>
      </c>
      <c r="I694" t="s">
        <v>136</v>
      </c>
      <c r="J694" t="s">
        <v>161</v>
      </c>
      <c r="M694" t="s">
        <v>205</v>
      </c>
      <c r="N694" t="s">
        <v>873</v>
      </c>
      <c r="O694" t="s">
        <v>107</v>
      </c>
      <c r="P694" t="s">
        <v>108</v>
      </c>
      <c r="Q694" t="s">
        <v>109</v>
      </c>
      <c r="R694" t="s">
        <v>22</v>
      </c>
      <c r="S694" t="s">
        <v>143</v>
      </c>
      <c r="T694" t="s">
        <v>150</v>
      </c>
      <c r="U694" t="s">
        <v>875</v>
      </c>
      <c r="V694" t="s">
        <v>151</v>
      </c>
      <c r="W694" t="s">
        <v>130</v>
      </c>
      <c r="X694" t="s">
        <v>146</v>
      </c>
      <c r="Y694" t="s">
        <v>1042</v>
      </c>
      <c r="Z694">
        <v>3</v>
      </c>
      <c r="AA694" t="s">
        <v>1112</v>
      </c>
    </row>
    <row r="695" spans="1:27">
      <c r="A695">
        <v>152</v>
      </c>
      <c r="B695" s="139">
        <v>46185.823194444441</v>
      </c>
      <c r="C695" s="139">
        <v>46185.82439814815</v>
      </c>
      <c r="D695" t="s">
        <v>170</v>
      </c>
      <c r="E695" t="s">
        <v>171</v>
      </c>
      <c r="F695" t="s">
        <v>171</v>
      </c>
      <c r="G695" t="s">
        <v>172</v>
      </c>
      <c r="H695" s="139">
        <v>46171</v>
      </c>
      <c r="I695" t="s">
        <v>136</v>
      </c>
      <c r="J695" t="s">
        <v>161</v>
      </c>
      <c r="M695" t="s">
        <v>205</v>
      </c>
      <c r="N695" t="s">
        <v>873</v>
      </c>
      <c r="O695" t="s">
        <v>107</v>
      </c>
      <c r="P695" t="s">
        <v>108</v>
      </c>
      <c r="Q695" t="s">
        <v>109</v>
      </c>
      <c r="R695" t="s">
        <v>22</v>
      </c>
      <c r="S695" t="s">
        <v>143</v>
      </c>
      <c r="T695" t="s">
        <v>150</v>
      </c>
      <c r="U695" t="s">
        <v>875</v>
      </c>
      <c r="V695" t="s">
        <v>151</v>
      </c>
      <c r="W695" t="s">
        <v>130</v>
      </c>
      <c r="X695" t="s">
        <v>146</v>
      </c>
      <c r="Y695" t="s">
        <v>1044</v>
      </c>
      <c r="Z695">
        <v>1</v>
      </c>
      <c r="AA695" t="s">
        <v>1142</v>
      </c>
    </row>
    <row r="696" spans="1:27">
      <c r="A696">
        <v>162</v>
      </c>
      <c r="B696" s="139">
        <v>46189.462581018517</v>
      </c>
      <c r="C696" s="139">
        <v>46189.465844907398</v>
      </c>
      <c r="D696" t="s">
        <v>887</v>
      </c>
      <c r="E696" t="s">
        <v>888</v>
      </c>
      <c r="F696" t="s">
        <v>894</v>
      </c>
      <c r="G696" t="s">
        <v>890</v>
      </c>
      <c r="H696" s="139">
        <v>46171</v>
      </c>
      <c r="I696" t="s">
        <v>498</v>
      </c>
      <c r="J696" t="s">
        <v>161</v>
      </c>
      <c r="M696" t="s">
        <v>910</v>
      </c>
      <c r="O696" t="s">
        <v>107</v>
      </c>
      <c r="P696" t="s">
        <v>196</v>
      </c>
      <c r="Q696" t="s">
        <v>109</v>
      </c>
      <c r="R696" t="s">
        <v>24</v>
      </c>
      <c r="S696" t="s">
        <v>143</v>
      </c>
      <c r="T696" t="s">
        <v>915</v>
      </c>
      <c r="U696" t="s">
        <v>916</v>
      </c>
      <c r="V696" t="s">
        <v>151</v>
      </c>
      <c r="W696" t="s">
        <v>169</v>
      </c>
      <c r="X696" t="s">
        <v>911</v>
      </c>
      <c r="Y696" t="s">
        <v>1040</v>
      </c>
      <c r="Z696">
        <v>1</v>
      </c>
      <c r="AA696" t="s">
        <v>1315</v>
      </c>
    </row>
    <row r="697" spans="1:27">
      <c r="A697">
        <v>162</v>
      </c>
      <c r="B697" s="139">
        <v>46189.462581018517</v>
      </c>
      <c r="C697" s="139">
        <v>46189.465844907398</v>
      </c>
      <c r="D697" t="s">
        <v>887</v>
      </c>
      <c r="E697" t="s">
        <v>888</v>
      </c>
      <c r="F697" t="s">
        <v>894</v>
      </c>
      <c r="G697" t="s">
        <v>890</v>
      </c>
      <c r="H697" s="139">
        <v>46171</v>
      </c>
      <c r="I697" t="s">
        <v>498</v>
      </c>
      <c r="J697" t="s">
        <v>161</v>
      </c>
      <c r="M697" t="s">
        <v>910</v>
      </c>
      <c r="O697" t="s">
        <v>107</v>
      </c>
      <c r="P697" t="s">
        <v>196</v>
      </c>
      <c r="Q697" t="s">
        <v>109</v>
      </c>
      <c r="R697" t="s">
        <v>24</v>
      </c>
      <c r="S697" t="s">
        <v>143</v>
      </c>
      <c r="T697" t="s">
        <v>915</v>
      </c>
      <c r="U697" t="s">
        <v>916</v>
      </c>
      <c r="V697" t="s">
        <v>151</v>
      </c>
      <c r="W697" t="s">
        <v>169</v>
      </c>
      <c r="X697" t="s">
        <v>911</v>
      </c>
      <c r="Y697" t="s">
        <v>1042</v>
      </c>
      <c r="Z697">
        <v>1</v>
      </c>
      <c r="AA697" t="s">
        <v>1316</v>
      </c>
    </row>
    <row r="698" spans="1:27">
      <c r="A698">
        <v>162</v>
      </c>
      <c r="B698" s="139">
        <v>46189.462581018517</v>
      </c>
      <c r="C698" s="139">
        <v>46189.465844907398</v>
      </c>
      <c r="D698" t="s">
        <v>887</v>
      </c>
      <c r="E698" t="s">
        <v>888</v>
      </c>
      <c r="F698" t="s">
        <v>894</v>
      </c>
      <c r="G698" t="s">
        <v>890</v>
      </c>
      <c r="H698" s="139">
        <v>46171</v>
      </c>
      <c r="I698" t="s">
        <v>498</v>
      </c>
      <c r="J698" t="s">
        <v>161</v>
      </c>
      <c r="M698" t="s">
        <v>910</v>
      </c>
      <c r="O698" t="s">
        <v>107</v>
      </c>
      <c r="P698" t="s">
        <v>196</v>
      </c>
      <c r="Q698" t="s">
        <v>109</v>
      </c>
      <c r="R698" t="s">
        <v>24</v>
      </c>
      <c r="S698" t="s">
        <v>143</v>
      </c>
      <c r="T698" t="s">
        <v>915</v>
      </c>
      <c r="U698" t="s">
        <v>916</v>
      </c>
      <c r="V698" t="s">
        <v>151</v>
      </c>
      <c r="W698" t="s">
        <v>169</v>
      </c>
      <c r="X698" t="s">
        <v>911</v>
      </c>
      <c r="Y698" t="s">
        <v>1044</v>
      </c>
      <c r="Z698">
        <v>1</v>
      </c>
      <c r="AA698" t="s">
        <v>1317</v>
      </c>
    </row>
    <row r="699" spans="1:27">
      <c r="A699">
        <v>162</v>
      </c>
      <c r="B699" s="139">
        <v>46189.462581018517</v>
      </c>
      <c r="C699" s="139">
        <v>46189.465844907398</v>
      </c>
      <c r="D699" t="s">
        <v>887</v>
      </c>
      <c r="E699" t="s">
        <v>888</v>
      </c>
      <c r="F699" t="s">
        <v>894</v>
      </c>
      <c r="G699" t="s">
        <v>890</v>
      </c>
      <c r="H699" s="139">
        <v>46171</v>
      </c>
      <c r="I699" t="s">
        <v>498</v>
      </c>
      <c r="J699" t="s">
        <v>161</v>
      </c>
      <c r="M699" t="s">
        <v>910</v>
      </c>
      <c r="O699" t="s">
        <v>107</v>
      </c>
      <c r="P699" t="s">
        <v>196</v>
      </c>
      <c r="Q699" t="s">
        <v>109</v>
      </c>
      <c r="R699" t="s">
        <v>24</v>
      </c>
      <c r="S699" t="s">
        <v>143</v>
      </c>
      <c r="T699" t="s">
        <v>915</v>
      </c>
      <c r="U699" t="s">
        <v>916</v>
      </c>
      <c r="V699" t="s">
        <v>151</v>
      </c>
      <c r="W699" t="s">
        <v>169</v>
      </c>
      <c r="X699" t="s">
        <v>911</v>
      </c>
      <c r="Y699" t="s">
        <v>1044</v>
      </c>
      <c r="Z699">
        <v>2</v>
      </c>
      <c r="AA699" t="s">
        <v>1318</v>
      </c>
    </row>
    <row r="700" spans="1:27">
      <c r="A700">
        <v>163</v>
      </c>
      <c r="B700" s="139">
        <v>46189.465868055559</v>
      </c>
      <c r="C700" s="139">
        <v>46189.468692129631</v>
      </c>
      <c r="D700" t="s">
        <v>887</v>
      </c>
      <c r="E700" t="s">
        <v>888</v>
      </c>
      <c r="F700" t="s">
        <v>894</v>
      </c>
      <c r="G700" t="s">
        <v>890</v>
      </c>
      <c r="H700" s="139">
        <v>46171</v>
      </c>
      <c r="I700" t="s">
        <v>498</v>
      </c>
      <c r="J700" t="s">
        <v>161</v>
      </c>
      <c r="M700" t="s">
        <v>917</v>
      </c>
      <c r="O700" t="s">
        <v>135</v>
      </c>
      <c r="P700" t="s">
        <v>108</v>
      </c>
      <c r="Q700" t="s">
        <v>109</v>
      </c>
      <c r="R700" t="s">
        <v>22</v>
      </c>
      <c r="S700" t="s">
        <v>149</v>
      </c>
      <c r="T700" t="s">
        <v>661</v>
      </c>
      <c r="U700" t="s">
        <v>919</v>
      </c>
      <c r="V700" t="s">
        <v>151</v>
      </c>
      <c r="W700" t="s">
        <v>130</v>
      </c>
      <c r="X700" t="s">
        <v>146</v>
      </c>
      <c r="Y700" t="s">
        <v>1040</v>
      </c>
      <c r="Z700">
        <v>1</v>
      </c>
      <c r="AA700" t="s">
        <v>1138</v>
      </c>
    </row>
    <row r="701" spans="1:27">
      <c r="A701">
        <v>163</v>
      </c>
      <c r="B701" s="139">
        <v>46189.465868055559</v>
      </c>
      <c r="C701" s="139">
        <v>46189.468692129631</v>
      </c>
      <c r="D701" t="s">
        <v>887</v>
      </c>
      <c r="E701" t="s">
        <v>888</v>
      </c>
      <c r="F701" t="s">
        <v>894</v>
      </c>
      <c r="G701" t="s">
        <v>890</v>
      </c>
      <c r="H701" s="139">
        <v>46171</v>
      </c>
      <c r="I701" t="s">
        <v>498</v>
      </c>
      <c r="J701" t="s">
        <v>161</v>
      </c>
      <c r="M701" t="s">
        <v>917</v>
      </c>
      <c r="O701" t="s">
        <v>135</v>
      </c>
      <c r="P701" t="s">
        <v>108</v>
      </c>
      <c r="Q701" t="s">
        <v>109</v>
      </c>
      <c r="R701" t="s">
        <v>22</v>
      </c>
      <c r="S701" t="s">
        <v>149</v>
      </c>
      <c r="T701" t="s">
        <v>661</v>
      </c>
      <c r="U701" t="s">
        <v>919</v>
      </c>
      <c r="V701" t="s">
        <v>151</v>
      </c>
      <c r="W701" t="s">
        <v>130</v>
      </c>
      <c r="X701" t="s">
        <v>146</v>
      </c>
      <c r="Y701" t="s">
        <v>1042</v>
      </c>
      <c r="Z701">
        <v>1</v>
      </c>
      <c r="AA701" t="s">
        <v>1139</v>
      </c>
    </row>
    <row r="702" spans="1:27">
      <c r="A702">
        <v>163</v>
      </c>
      <c r="B702" s="139">
        <v>46189.465868055559</v>
      </c>
      <c r="C702" s="139">
        <v>46189.468692129631</v>
      </c>
      <c r="D702" t="s">
        <v>887</v>
      </c>
      <c r="E702" t="s">
        <v>888</v>
      </c>
      <c r="F702" t="s">
        <v>894</v>
      </c>
      <c r="G702" t="s">
        <v>890</v>
      </c>
      <c r="H702" s="139">
        <v>46171</v>
      </c>
      <c r="I702" t="s">
        <v>498</v>
      </c>
      <c r="J702" t="s">
        <v>161</v>
      </c>
      <c r="M702" t="s">
        <v>917</v>
      </c>
      <c r="O702" t="s">
        <v>135</v>
      </c>
      <c r="P702" t="s">
        <v>108</v>
      </c>
      <c r="Q702" t="s">
        <v>109</v>
      </c>
      <c r="R702" t="s">
        <v>22</v>
      </c>
      <c r="S702" t="s">
        <v>149</v>
      </c>
      <c r="T702" t="s">
        <v>661</v>
      </c>
      <c r="U702" t="s">
        <v>919</v>
      </c>
      <c r="V702" t="s">
        <v>151</v>
      </c>
      <c r="W702" t="s">
        <v>130</v>
      </c>
      <c r="X702" t="s">
        <v>146</v>
      </c>
      <c r="Y702" t="s">
        <v>1042</v>
      </c>
      <c r="Z702">
        <v>2</v>
      </c>
      <c r="AA702" t="s">
        <v>1140</v>
      </c>
    </row>
    <row r="703" spans="1:27">
      <c r="A703">
        <v>163</v>
      </c>
      <c r="B703" s="139">
        <v>46189.465868055559</v>
      </c>
      <c r="C703" s="139">
        <v>46189.468692129631</v>
      </c>
      <c r="D703" t="s">
        <v>887</v>
      </c>
      <c r="E703" t="s">
        <v>888</v>
      </c>
      <c r="F703" t="s">
        <v>894</v>
      </c>
      <c r="G703" t="s">
        <v>890</v>
      </c>
      <c r="H703" s="139">
        <v>46171</v>
      </c>
      <c r="I703" t="s">
        <v>498</v>
      </c>
      <c r="J703" t="s">
        <v>161</v>
      </c>
      <c r="M703" t="s">
        <v>917</v>
      </c>
      <c r="O703" t="s">
        <v>135</v>
      </c>
      <c r="P703" t="s">
        <v>108</v>
      </c>
      <c r="Q703" t="s">
        <v>109</v>
      </c>
      <c r="R703" t="s">
        <v>22</v>
      </c>
      <c r="S703" t="s">
        <v>149</v>
      </c>
      <c r="T703" t="s">
        <v>661</v>
      </c>
      <c r="U703" t="s">
        <v>919</v>
      </c>
      <c r="V703" t="s">
        <v>151</v>
      </c>
      <c r="W703" t="s">
        <v>130</v>
      </c>
      <c r="X703" t="s">
        <v>146</v>
      </c>
      <c r="Y703" t="s">
        <v>1042</v>
      </c>
      <c r="Z703">
        <v>3</v>
      </c>
      <c r="AA703" t="s">
        <v>1112</v>
      </c>
    </row>
    <row r="704" spans="1:27">
      <c r="A704">
        <v>163</v>
      </c>
      <c r="B704" s="139">
        <v>46189.465868055559</v>
      </c>
      <c r="C704" s="139">
        <v>46189.468692129631</v>
      </c>
      <c r="D704" t="s">
        <v>887</v>
      </c>
      <c r="E704" t="s">
        <v>888</v>
      </c>
      <c r="F704" t="s">
        <v>894</v>
      </c>
      <c r="G704" t="s">
        <v>890</v>
      </c>
      <c r="H704" s="139">
        <v>46171</v>
      </c>
      <c r="I704" t="s">
        <v>498</v>
      </c>
      <c r="J704" t="s">
        <v>161</v>
      </c>
      <c r="M704" t="s">
        <v>917</v>
      </c>
      <c r="O704" t="s">
        <v>135</v>
      </c>
      <c r="P704" t="s">
        <v>108</v>
      </c>
      <c r="Q704" t="s">
        <v>109</v>
      </c>
      <c r="R704" t="s">
        <v>22</v>
      </c>
      <c r="S704" t="s">
        <v>149</v>
      </c>
      <c r="T704" t="s">
        <v>661</v>
      </c>
      <c r="U704" t="s">
        <v>919</v>
      </c>
      <c r="V704" t="s">
        <v>151</v>
      </c>
      <c r="W704" t="s">
        <v>130</v>
      </c>
      <c r="X704" t="s">
        <v>146</v>
      </c>
      <c r="Y704" t="s">
        <v>1044</v>
      </c>
      <c r="Z704">
        <v>1</v>
      </c>
      <c r="AA704" t="s">
        <v>1141</v>
      </c>
    </row>
    <row r="705" spans="1:27">
      <c r="A705">
        <v>65</v>
      </c>
      <c r="B705" s="139">
        <v>46175.791006944448</v>
      </c>
      <c r="C705" s="139">
        <v>46175.793055555558</v>
      </c>
      <c r="D705" t="s">
        <v>495</v>
      </c>
      <c r="E705" t="s">
        <v>496</v>
      </c>
      <c r="F705" t="s">
        <v>496</v>
      </c>
      <c r="G705" t="s">
        <v>497</v>
      </c>
      <c r="H705" s="139">
        <v>46174</v>
      </c>
      <c r="I705" t="s">
        <v>498</v>
      </c>
      <c r="J705" t="s">
        <v>187</v>
      </c>
      <c r="K705" t="s">
        <v>254</v>
      </c>
      <c r="N705" t="s">
        <v>499</v>
      </c>
      <c r="O705" t="s">
        <v>195</v>
      </c>
      <c r="P705" t="s">
        <v>305</v>
      </c>
      <c r="Q705" t="s">
        <v>123</v>
      </c>
      <c r="R705" t="s">
        <v>22</v>
      </c>
      <c r="S705" t="s">
        <v>143</v>
      </c>
      <c r="T705" t="s">
        <v>144</v>
      </c>
      <c r="U705" t="s">
        <v>500</v>
      </c>
      <c r="V705" t="s">
        <v>116</v>
      </c>
      <c r="W705" t="s">
        <v>117</v>
      </c>
      <c r="X705" t="s">
        <v>124</v>
      </c>
      <c r="Y705" t="s">
        <v>1040</v>
      </c>
      <c r="Z705">
        <v>1</v>
      </c>
      <c r="AA705" t="s">
        <v>1058</v>
      </c>
    </row>
    <row r="706" spans="1:27">
      <c r="A706">
        <v>65</v>
      </c>
      <c r="B706" s="139">
        <v>46175.791006944448</v>
      </c>
      <c r="C706" s="139">
        <v>46175.793055555558</v>
      </c>
      <c r="D706" t="s">
        <v>495</v>
      </c>
      <c r="E706" t="s">
        <v>496</v>
      </c>
      <c r="F706" t="s">
        <v>496</v>
      </c>
      <c r="G706" t="s">
        <v>497</v>
      </c>
      <c r="H706" s="139">
        <v>46174</v>
      </c>
      <c r="I706" t="s">
        <v>498</v>
      </c>
      <c r="J706" t="s">
        <v>187</v>
      </c>
      <c r="K706" t="s">
        <v>254</v>
      </c>
      <c r="N706" t="s">
        <v>499</v>
      </c>
      <c r="O706" t="s">
        <v>195</v>
      </c>
      <c r="P706" t="s">
        <v>305</v>
      </c>
      <c r="Q706" t="s">
        <v>123</v>
      </c>
      <c r="R706" t="s">
        <v>22</v>
      </c>
      <c r="S706" t="s">
        <v>143</v>
      </c>
      <c r="T706" t="s">
        <v>144</v>
      </c>
      <c r="U706" t="s">
        <v>500</v>
      </c>
      <c r="V706" t="s">
        <v>116</v>
      </c>
      <c r="W706" t="s">
        <v>117</v>
      </c>
      <c r="X706" t="s">
        <v>124</v>
      </c>
      <c r="Y706" t="s">
        <v>1042</v>
      </c>
      <c r="Z706">
        <v>1</v>
      </c>
      <c r="AA706" t="s">
        <v>1210</v>
      </c>
    </row>
    <row r="707" spans="1:27">
      <c r="A707">
        <v>65</v>
      </c>
      <c r="B707" s="139">
        <v>46175.791006944448</v>
      </c>
      <c r="C707" s="139">
        <v>46175.793055555558</v>
      </c>
      <c r="D707" t="s">
        <v>495</v>
      </c>
      <c r="E707" t="s">
        <v>496</v>
      </c>
      <c r="F707" t="s">
        <v>496</v>
      </c>
      <c r="G707" t="s">
        <v>497</v>
      </c>
      <c r="H707" s="139">
        <v>46174</v>
      </c>
      <c r="I707" t="s">
        <v>498</v>
      </c>
      <c r="J707" t="s">
        <v>187</v>
      </c>
      <c r="K707" t="s">
        <v>254</v>
      </c>
      <c r="N707" t="s">
        <v>499</v>
      </c>
      <c r="O707" t="s">
        <v>195</v>
      </c>
      <c r="P707" t="s">
        <v>305</v>
      </c>
      <c r="Q707" t="s">
        <v>123</v>
      </c>
      <c r="R707" t="s">
        <v>22</v>
      </c>
      <c r="S707" t="s">
        <v>143</v>
      </c>
      <c r="T707" t="s">
        <v>144</v>
      </c>
      <c r="U707" t="s">
        <v>500</v>
      </c>
      <c r="V707" t="s">
        <v>116</v>
      </c>
      <c r="W707" t="s">
        <v>117</v>
      </c>
      <c r="X707" t="s">
        <v>124</v>
      </c>
      <c r="Y707" t="s">
        <v>1044</v>
      </c>
      <c r="Z707">
        <v>1</v>
      </c>
      <c r="AA707" t="s">
        <v>1211</v>
      </c>
    </row>
    <row r="708" spans="1:27">
      <c r="A708">
        <v>82</v>
      </c>
      <c r="B708" s="139">
        <v>46176.71875</v>
      </c>
      <c r="C708" s="139">
        <v>46176.733495370368</v>
      </c>
      <c r="D708" t="s">
        <v>238</v>
      </c>
      <c r="E708" t="s">
        <v>239</v>
      </c>
      <c r="F708" t="s">
        <v>239</v>
      </c>
      <c r="G708" t="s">
        <v>240</v>
      </c>
      <c r="H708" s="139">
        <v>46174</v>
      </c>
      <c r="I708" t="s">
        <v>241</v>
      </c>
      <c r="J708" t="s">
        <v>161</v>
      </c>
      <c r="M708" t="s">
        <v>585</v>
      </c>
      <c r="N708" t="s">
        <v>586</v>
      </c>
      <c r="O708" t="s">
        <v>107</v>
      </c>
      <c r="P708" t="s">
        <v>108</v>
      </c>
      <c r="Q708" t="s">
        <v>109</v>
      </c>
      <c r="R708" t="s">
        <v>22</v>
      </c>
      <c r="S708" t="s">
        <v>149</v>
      </c>
      <c r="T708" t="s">
        <v>181</v>
      </c>
      <c r="V708" t="s">
        <v>129</v>
      </c>
      <c r="W708" t="s">
        <v>130</v>
      </c>
      <c r="X708" t="s">
        <v>124</v>
      </c>
      <c r="Y708" t="s">
        <v>1040</v>
      </c>
      <c r="Z708">
        <v>1</v>
      </c>
      <c r="AA708" t="s">
        <v>186</v>
      </c>
    </row>
    <row r="709" spans="1:27">
      <c r="A709">
        <v>82</v>
      </c>
      <c r="B709" s="139">
        <v>46176.71875</v>
      </c>
      <c r="C709" s="139">
        <v>46176.733495370368</v>
      </c>
      <c r="D709" t="s">
        <v>238</v>
      </c>
      <c r="E709" t="s">
        <v>239</v>
      </c>
      <c r="F709" t="s">
        <v>239</v>
      </c>
      <c r="G709" t="s">
        <v>240</v>
      </c>
      <c r="H709" s="139">
        <v>46174</v>
      </c>
      <c r="I709" t="s">
        <v>241</v>
      </c>
      <c r="J709" t="s">
        <v>161</v>
      </c>
      <c r="M709" t="s">
        <v>585</v>
      </c>
      <c r="N709" t="s">
        <v>586</v>
      </c>
      <c r="O709" t="s">
        <v>107</v>
      </c>
      <c r="P709" t="s">
        <v>108</v>
      </c>
      <c r="Q709" t="s">
        <v>109</v>
      </c>
      <c r="R709" t="s">
        <v>22</v>
      </c>
      <c r="S709" t="s">
        <v>149</v>
      </c>
      <c r="T709" t="s">
        <v>181</v>
      </c>
      <c r="V709" t="s">
        <v>129</v>
      </c>
      <c r="W709" t="s">
        <v>130</v>
      </c>
      <c r="X709" t="s">
        <v>124</v>
      </c>
      <c r="Y709" t="s">
        <v>1042</v>
      </c>
      <c r="Z709">
        <v>1</v>
      </c>
      <c r="AA709" t="s">
        <v>1146</v>
      </c>
    </row>
    <row r="710" spans="1:27">
      <c r="A710">
        <v>82</v>
      </c>
      <c r="B710" s="139">
        <v>46176.71875</v>
      </c>
      <c r="C710" s="139">
        <v>46176.733495370368</v>
      </c>
      <c r="D710" t="s">
        <v>238</v>
      </c>
      <c r="E710" t="s">
        <v>239</v>
      </c>
      <c r="F710" t="s">
        <v>239</v>
      </c>
      <c r="G710" t="s">
        <v>240</v>
      </c>
      <c r="H710" s="139">
        <v>46174</v>
      </c>
      <c r="I710" t="s">
        <v>241</v>
      </c>
      <c r="J710" t="s">
        <v>161</v>
      </c>
      <c r="M710" t="s">
        <v>585</v>
      </c>
      <c r="N710" t="s">
        <v>586</v>
      </c>
      <c r="O710" t="s">
        <v>107</v>
      </c>
      <c r="P710" t="s">
        <v>108</v>
      </c>
      <c r="Q710" t="s">
        <v>109</v>
      </c>
      <c r="R710" t="s">
        <v>22</v>
      </c>
      <c r="S710" t="s">
        <v>149</v>
      </c>
      <c r="T710" t="s">
        <v>181</v>
      </c>
      <c r="V710" t="s">
        <v>129</v>
      </c>
      <c r="W710" t="s">
        <v>130</v>
      </c>
      <c r="X710" t="s">
        <v>124</v>
      </c>
      <c r="Y710" t="s">
        <v>1042</v>
      </c>
      <c r="Z710">
        <v>2</v>
      </c>
      <c r="AA710" t="s">
        <v>1319</v>
      </c>
    </row>
    <row r="711" spans="1:27">
      <c r="A711">
        <v>82</v>
      </c>
      <c r="B711" s="139">
        <v>46176.71875</v>
      </c>
      <c r="C711" s="139">
        <v>46176.733495370368</v>
      </c>
      <c r="D711" t="s">
        <v>238</v>
      </c>
      <c r="E711" t="s">
        <v>239</v>
      </c>
      <c r="F711" t="s">
        <v>239</v>
      </c>
      <c r="G711" t="s">
        <v>240</v>
      </c>
      <c r="H711" s="139">
        <v>46174</v>
      </c>
      <c r="I711" t="s">
        <v>241</v>
      </c>
      <c r="J711" t="s">
        <v>161</v>
      </c>
      <c r="M711" t="s">
        <v>585</v>
      </c>
      <c r="N711" t="s">
        <v>586</v>
      </c>
      <c r="O711" t="s">
        <v>107</v>
      </c>
      <c r="P711" t="s">
        <v>108</v>
      </c>
      <c r="Q711" t="s">
        <v>109</v>
      </c>
      <c r="R711" t="s">
        <v>22</v>
      </c>
      <c r="S711" t="s">
        <v>149</v>
      </c>
      <c r="T711" t="s">
        <v>181</v>
      </c>
      <c r="V711" t="s">
        <v>129</v>
      </c>
      <c r="W711" t="s">
        <v>130</v>
      </c>
      <c r="X711" t="s">
        <v>124</v>
      </c>
      <c r="Y711" t="s">
        <v>1044</v>
      </c>
      <c r="Z711">
        <v>1</v>
      </c>
      <c r="AA711" t="s">
        <v>1320</v>
      </c>
    </row>
    <row r="712" spans="1:27">
      <c r="A712">
        <v>83</v>
      </c>
      <c r="B712" s="139">
        <v>46176.733553240738</v>
      </c>
      <c r="C712" s="139">
        <v>46176.738553240742</v>
      </c>
      <c r="D712" t="s">
        <v>238</v>
      </c>
      <c r="E712" t="s">
        <v>239</v>
      </c>
      <c r="F712" t="s">
        <v>239</v>
      </c>
      <c r="G712" t="s">
        <v>240</v>
      </c>
      <c r="H712" s="139">
        <v>46175</v>
      </c>
      <c r="I712" t="s">
        <v>241</v>
      </c>
      <c r="J712" t="s">
        <v>161</v>
      </c>
      <c r="M712" t="s">
        <v>361</v>
      </c>
      <c r="N712" t="s">
        <v>242</v>
      </c>
      <c r="O712" t="s">
        <v>160</v>
      </c>
      <c r="P712" t="s">
        <v>108</v>
      </c>
      <c r="Q712" t="s">
        <v>123</v>
      </c>
      <c r="R712" t="s">
        <v>24</v>
      </c>
      <c r="S712" t="s">
        <v>143</v>
      </c>
      <c r="T712" t="s">
        <v>144</v>
      </c>
      <c r="V712" t="s">
        <v>151</v>
      </c>
      <c r="W712" t="s">
        <v>169</v>
      </c>
      <c r="X712" t="s">
        <v>164</v>
      </c>
      <c r="Y712" t="s">
        <v>1040</v>
      </c>
      <c r="Z712">
        <v>1</v>
      </c>
      <c r="AA712" t="s">
        <v>1321</v>
      </c>
    </row>
    <row r="713" spans="1:27">
      <c r="A713">
        <v>83</v>
      </c>
      <c r="B713" s="139">
        <v>46176.733553240738</v>
      </c>
      <c r="C713" s="139">
        <v>46176.738553240742</v>
      </c>
      <c r="D713" t="s">
        <v>238</v>
      </c>
      <c r="E713" t="s">
        <v>239</v>
      </c>
      <c r="F713" t="s">
        <v>239</v>
      </c>
      <c r="G713" t="s">
        <v>240</v>
      </c>
      <c r="H713" s="139">
        <v>46175</v>
      </c>
      <c r="I713" t="s">
        <v>241</v>
      </c>
      <c r="J713" t="s">
        <v>161</v>
      </c>
      <c r="M713" t="s">
        <v>361</v>
      </c>
      <c r="N713" t="s">
        <v>242</v>
      </c>
      <c r="O713" t="s">
        <v>160</v>
      </c>
      <c r="P713" t="s">
        <v>108</v>
      </c>
      <c r="Q713" t="s">
        <v>123</v>
      </c>
      <c r="R713" t="s">
        <v>24</v>
      </c>
      <c r="S713" t="s">
        <v>143</v>
      </c>
      <c r="T713" t="s">
        <v>144</v>
      </c>
      <c r="V713" t="s">
        <v>151</v>
      </c>
      <c r="W713" t="s">
        <v>169</v>
      </c>
      <c r="X713" t="s">
        <v>164</v>
      </c>
      <c r="Y713" t="s">
        <v>1042</v>
      </c>
      <c r="Z713">
        <v>1</v>
      </c>
      <c r="AA713" t="s">
        <v>1322</v>
      </c>
    </row>
    <row r="714" spans="1:27">
      <c r="A714">
        <v>83</v>
      </c>
      <c r="B714" s="139">
        <v>46176.733553240738</v>
      </c>
      <c r="C714" s="139">
        <v>46176.738553240742</v>
      </c>
      <c r="D714" t="s">
        <v>238</v>
      </c>
      <c r="E714" t="s">
        <v>239</v>
      </c>
      <c r="F714" t="s">
        <v>239</v>
      </c>
      <c r="G714" t="s">
        <v>240</v>
      </c>
      <c r="H714" s="139">
        <v>46175</v>
      </c>
      <c r="I714" t="s">
        <v>241</v>
      </c>
      <c r="J714" t="s">
        <v>161</v>
      </c>
      <c r="M714" t="s">
        <v>361</v>
      </c>
      <c r="N714" t="s">
        <v>242</v>
      </c>
      <c r="O714" t="s">
        <v>160</v>
      </c>
      <c r="P714" t="s">
        <v>108</v>
      </c>
      <c r="Q714" t="s">
        <v>123</v>
      </c>
      <c r="R714" t="s">
        <v>24</v>
      </c>
      <c r="S714" t="s">
        <v>143</v>
      </c>
      <c r="T714" t="s">
        <v>144</v>
      </c>
      <c r="V714" t="s">
        <v>151</v>
      </c>
      <c r="W714" t="s">
        <v>169</v>
      </c>
      <c r="X714" t="s">
        <v>164</v>
      </c>
      <c r="Y714" t="s">
        <v>1042</v>
      </c>
      <c r="Z714">
        <v>2</v>
      </c>
      <c r="AA714" t="s">
        <v>1170</v>
      </c>
    </row>
    <row r="715" spans="1:27">
      <c r="A715">
        <v>83</v>
      </c>
      <c r="B715" s="139">
        <v>46176.733553240738</v>
      </c>
      <c r="C715" s="139">
        <v>46176.738553240742</v>
      </c>
      <c r="D715" t="s">
        <v>238</v>
      </c>
      <c r="E715" t="s">
        <v>239</v>
      </c>
      <c r="F715" t="s">
        <v>239</v>
      </c>
      <c r="G715" t="s">
        <v>240</v>
      </c>
      <c r="H715" s="139">
        <v>46175</v>
      </c>
      <c r="I715" t="s">
        <v>241</v>
      </c>
      <c r="J715" t="s">
        <v>161</v>
      </c>
      <c r="M715" t="s">
        <v>361</v>
      </c>
      <c r="N715" t="s">
        <v>242</v>
      </c>
      <c r="O715" t="s">
        <v>160</v>
      </c>
      <c r="P715" t="s">
        <v>108</v>
      </c>
      <c r="Q715" t="s">
        <v>123</v>
      </c>
      <c r="R715" t="s">
        <v>24</v>
      </c>
      <c r="S715" t="s">
        <v>143</v>
      </c>
      <c r="T715" t="s">
        <v>144</v>
      </c>
      <c r="V715" t="s">
        <v>151</v>
      </c>
      <c r="W715" t="s">
        <v>169</v>
      </c>
      <c r="X715" t="s">
        <v>164</v>
      </c>
      <c r="Y715" t="s">
        <v>1044</v>
      </c>
      <c r="Z715">
        <v>1</v>
      </c>
      <c r="AA715" t="s">
        <v>1323</v>
      </c>
    </row>
    <row r="716" spans="1:27">
      <c r="A716">
        <v>83</v>
      </c>
      <c r="B716" s="139">
        <v>46176.733553240738</v>
      </c>
      <c r="C716" s="139">
        <v>46176.738553240742</v>
      </c>
      <c r="D716" t="s">
        <v>238</v>
      </c>
      <c r="E716" t="s">
        <v>239</v>
      </c>
      <c r="F716" t="s">
        <v>239</v>
      </c>
      <c r="G716" t="s">
        <v>240</v>
      </c>
      <c r="H716" s="139">
        <v>46175</v>
      </c>
      <c r="I716" t="s">
        <v>241</v>
      </c>
      <c r="J716" t="s">
        <v>161</v>
      </c>
      <c r="M716" t="s">
        <v>361</v>
      </c>
      <c r="N716" t="s">
        <v>242</v>
      </c>
      <c r="O716" t="s">
        <v>160</v>
      </c>
      <c r="P716" t="s">
        <v>108</v>
      </c>
      <c r="Q716" t="s">
        <v>123</v>
      </c>
      <c r="R716" t="s">
        <v>24</v>
      </c>
      <c r="S716" t="s">
        <v>143</v>
      </c>
      <c r="T716" t="s">
        <v>144</v>
      </c>
      <c r="V716" t="s">
        <v>151</v>
      </c>
      <c r="W716" t="s">
        <v>169</v>
      </c>
      <c r="X716" t="s">
        <v>164</v>
      </c>
      <c r="Y716" t="s">
        <v>1044</v>
      </c>
      <c r="Z716">
        <v>2</v>
      </c>
      <c r="AA716" t="s">
        <v>1324</v>
      </c>
    </row>
    <row r="717" spans="1:27">
      <c r="A717">
        <v>128</v>
      </c>
      <c r="B717" s="139">
        <v>46181.416886574072</v>
      </c>
      <c r="C717" s="139">
        <v>46181.428900462961</v>
      </c>
      <c r="D717" t="s">
        <v>767</v>
      </c>
      <c r="E717" t="s">
        <v>768</v>
      </c>
      <c r="F717" t="s">
        <v>769</v>
      </c>
      <c r="G717" t="s">
        <v>770</v>
      </c>
      <c r="H717" s="139">
        <v>46175</v>
      </c>
      <c r="I717" t="s">
        <v>772</v>
      </c>
      <c r="J717" t="s">
        <v>174</v>
      </c>
      <c r="L717" t="s">
        <v>771</v>
      </c>
      <c r="N717" t="s">
        <v>773</v>
      </c>
      <c r="O717" t="s">
        <v>135</v>
      </c>
      <c r="P717" t="s">
        <v>108</v>
      </c>
      <c r="Q717" t="s">
        <v>109</v>
      </c>
      <c r="R717" t="s">
        <v>24</v>
      </c>
      <c r="S717" t="s">
        <v>149</v>
      </c>
      <c r="T717" t="s">
        <v>150</v>
      </c>
      <c r="U717" t="s">
        <v>774</v>
      </c>
      <c r="V717" t="s">
        <v>116</v>
      </c>
      <c r="W717" t="s">
        <v>169</v>
      </c>
      <c r="X717" t="s">
        <v>190</v>
      </c>
      <c r="Y717" t="s">
        <v>1040</v>
      </c>
      <c r="Z717">
        <v>1</v>
      </c>
      <c r="AA717" t="s">
        <v>1221</v>
      </c>
    </row>
    <row r="718" spans="1:27">
      <c r="A718">
        <v>128</v>
      </c>
      <c r="B718" s="139">
        <v>46181.416886574072</v>
      </c>
      <c r="C718" s="139">
        <v>46181.428900462961</v>
      </c>
      <c r="D718" t="s">
        <v>767</v>
      </c>
      <c r="E718" t="s">
        <v>768</v>
      </c>
      <c r="F718" t="s">
        <v>769</v>
      </c>
      <c r="G718" t="s">
        <v>770</v>
      </c>
      <c r="H718" s="139">
        <v>46175</v>
      </c>
      <c r="I718" t="s">
        <v>772</v>
      </c>
      <c r="J718" t="s">
        <v>174</v>
      </c>
      <c r="L718" t="s">
        <v>771</v>
      </c>
      <c r="N718" t="s">
        <v>773</v>
      </c>
      <c r="O718" t="s">
        <v>135</v>
      </c>
      <c r="P718" t="s">
        <v>108</v>
      </c>
      <c r="Q718" t="s">
        <v>109</v>
      </c>
      <c r="R718" t="s">
        <v>24</v>
      </c>
      <c r="S718" t="s">
        <v>149</v>
      </c>
      <c r="T718" t="s">
        <v>150</v>
      </c>
      <c r="U718" t="s">
        <v>774</v>
      </c>
      <c r="V718" t="s">
        <v>116</v>
      </c>
      <c r="W718" t="s">
        <v>169</v>
      </c>
      <c r="X718" t="s">
        <v>190</v>
      </c>
      <c r="Y718" t="s">
        <v>1042</v>
      </c>
      <c r="Z718">
        <v>1</v>
      </c>
      <c r="AA718" t="s">
        <v>1063</v>
      </c>
    </row>
    <row r="719" spans="1:27">
      <c r="A719">
        <v>128</v>
      </c>
      <c r="B719" s="139">
        <v>46181.416886574072</v>
      </c>
      <c r="C719" s="139">
        <v>46181.428900462961</v>
      </c>
      <c r="D719" t="s">
        <v>767</v>
      </c>
      <c r="E719" t="s">
        <v>768</v>
      </c>
      <c r="F719" t="s">
        <v>769</v>
      </c>
      <c r="G719" t="s">
        <v>770</v>
      </c>
      <c r="H719" s="139">
        <v>46175</v>
      </c>
      <c r="I719" t="s">
        <v>772</v>
      </c>
      <c r="J719" t="s">
        <v>174</v>
      </c>
      <c r="L719" t="s">
        <v>771</v>
      </c>
      <c r="N719" t="s">
        <v>773</v>
      </c>
      <c r="O719" t="s">
        <v>135</v>
      </c>
      <c r="P719" t="s">
        <v>108</v>
      </c>
      <c r="Q719" t="s">
        <v>109</v>
      </c>
      <c r="R719" t="s">
        <v>24</v>
      </c>
      <c r="S719" t="s">
        <v>149</v>
      </c>
      <c r="T719" t="s">
        <v>150</v>
      </c>
      <c r="U719" t="s">
        <v>774</v>
      </c>
      <c r="V719" t="s">
        <v>116</v>
      </c>
      <c r="W719" t="s">
        <v>169</v>
      </c>
      <c r="X719" t="s">
        <v>190</v>
      </c>
      <c r="Y719" t="s">
        <v>1044</v>
      </c>
      <c r="Z719">
        <v>1</v>
      </c>
      <c r="AA719" t="s">
        <v>1064</v>
      </c>
    </row>
    <row r="720" spans="1:27">
      <c r="A720">
        <v>76</v>
      </c>
      <c r="B720" s="139">
        <v>46176.443553240737</v>
      </c>
      <c r="C720" s="139">
        <v>46176.447615740741</v>
      </c>
      <c r="D720" t="s">
        <v>549</v>
      </c>
      <c r="E720" t="s">
        <v>550</v>
      </c>
      <c r="F720" t="s">
        <v>551</v>
      </c>
      <c r="G720" t="s">
        <v>552</v>
      </c>
      <c r="H720" s="139">
        <v>46176</v>
      </c>
      <c r="I720" t="s">
        <v>553</v>
      </c>
      <c r="J720" t="s">
        <v>161</v>
      </c>
      <c r="M720" t="s">
        <v>554</v>
      </c>
      <c r="O720" t="s">
        <v>195</v>
      </c>
      <c r="P720" t="s">
        <v>196</v>
      </c>
      <c r="Q720" t="s">
        <v>123</v>
      </c>
      <c r="R720" t="s">
        <v>22</v>
      </c>
      <c r="S720" t="s">
        <v>143</v>
      </c>
      <c r="T720" t="s">
        <v>181</v>
      </c>
      <c r="V720" t="s">
        <v>129</v>
      </c>
      <c r="W720" t="s">
        <v>169</v>
      </c>
      <c r="X720" t="s">
        <v>124</v>
      </c>
      <c r="Y720" t="s">
        <v>1040</v>
      </c>
      <c r="Z720">
        <v>1</v>
      </c>
      <c r="AA720" t="s">
        <v>1124</v>
      </c>
    </row>
    <row r="721" spans="1:27">
      <c r="A721">
        <v>76</v>
      </c>
      <c r="B721" s="139">
        <v>46176.443553240737</v>
      </c>
      <c r="C721" s="139">
        <v>46176.447615740741</v>
      </c>
      <c r="D721" t="s">
        <v>549</v>
      </c>
      <c r="E721" t="s">
        <v>550</v>
      </c>
      <c r="F721" t="s">
        <v>551</v>
      </c>
      <c r="G721" t="s">
        <v>552</v>
      </c>
      <c r="H721" s="139">
        <v>46176</v>
      </c>
      <c r="I721" t="s">
        <v>553</v>
      </c>
      <c r="J721" t="s">
        <v>161</v>
      </c>
      <c r="M721" t="s">
        <v>554</v>
      </c>
      <c r="O721" t="s">
        <v>195</v>
      </c>
      <c r="P721" t="s">
        <v>196</v>
      </c>
      <c r="Q721" t="s">
        <v>123</v>
      </c>
      <c r="R721" t="s">
        <v>22</v>
      </c>
      <c r="S721" t="s">
        <v>143</v>
      </c>
      <c r="T721" t="s">
        <v>181</v>
      </c>
      <c r="V721" t="s">
        <v>129</v>
      </c>
      <c r="W721" t="s">
        <v>169</v>
      </c>
      <c r="X721" t="s">
        <v>124</v>
      </c>
      <c r="Y721" t="s">
        <v>1042</v>
      </c>
      <c r="Z721">
        <v>1</v>
      </c>
      <c r="AA721" t="s">
        <v>1128</v>
      </c>
    </row>
    <row r="722" spans="1:27">
      <c r="A722">
        <v>76</v>
      </c>
      <c r="B722" s="139">
        <v>46176.443553240737</v>
      </c>
      <c r="C722" s="139">
        <v>46176.447615740741</v>
      </c>
      <c r="D722" t="s">
        <v>549</v>
      </c>
      <c r="E722" t="s">
        <v>550</v>
      </c>
      <c r="F722" t="s">
        <v>551</v>
      </c>
      <c r="G722" t="s">
        <v>552</v>
      </c>
      <c r="H722" s="139">
        <v>46176</v>
      </c>
      <c r="I722" t="s">
        <v>553</v>
      </c>
      <c r="J722" t="s">
        <v>161</v>
      </c>
      <c r="M722" t="s">
        <v>554</v>
      </c>
      <c r="O722" t="s">
        <v>195</v>
      </c>
      <c r="P722" t="s">
        <v>196</v>
      </c>
      <c r="Q722" t="s">
        <v>123</v>
      </c>
      <c r="R722" t="s">
        <v>22</v>
      </c>
      <c r="S722" t="s">
        <v>143</v>
      </c>
      <c r="T722" t="s">
        <v>181</v>
      </c>
      <c r="V722" t="s">
        <v>129</v>
      </c>
      <c r="W722" t="s">
        <v>169</v>
      </c>
      <c r="X722" t="s">
        <v>124</v>
      </c>
      <c r="Y722" t="s">
        <v>1044</v>
      </c>
      <c r="Z722">
        <v>1</v>
      </c>
      <c r="AA722" t="s">
        <v>1061</v>
      </c>
    </row>
    <row r="723" spans="1:27">
      <c r="A723">
        <v>77</v>
      </c>
      <c r="B723" s="139">
        <v>46176.529421296298</v>
      </c>
      <c r="C723" s="139">
        <v>46176.530706018522</v>
      </c>
      <c r="D723" t="s">
        <v>556</v>
      </c>
      <c r="E723" t="s">
        <v>557</v>
      </c>
      <c r="F723" t="s">
        <v>557</v>
      </c>
      <c r="G723" t="s">
        <v>558</v>
      </c>
      <c r="H723" s="139">
        <v>46176</v>
      </c>
      <c r="I723" t="s">
        <v>498</v>
      </c>
      <c r="J723" t="s">
        <v>161</v>
      </c>
      <c r="M723" t="s">
        <v>559</v>
      </c>
      <c r="O723" t="s">
        <v>122</v>
      </c>
      <c r="P723" t="s">
        <v>196</v>
      </c>
      <c r="Q723" t="s">
        <v>248</v>
      </c>
      <c r="R723" t="s">
        <v>25</v>
      </c>
      <c r="S723" t="s">
        <v>149</v>
      </c>
      <c r="T723" t="s">
        <v>563</v>
      </c>
      <c r="U723" t="s">
        <v>564</v>
      </c>
      <c r="V723" t="s">
        <v>116</v>
      </c>
      <c r="W723" t="s">
        <v>130</v>
      </c>
      <c r="X723" t="s">
        <v>451</v>
      </c>
      <c r="Y723" t="s">
        <v>1040</v>
      </c>
      <c r="Z723">
        <v>1</v>
      </c>
      <c r="AA723" t="s">
        <v>1325</v>
      </c>
    </row>
    <row r="724" spans="1:27">
      <c r="A724">
        <v>77</v>
      </c>
      <c r="B724" s="139">
        <v>46176.529421296298</v>
      </c>
      <c r="C724" s="139">
        <v>46176.530706018522</v>
      </c>
      <c r="D724" t="s">
        <v>556</v>
      </c>
      <c r="E724" t="s">
        <v>557</v>
      </c>
      <c r="F724" t="s">
        <v>557</v>
      </c>
      <c r="G724" t="s">
        <v>558</v>
      </c>
      <c r="H724" s="139">
        <v>46176</v>
      </c>
      <c r="I724" t="s">
        <v>498</v>
      </c>
      <c r="J724" t="s">
        <v>161</v>
      </c>
      <c r="M724" t="s">
        <v>559</v>
      </c>
      <c r="O724" t="s">
        <v>122</v>
      </c>
      <c r="P724" t="s">
        <v>196</v>
      </c>
      <c r="Q724" t="s">
        <v>248</v>
      </c>
      <c r="R724" t="s">
        <v>25</v>
      </c>
      <c r="S724" t="s">
        <v>149</v>
      </c>
      <c r="T724" t="s">
        <v>563</v>
      </c>
      <c r="U724" t="s">
        <v>564</v>
      </c>
      <c r="V724" t="s">
        <v>116</v>
      </c>
      <c r="W724" t="s">
        <v>130</v>
      </c>
      <c r="X724" t="s">
        <v>451</v>
      </c>
      <c r="Y724" t="s">
        <v>1042</v>
      </c>
      <c r="Z724">
        <v>1</v>
      </c>
      <c r="AA724" t="s">
        <v>1078</v>
      </c>
    </row>
    <row r="725" spans="1:27">
      <c r="A725">
        <v>77</v>
      </c>
      <c r="B725" s="139">
        <v>46176.529421296298</v>
      </c>
      <c r="C725" s="139">
        <v>46176.530706018522</v>
      </c>
      <c r="D725" t="s">
        <v>556</v>
      </c>
      <c r="E725" t="s">
        <v>557</v>
      </c>
      <c r="F725" t="s">
        <v>557</v>
      </c>
      <c r="G725" t="s">
        <v>558</v>
      </c>
      <c r="H725" s="139">
        <v>46176</v>
      </c>
      <c r="I725" t="s">
        <v>498</v>
      </c>
      <c r="J725" t="s">
        <v>161</v>
      </c>
      <c r="M725" t="s">
        <v>559</v>
      </c>
      <c r="O725" t="s">
        <v>122</v>
      </c>
      <c r="P725" t="s">
        <v>196</v>
      </c>
      <c r="Q725" t="s">
        <v>248</v>
      </c>
      <c r="R725" t="s">
        <v>25</v>
      </c>
      <c r="S725" t="s">
        <v>149</v>
      </c>
      <c r="T725" t="s">
        <v>563</v>
      </c>
      <c r="U725" t="s">
        <v>564</v>
      </c>
      <c r="V725" t="s">
        <v>116</v>
      </c>
      <c r="W725" t="s">
        <v>130</v>
      </c>
      <c r="X725" t="s">
        <v>451</v>
      </c>
      <c r="Y725" t="s">
        <v>1044</v>
      </c>
      <c r="Z725">
        <v>1</v>
      </c>
      <c r="AA725" t="s">
        <v>1326</v>
      </c>
    </row>
    <row r="726" spans="1:27">
      <c r="A726">
        <v>133</v>
      </c>
      <c r="B726" s="139">
        <v>46181.439803240741</v>
      </c>
      <c r="C726" s="139">
        <v>46181.445914351847</v>
      </c>
      <c r="D726" t="s">
        <v>797</v>
      </c>
      <c r="E726" t="s">
        <v>798</v>
      </c>
      <c r="F726" t="s">
        <v>799</v>
      </c>
      <c r="G726" t="s">
        <v>800</v>
      </c>
      <c r="H726" s="139">
        <v>46176</v>
      </c>
      <c r="I726" t="s">
        <v>772</v>
      </c>
      <c r="J726" t="s">
        <v>174</v>
      </c>
      <c r="L726" t="s">
        <v>801</v>
      </c>
      <c r="N726" t="s">
        <v>802</v>
      </c>
      <c r="O726" t="s">
        <v>135</v>
      </c>
      <c r="P726" t="s">
        <v>221</v>
      </c>
      <c r="Q726" t="s">
        <v>109</v>
      </c>
      <c r="R726" t="s">
        <v>22</v>
      </c>
      <c r="S726" t="s">
        <v>149</v>
      </c>
      <c r="T726" t="s">
        <v>478</v>
      </c>
      <c r="U726" t="s">
        <v>802</v>
      </c>
      <c r="V726" t="s">
        <v>151</v>
      </c>
      <c r="W726" t="s">
        <v>117</v>
      </c>
      <c r="X726" t="s">
        <v>302</v>
      </c>
      <c r="Y726" t="s">
        <v>1040</v>
      </c>
      <c r="Z726">
        <v>1</v>
      </c>
      <c r="AA726" t="s">
        <v>1290</v>
      </c>
    </row>
    <row r="727" spans="1:27">
      <c r="A727">
        <v>133</v>
      </c>
      <c r="B727" s="139">
        <v>46181.439803240741</v>
      </c>
      <c r="C727" s="139">
        <v>46181.445914351847</v>
      </c>
      <c r="D727" t="s">
        <v>797</v>
      </c>
      <c r="E727" t="s">
        <v>798</v>
      </c>
      <c r="F727" t="s">
        <v>799</v>
      </c>
      <c r="G727" t="s">
        <v>800</v>
      </c>
      <c r="H727" s="139">
        <v>46176</v>
      </c>
      <c r="I727" t="s">
        <v>772</v>
      </c>
      <c r="J727" t="s">
        <v>174</v>
      </c>
      <c r="L727" t="s">
        <v>801</v>
      </c>
      <c r="N727" t="s">
        <v>802</v>
      </c>
      <c r="O727" t="s">
        <v>135</v>
      </c>
      <c r="P727" t="s">
        <v>221</v>
      </c>
      <c r="Q727" t="s">
        <v>109</v>
      </c>
      <c r="R727" t="s">
        <v>22</v>
      </c>
      <c r="S727" t="s">
        <v>149</v>
      </c>
      <c r="T727" t="s">
        <v>478</v>
      </c>
      <c r="U727" t="s">
        <v>802</v>
      </c>
      <c r="V727" t="s">
        <v>151</v>
      </c>
      <c r="W727" t="s">
        <v>117</v>
      </c>
      <c r="X727" t="s">
        <v>302</v>
      </c>
      <c r="Y727" t="s">
        <v>1040</v>
      </c>
      <c r="Z727">
        <v>2</v>
      </c>
      <c r="AA727" t="s">
        <v>1327</v>
      </c>
    </row>
    <row r="728" spans="1:27">
      <c r="A728">
        <v>133</v>
      </c>
      <c r="B728" s="139">
        <v>46181.439803240741</v>
      </c>
      <c r="C728" s="139">
        <v>46181.445914351847</v>
      </c>
      <c r="D728" t="s">
        <v>797</v>
      </c>
      <c r="E728" t="s">
        <v>798</v>
      </c>
      <c r="F728" t="s">
        <v>799</v>
      </c>
      <c r="G728" t="s">
        <v>800</v>
      </c>
      <c r="H728" s="139">
        <v>46176</v>
      </c>
      <c r="I728" t="s">
        <v>772</v>
      </c>
      <c r="J728" t="s">
        <v>174</v>
      </c>
      <c r="L728" t="s">
        <v>801</v>
      </c>
      <c r="N728" t="s">
        <v>802</v>
      </c>
      <c r="O728" t="s">
        <v>135</v>
      </c>
      <c r="P728" t="s">
        <v>221</v>
      </c>
      <c r="Q728" t="s">
        <v>109</v>
      </c>
      <c r="R728" t="s">
        <v>22</v>
      </c>
      <c r="S728" t="s">
        <v>149</v>
      </c>
      <c r="T728" t="s">
        <v>478</v>
      </c>
      <c r="U728" t="s">
        <v>802</v>
      </c>
      <c r="V728" t="s">
        <v>151</v>
      </c>
      <c r="W728" t="s">
        <v>117</v>
      </c>
      <c r="X728" t="s">
        <v>302</v>
      </c>
      <c r="Y728" t="s">
        <v>1042</v>
      </c>
      <c r="Z728">
        <v>1</v>
      </c>
      <c r="AA728" t="s">
        <v>1092</v>
      </c>
    </row>
    <row r="729" spans="1:27">
      <c r="A729">
        <v>133</v>
      </c>
      <c r="B729" s="139">
        <v>46181.439803240741</v>
      </c>
      <c r="C729" s="139">
        <v>46181.445914351847</v>
      </c>
      <c r="D729" t="s">
        <v>797</v>
      </c>
      <c r="E729" t="s">
        <v>798</v>
      </c>
      <c r="F729" t="s">
        <v>799</v>
      </c>
      <c r="G729" t="s">
        <v>800</v>
      </c>
      <c r="H729" s="139">
        <v>46176</v>
      </c>
      <c r="I729" t="s">
        <v>772</v>
      </c>
      <c r="J729" t="s">
        <v>174</v>
      </c>
      <c r="L729" t="s">
        <v>801</v>
      </c>
      <c r="N729" t="s">
        <v>802</v>
      </c>
      <c r="O729" t="s">
        <v>135</v>
      </c>
      <c r="P729" t="s">
        <v>221</v>
      </c>
      <c r="Q729" t="s">
        <v>109</v>
      </c>
      <c r="R729" t="s">
        <v>22</v>
      </c>
      <c r="S729" t="s">
        <v>149</v>
      </c>
      <c r="T729" t="s">
        <v>478</v>
      </c>
      <c r="U729" t="s">
        <v>802</v>
      </c>
      <c r="V729" t="s">
        <v>151</v>
      </c>
      <c r="W729" t="s">
        <v>117</v>
      </c>
      <c r="X729" t="s">
        <v>302</v>
      </c>
      <c r="Y729" t="s">
        <v>1042</v>
      </c>
      <c r="Z729">
        <v>2</v>
      </c>
      <c r="AA729" t="s">
        <v>1328</v>
      </c>
    </row>
    <row r="730" spans="1:27">
      <c r="A730">
        <v>133</v>
      </c>
      <c r="B730" s="139">
        <v>46181.439803240741</v>
      </c>
      <c r="C730" s="139">
        <v>46181.445914351847</v>
      </c>
      <c r="D730" t="s">
        <v>797</v>
      </c>
      <c r="E730" t="s">
        <v>798</v>
      </c>
      <c r="F730" t="s">
        <v>799</v>
      </c>
      <c r="G730" t="s">
        <v>800</v>
      </c>
      <c r="H730" s="139">
        <v>46176</v>
      </c>
      <c r="I730" t="s">
        <v>772</v>
      </c>
      <c r="J730" t="s">
        <v>174</v>
      </c>
      <c r="L730" t="s">
        <v>801</v>
      </c>
      <c r="N730" t="s">
        <v>802</v>
      </c>
      <c r="O730" t="s">
        <v>135</v>
      </c>
      <c r="P730" t="s">
        <v>221</v>
      </c>
      <c r="Q730" t="s">
        <v>109</v>
      </c>
      <c r="R730" t="s">
        <v>22</v>
      </c>
      <c r="S730" t="s">
        <v>149</v>
      </c>
      <c r="T730" t="s">
        <v>478</v>
      </c>
      <c r="U730" t="s">
        <v>802</v>
      </c>
      <c r="V730" t="s">
        <v>151</v>
      </c>
      <c r="W730" t="s">
        <v>117</v>
      </c>
      <c r="X730" t="s">
        <v>302</v>
      </c>
      <c r="Y730" t="s">
        <v>1044</v>
      </c>
      <c r="Z730">
        <v>1</v>
      </c>
      <c r="AA730" t="s">
        <v>1095</v>
      </c>
    </row>
    <row r="731" spans="1:27">
      <c r="A731">
        <v>66</v>
      </c>
      <c r="B731" s="139">
        <v>46175.794259259259</v>
      </c>
      <c r="C731" s="139">
        <v>46175.798113425917</v>
      </c>
      <c r="D731" t="s">
        <v>501</v>
      </c>
      <c r="E731" t="s">
        <v>502</v>
      </c>
      <c r="F731" t="s">
        <v>502</v>
      </c>
      <c r="G731" t="s">
        <v>503</v>
      </c>
      <c r="H731" s="139">
        <v>46177</v>
      </c>
      <c r="I731" t="s">
        <v>505</v>
      </c>
      <c r="J731" t="s">
        <v>174</v>
      </c>
      <c r="L731" t="s">
        <v>504</v>
      </c>
      <c r="N731" t="s">
        <v>506</v>
      </c>
      <c r="O731" t="s">
        <v>173</v>
      </c>
      <c r="P731" t="s">
        <v>108</v>
      </c>
      <c r="Q731" t="s">
        <v>109</v>
      </c>
      <c r="R731" t="s">
        <v>22</v>
      </c>
      <c r="S731" t="s">
        <v>143</v>
      </c>
      <c r="T731" t="s">
        <v>181</v>
      </c>
      <c r="U731" t="s">
        <v>508</v>
      </c>
      <c r="V731" t="s">
        <v>116</v>
      </c>
      <c r="W731" t="s">
        <v>130</v>
      </c>
      <c r="X731" t="s">
        <v>199</v>
      </c>
      <c r="Y731" t="s">
        <v>1040</v>
      </c>
      <c r="Z731">
        <v>1</v>
      </c>
      <c r="AA731" t="s">
        <v>1119</v>
      </c>
    </row>
    <row r="732" spans="1:27">
      <c r="A732">
        <v>66</v>
      </c>
      <c r="B732" s="139">
        <v>46175.794259259259</v>
      </c>
      <c r="C732" s="139">
        <v>46175.798113425917</v>
      </c>
      <c r="D732" t="s">
        <v>501</v>
      </c>
      <c r="E732" t="s">
        <v>502</v>
      </c>
      <c r="F732" t="s">
        <v>502</v>
      </c>
      <c r="G732" t="s">
        <v>503</v>
      </c>
      <c r="H732" s="139">
        <v>46177</v>
      </c>
      <c r="I732" t="s">
        <v>505</v>
      </c>
      <c r="J732" t="s">
        <v>174</v>
      </c>
      <c r="L732" t="s">
        <v>504</v>
      </c>
      <c r="N732" t="s">
        <v>506</v>
      </c>
      <c r="O732" t="s">
        <v>173</v>
      </c>
      <c r="P732" t="s">
        <v>108</v>
      </c>
      <c r="Q732" t="s">
        <v>109</v>
      </c>
      <c r="R732" t="s">
        <v>22</v>
      </c>
      <c r="S732" t="s">
        <v>143</v>
      </c>
      <c r="T732" t="s">
        <v>181</v>
      </c>
      <c r="U732" t="s">
        <v>508</v>
      </c>
      <c r="V732" t="s">
        <v>116</v>
      </c>
      <c r="W732" t="s">
        <v>130</v>
      </c>
      <c r="X732" t="s">
        <v>199</v>
      </c>
      <c r="Y732" t="s">
        <v>1040</v>
      </c>
      <c r="Z732">
        <v>2</v>
      </c>
      <c r="AA732" t="s">
        <v>1117</v>
      </c>
    </row>
    <row r="733" spans="1:27">
      <c r="A733">
        <v>66</v>
      </c>
      <c r="B733" s="139">
        <v>46175.794259259259</v>
      </c>
      <c r="C733" s="139">
        <v>46175.798113425917</v>
      </c>
      <c r="D733" t="s">
        <v>501</v>
      </c>
      <c r="E733" t="s">
        <v>502</v>
      </c>
      <c r="F733" t="s">
        <v>502</v>
      </c>
      <c r="G733" t="s">
        <v>503</v>
      </c>
      <c r="H733" s="139">
        <v>46177</v>
      </c>
      <c r="I733" t="s">
        <v>505</v>
      </c>
      <c r="J733" t="s">
        <v>174</v>
      </c>
      <c r="L733" t="s">
        <v>504</v>
      </c>
      <c r="N733" t="s">
        <v>506</v>
      </c>
      <c r="O733" t="s">
        <v>173</v>
      </c>
      <c r="P733" t="s">
        <v>108</v>
      </c>
      <c r="Q733" t="s">
        <v>109</v>
      </c>
      <c r="R733" t="s">
        <v>22</v>
      </c>
      <c r="S733" t="s">
        <v>143</v>
      </c>
      <c r="T733" t="s">
        <v>181</v>
      </c>
      <c r="U733" t="s">
        <v>508</v>
      </c>
      <c r="V733" t="s">
        <v>116</v>
      </c>
      <c r="W733" t="s">
        <v>130</v>
      </c>
      <c r="X733" t="s">
        <v>199</v>
      </c>
      <c r="Y733" t="s">
        <v>1042</v>
      </c>
      <c r="Z733">
        <v>1</v>
      </c>
      <c r="AA733" t="s">
        <v>1204</v>
      </c>
    </row>
    <row r="734" spans="1:27">
      <c r="A734">
        <v>66</v>
      </c>
      <c r="B734" s="139">
        <v>46175.794259259259</v>
      </c>
      <c r="C734" s="139">
        <v>46175.798113425917</v>
      </c>
      <c r="D734" t="s">
        <v>501</v>
      </c>
      <c r="E734" t="s">
        <v>502</v>
      </c>
      <c r="F734" t="s">
        <v>502</v>
      </c>
      <c r="G734" t="s">
        <v>503</v>
      </c>
      <c r="H734" s="139">
        <v>46177</v>
      </c>
      <c r="I734" t="s">
        <v>505</v>
      </c>
      <c r="J734" t="s">
        <v>174</v>
      </c>
      <c r="L734" t="s">
        <v>504</v>
      </c>
      <c r="N734" t="s">
        <v>506</v>
      </c>
      <c r="O734" t="s">
        <v>173</v>
      </c>
      <c r="P734" t="s">
        <v>108</v>
      </c>
      <c r="Q734" t="s">
        <v>109</v>
      </c>
      <c r="R734" t="s">
        <v>22</v>
      </c>
      <c r="S734" t="s">
        <v>143</v>
      </c>
      <c r="T734" t="s">
        <v>181</v>
      </c>
      <c r="U734" t="s">
        <v>508</v>
      </c>
      <c r="V734" t="s">
        <v>116</v>
      </c>
      <c r="W734" t="s">
        <v>130</v>
      </c>
      <c r="X734" t="s">
        <v>199</v>
      </c>
      <c r="Y734" t="s">
        <v>1044</v>
      </c>
      <c r="Z734">
        <v>1</v>
      </c>
      <c r="AA734" t="s">
        <v>1122</v>
      </c>
    </row>
    <row r="735" spans="1:27">
      <c r="A735">
        <v>129</v>
      </c>
      <c r="B735" s="139">
        <v>46181.408854166657</v>
      </c>
      <c r="C735" s="139">
        <v>46181.431574074071</v>
      </c>
      <c r="D735" t="s">
        <v>775</v>
      </c>
      <c r="E735" t="s">
        <v>776</v>
      </c>
      <c r="F735" t="s">
        <v>776</v>
      </c>
      <c r="G735" t="s">
        <v>777</v>
      </c>
      <c r="H735" s="139">
        <v>46178</v>
      </c>
      <c r="I735" t="s">
        <v>772</v>
      </c>
      <c r="J735" t="s">
        <v>187</v>
      </c>
      <c r="K735" t="s">
        <v>254</v>
      </c>
      <c r="N735" t="s">
        <v>778</v>
      </c>
      <c r="O735" t="s">
        <v>436</v>
      </c>
      <c r="P735" t="s">
        <v>108</v>
      </c>
      <c r="Q735" t="s">
        <v>248</v>
      </c>
      <c r="R735" t="s">
        <v>22</v>
      </c>
      <c r="S735" t="s">
        <v>149</v>
      </c>
      <c r="T735" t="s">
        <v>150</v>
      </c>
      <c r="V735" t="s">
        <v>129</v>
      </c>
      <c r="W735" t="s">
        <v>130</v>
      </c>
      <c r="X735" t="s">
        <v>329</v>
      </c>
      <c r="Y735" t="s">
        <v>1040</v>
      </c>
      <c r="Z735">
        <v>1</v>
      </c>
      <c r="AA735" t="s">
        <v>1196</v>
      </c>
    </row>
    <row r="736" spans="1:27">
      <c r="A736">
        <v>129</v>
      </c>
      <c r="B736" s="139">
        <v>46181.408854166657</v>
      </c>
      <c r="C736" s="139">
        <v>46181.431574074071</v>
      </c>
      <c r="D736" t="s">
        <v>775</v>
      </c>
      <c r="E736" t="s">
        <v>776</v>
      </c>
      <c r="F736" t="s">
        <v>776</v>
      </c>
      <c r="G736" t="s">
        <v>777</v>
      </c>
      <c r="H736" s="139">
        <v>46178</v>
      </c>
      <c r="I736" t="s">
        <v>772</v>
      </c>
      <c r="J736" t="s">
        <v>187</v>
      </c>
      <c r="K736" t="s">
        <v>254</v>
      </c>
      <c r="N736" t="s">
        <v>778</v>
      </c>
      <c r="O736" t="s">
        <v>436</v>
      </c>
      <c r="P736" t="s">
        <v>108</v>
      </c>
      <c r="Q736" t="s">
        <v>248</v>
      </c>
      <c r="R736" t="s">
        <v>22</v>
      </c>
      <c r="S736" t="s">
        <v>149</v>
      </c>
      <c r="T736" t="s">
        <v>150</v>
      </c>
      <c r="V736" t="s">
        <v>129</v>
      </c>
      <c r="W736" t="s">
        <v>130</v>
      </c>
      <c r="X736" t="s">
        <v>329</v>
      </c>
      <c r="Y736" t="s">
        <v>1042</v>
      </c>
      <c r="Z736">
        <v>1</v>
      </c>
      <c r="AA736" t="s">
        <v>1329</v>
      </c>
    </row>
    <row r="737" spans="1:27">
      <c r="A737">
        <v>129</v>
      </c>
      <c r="B737" s="139">
        <v>46181.408854166657</v>
      </c>
      <c r="C737" s="139">
        <v>46181.431574074071</v>
      </c>
      <c r="D737" t="s">
        <v>775</v>
      </c>
      <c r="E737" t="s">
        <v>776</v>
      </c>
      <c r="F737" t="s">
        <v>776</v>
      </c>
      <c r="G737" t="s">
        <v>777</v>
      </c>
      <c r="H737" s="139">
        <v>46178</v>
      </c>
      <c r="I737" t="s">
        <v>772</v>
      </c>
      <c r="J737" t="s">
        <v>187</v>
      </c>
      <c r="K737" t="s">
        <v>254</v>
      </c>
      <c r="N737" t="s">
        <v>778</v>
      </c>
      <c r="O737" t="s">
        <v>436</v>
      </c>
      <c r="P737" t="s">
        <v>108</v>
      </c>
      <c r="Q737" t="s">
        <v>248</v>
      </c>
      <c r="R737" t="s">
        <v>22</v>
      </c>
      <c r="S737" t="s">
        <v>149</v>
      </c>
      <c r="T737" t="s">
        <v>150</v>
      </c>
      <c r="V737" t="s">
        <v>129</v>
      </c>
      <c r="W737" t="s">
        <v>130</v>
      </c>
      <c r="X737" t="s">
        <v>329</v>
      </c>
      <c r="Y737" t="s">
        <v>1044</v>
      </c>
      <c r="Z737">
        <v>1</v>
      </c>
      <c r="AA737" t="s">
        <v>1050</v>
      </c>
    </row>
    <row r="738" spans="1:27">
      <c r="A738">
        <v>141</v>
      </c>
      <c r="B738" s="139">
        <v>46182.51599537037</v>
      </c>
      <c r="C738" s="139">
        <v>46182.517685185187</v>
      </c>
      <c r="D738" t="s">
        <v>103</v>
      </c>
      <c r="E738" t="s">
        <v>104</v>
      </c>
      <c r="F738" t="s">
        <v>375</v>
      </c>
      <c r="G738" t="s">
        <v>106</v>
      </c>
      <c r="H738" s="139">
        <v>46181</v>
      </c>
      <c r="I738" t="s">
        <v>136</v>
      </c>
      <c r="J738" t="s">
        <v>174</v>
      </c>
      <c r="L738" t="s">
        <v>376</v>
      </c>
      <c r="N738" t="s">
        <v>293</v>
      </c>
      <c r="O738" t="s">
        <v>107</v>
      </c>
      <c r="P738" t="s">
        <v>108</v>
      </c>
      <c r="Q738" t="s">
        <v>109</v>
      </c>
      <c r="R738" t="s">
        <v>22</v>
      </c>
      <c r="S738" t="s">
        <v>149</v>
      </c>
      <c r="T738" t="s">
        <v>181</v>
      </c>
      <c r="U738" t="s">
        <v>846</v>
      </c>
      <c r="V738" t="s">
        <v>151</v>
      </c>
      <c r="W738" t="s">
        <v>130</v>
      </c>
      <c r="X738" t="s">
        <v>199</v>
      </c>
      <c r="Y738" t="s">
        <v>1040</v>
      </c>
      <c r="Z738">
        <v>1</v>
      </c>
      <c r="AA738" t="s">
        <v>1119</v>
      </c>
    </row>
    <row r="739" spans="1:27">
      <c r="A739">
        <v>141</v>
      </c>
      <c r="B739" s="139">
        <v>46182.51599537037</v>
      </c>
      <c r="C739" s="139">
        <v>46182.517685185187</v>
      </c>
      <c r="D739" t="s">
        <v>103</v>
      </c>
      <c r="E739" t="s">
        <v>104</v>
      </c>
      <c r="F739" t="s">
        <v>375</v>
      </c>
      <c r="G739" t="s">
        <v>106</v>
      </c>
      <c r="H739" s="139">
        <v>46181</v>
      </c>
      <c r="I739" t="s">
        <v>136</v>
      </c>
      <c r="J739" t="s">
        <v>174</v>
      </c>
      <c r="L739" t="s">
        <v>376</v>
      </c>
      <c r="N739" t="s">
        <v>293</v>
      </c>
      <c r="O739" t="s">
        <v>107</v>
      </c>
      <c r="P739" t="s">
        <v>108</v>
      </c>
      <c r="Q739" t="s">
        <v>109</v>
      </c>
      <c r="R739" t="s">
        <v>22</v>
      </c>
      <c r="S739" t="s">
        <v>149</v>
      </c>
      <c r="T739" t="s">
        <v>181</v>
      </c>
      <c r="U739" t="s">
        <v>846</v>
      </c>
      <c r="V739" t="s">
        <v>151</v>
      </c>
      <c r="W739" t="s">
        <v>130</v>
      </c>
      <c r="X739" t="s">
        <v>199</v>
      </c>
      <c r="Y739" t="s">
        <v>1042</v>
      </c>
      <c r="Z739">
        <v>1</v>
      </c>
      <c r="AA739" t="s">
        <v>1120</v>
      </c>
    </row>
    <row r="740" spans="1:27">
      <c r="A740">
        <v>141</v>
      </c>
      <c r="B740" s="139">
        <v>46182.51599537037</v>
      </c>
      <c r="C740" s="139">
        <v>46182.517685185187</v>
      </c>
      <c r="D740" t="s">
        <v>103</v>
      </c>
      <c r="E740" t="s">
        <v>104</v>
      </c>
      <c r="F740" t="s">
        <v>375</v>
      </c>
      <c r="G740" t="s">
        <v>106</v>
      </c>
      <c r="H740" s="139">
        <v>46181</v>
      </c>
      <c r="I740" t="s">
        <v>136</v>
      </c>
      <c r="J740" t="s">
        <v>174</v>
      </c>
      <c r="L740" t="s">
        <v>376</v>
      </c>
      <c r="N740" t="s">
        <v>293</v>
      </c>
      <c r="O740" t="s">
        <v>107</v>
      </c>
      <c r="P740" t="s">
        <v>108</v>
      </c>
      <c r="Q740" t="s">
        <v>109</v>
      </c>
      <c r="R740" t="s">
        <v>22</v>
      </c>
      <c r="S740" t="s">
        <v>149</v>
      </c>
      <c r="T740" t="s">
        <v>181</v>
      </c>
      <c r="U740" t="s">
        <v>846</v>
      </c>
      <c r="V740" t="s">
        <v>151</v>
      </c>
      <c r="W740" t="s">
        <v>130</v>
      </c>
      <c r="X740" t="s">
        <v>199</v>
      </c>
      <c r="Y740" t="s">
        <v>1042</v>
      </c>
      <c r="Z740">
        <v>2</v>
      </c>
      <c r="AA740" t="s">
        <v>1204</v>
      </c>
    </row>
    <row r="741" spans="1:27">
      <c r="A741">
        <v>141</v>
      </c>
      <c r="B741" s="139">
        <v>46182.51599537037</v>
      </c>
      <c r="C741" s="139">
        <v>46182.517685185187</v>
      </c>
      <c r="D741" t="s">
        <v>103</v>
      </c>
      <c r="E741" t="s">
        <v>104</v>
      </c>
      <c r="F741" t="s">
        <v>375</v>
      </c>
      <c r="G741" t="s">
        <v>106</v>
      </c>
      <c r="H741" s="139">
        <v>46181</v>
      </c>
      <c r="I741" t="s">
        <v>136</v>
      </c>
      <c r="J741" t="s">
        <v>174</v>
      </c>
      <c r="L741" t="s">
        <v>376</v>
      </c>
      <c r="N741" t="s">
        <v>293</v>
      </c>
      <c r="O741" t="s">
        <v>107</v>
      </c>
      <c r="P741" t="s">
        <v>108</v>
      </c>
      <c r="Q741" t="s">
        <v>109</v>
      </c>
      <c r="R741" t="s">
        <v>22</v>
      </c>
      <c r="S741" t="s">
        <v>149</v>
      </c>
      <c r="T741" t="s">
        <v>181</v>
      </c>
      <c r="U741" t="s">
        <v>846</v>
      </c>
      <c r="V741" t="s">
        <v>151</v>
      </c>
      <c r="W741" t="s">
        <v>130</v>
      </c>
      <c r="X741" t="s">
        <v>199</v>
      </c>
      <c r="Y741" t="s">
        <v>1042</v>
      </c>
      <c r="Z741">
        <v>3</v>
      </c>
      <c r="AA741" t="s">
        <v>1091</v>
      </c>
    </row>
    <row r="742" spans="1:27">
      <c r="A742">
        <v>141</v>
      </c>
      <c r="B742" s="139">
        <v>46182.51599537037</v>
      </c>
      <c r="C742" s="139">
        <v>46182.517685185187</v>
      </c>
      <c r="D742" t="s">
        <v>103</v>
      </c>
      <c r="E742" t="s">
        <v>104</v>
      </c>
      <c r="F742" t="s">
        <v>375</v>
      </c>
      <c r="G742" t="s">
        <v>106</v>
      </c>
      <c r="H742" s="139">
        <v>46181</v>
      </c>
      <c r="I742" t="s">
        <v>136</v>
      </c>
      <c r="J742" t="s">
        <v>174</v>
      </c>
      <c r="L742" t="s">
        <v>376</v>
      </c>
      <c r="N742" t="s">
        <v>293</v>
      </c>
      <c r="O742" t="s">
        <v>107</v>
      </c>
      <c r="P742" t="s">
        <v>108</v>
      </c>
      <c r="Q742" t="s">
        <v>109</v>
      </c>
      <c r="R742" t="s">
        <v>22</v>
      </c>
      <c r="S742" t="s">
        <v>149</v>
      </c>
      <c r="T742" t="s">
        <v>181</v>
      </c>
      <c r="U742" t="s">
        <v>846</v>
      </c>
      <c r="V742" t="s">
        <v>151</v>
      </c>
      <c r="W742" t="s">
        <v>130</v>
      </c>
      <c r="X742" t="s">
        <v>199</v>
      </c>
      <c r="Y742" t="s">
        <v>1042</v>
      </c>
      <c r="Z742">
        <v>4</v>
      </c>
      <c r="AA742" t="s">
        <v>1089</v>
      </c>
    </row>
    <row r="743" spans="1:27">
      <c r="A743">
        <v>141</v>
      </c>
      <c r="B743" s="139">
        <v>46182.51599537037</v>
      </c>
      <c r="C743" s="139">
        <v>46182.517685185187</v>
      </c>
      <c r="D743" t="s">
        <v>103</v>
      </c>
      <c r="E743" t="s">
        <v>104</v>
      </c>
      <c r="F743" t="s">
        <v>375</v>
      </c>
      <c r="G743" t="s">
        <v>106</v>
      </c>
      <c r="H743" s="139">
        <v>46181</v>
      </c>
      <c r="I743" t="s">
        <v>136</v>
      </c>
      <c r="J743" t="s">
        <v>174</v>
      </c>
      <c r="L743" t="s">
        <v>376</v>
      </c>
      <c r="N743" t="s">
        <v>293</v>
      </c>
      <c r="O743" t="s">
        <v>107</v>
      </c>
      <c r="P743" t="s">
        <v>108</v>
      </c>
      <c r="Q743" t="s">
        <v>109</v>
      </c>
      <c r="R743" t="s">
        <v>22</v>
      </c>
      <c r="S743" t="s">
        <v>149</v>
      </c>
      <c r="T743" t="s">
        <v>181</v>
      </c>
      <c r="U743" t="s">
        <v>846</v>
      </c>
      <c r="V743" t="s">
        <v>151</v>
      </c>
      <c r="W743" t="s">
        <v>130</v>
      </c>
      <c r="X743" t="s">
        <v>199</v>
      </c>
      <c r="Y743" t="s">
        <v>1044</v>
      </c>
      <c r="Z743">
        <v>1</v>
      </c>
      <c r="AA743" t="s">
        <v>1122</v>
      </c>
    </row>
    <row r="744" spans="1:27">
      <c r="A744">
        <v>141</v>
      </c>
      <c r="B744" s="139">
        <v>46182.51599537037</v>
      </c>
      <c r="C744" s="139">
        <v>46182.517685185187</v>
      </c>
      <c r="D744" t="s">
        <v>103</v>
      </c>
      <c r="E744" t="s">
        <v>104</v>
      </c>
      <c r="F744" t="s">
        <v>375</v>
      </c>
      <c r="G744" t="s">
        <v>106</v>
      </c>
      <c r="H744" s="139">
        <v>46181</v>
      </c>
      <c r="I744" t="s">
        <v>136</v>
      </c>
      <c r="J744" t="s">
        <v>174</v>
      </c>
      <c r="L744" t="s">
        <v>376</v>
      </c>
      <c r="N744" t="s">
        <v>293</v>
      </c>
      <c r="O744" t="s">
        <v>107</v>
      </c>
      <c r="P744" t="s">
        <v>108</v>
      </c>
      <c r="Q744" t="s">
        <v>109</v>
      </c>
      <c r="R744" t="s">
        <v>22</v>
      </c>
      <c r="S744" t="s">
        <v>149</v>
      </c>
      <c r="T744" t="s">
        <v>181</v>
      </c>
      <c r="U744" t="s">
        <v>846</v>
      </c>
      <c r="V744" t="s">
        <v>151</v>
      </c>
      <c r="W744" t="s">
        <v>130</v>
      </c>
      <c r="X744" t="s">
        <v>199</v>
      </c>
      <c r="Y744" t="s">
        <v>1044</v>
      </c>
      <c r="Z744">
        <v>2</v>
      </c>
      <c r="AA744" t="s">
        <v>1123</v>
      </c>
    </row>
    <row r="745" spans="1:27">
      <c r="A745">
        <v>142</v>
      </c>
      <c r="B745" s="139">
        <v>46182.51771990741</v>
      </c>
      <c r="C745" s="139">
        <v>46182.519247685188</v>
      </c>
      <c r="D745" t="s">
        <v>103</v>
      </c>
      <c r="E745" t="s">
        <v>104</v>
      </c>
      <c r="F745" t="s">
        <v>375</v>
      </c>
      <c r="G745" t="s">
        <v>106</v>
      </c>
      <c r="H745" s="139">
        <v>46181</v>
      </c>
      <c r="I745" t="s">
        <v>136</v>
      </c>
      <c r="J745" t="s">
        <v>174</v>
      </c>
      <c r="L745" t="s">
        <v>847</v>
      </c>
      <c r="N745" t="s">
        <v>293</v>
      </c>
      <c r="O745" t="s">
        <v>107</v>
      </c>
      <c r="P745" t="s">
        <v>108</v>
      </c>
      <c r="Q745" t="s">
        <v>123</v>
      </c>
      <c r="R745" t="s">
        <v>23</v>
      </c>
      <c r="S745" t="s">
        <v>149</v>
      </c>
      <c r="T745" t="s">
        <v>181</v>
      </c>
      <c r="V745" t="s">
        <v>129</v>
      </c>
      <c r="W745" t="s">
        <v>130</v>
      </c>
      <c r="X745" t="s">
        <v>252</v>
      </c>
      <c r="Y745" t="s">
        <v>1039</v>
      </c>
      <c r="Z745">
        <v>1</v>
      </c>
      <c r="AA745" t="s">
        <v>1330</v>
      </c>
    </row>
    <row r="746" spans="1:27">
      <c r="A746">
        <v>118</v>
      </c>
      <c r="B746" s="139">
        <v>46178.83</v>
      </c>
      <c r="C746" s="139">
        <v>46178.833275462966</v>
      </c>
      <c r="D746" t="s">
        <v>270</v>
      </c>
      <c r="E746" t="s">
        <v>271</v>
      </c>
      <c r="F746" t="s">
        <v>272</v>
      </c>
      <c r="G746" t="s">
        <v>273</v>
      </c>
      <c r="H746" s="139">
        <v>46184</v>
      </c>
      <c r="I746" t="s">
        <v>136</v>
      </c>
      <c r="J746" t="s">
        <v>174</v>
      </c>
      <c r="L746" t="s">
        <v>274</v>
      </c>
      <c r="N746" t="s">
        <v>729</v>
      </c>
      <c r="O746" t="s">
        <v>135</v>
      </c>
      <c r="P746" t="s">
        <v>108</v>
      </c>
      <c r="Q746" t="s">
        <v>109</v>
      </c>
      <c r="R746" t="s">
        <v>22</v>
      </c>
      <c r="S746" t="s">
        <v>149</v>
      </c>
      <c r="T746" t="s">
        <v>181</v>
      </c>
      <c r="U746" t="s">
        <v>732</v>
      </c>
      <c r="V746" t="s">
        <v>129</v>
      </c>
      <c r="W746" t="s">
        <v>130</v>
      </c>
      <c r="X746" t="s">
        <v>139</v>
      </c>
      <c r="Y746" t="s">
        <v>1040</v>
      </c>
      <c r="Z746">
        <v>1</v>
      </c>
      <c r="AA746" t="s">
        <v>186</v>
      </c>
    </row>
    <row r="747" spans="1:27">
      <c r="A747">
        <v>118</v>
      </c>
      <c r="B747" s="139">
        <v>46178.83</v>
      </c>
      <c r="C747" s="139">
        <v>46178.833275462966</v>
      </c>
      <c r="D747" t="s">
        <v>270</v>
      </c>
      <c r="E747" t="s">
        <v>271</v>
      </c>
      <c r="F747" t="s">
        <v>272</v>
      </c>
      <c r="G747" t="s">
        <v>273</v>
      </c>
      <c r="H747" s="139">
        <v>46184</v>
      </c>
      <c r="I747" t="s">
        <v>136</v>
      </c>
      <c r="J747" t="s">
        <v>174</v>
      </c>
      <c r="L747" t="s">
        <v>274</v>
      </c>
      <c r="N747" t="s">
        <v>729</v>
      </c>
      <c r="O747" t="s">
        <v>135</v>
      </c>
      <c r="P747" t="s">
        <v>108</v>
      </c>
      <c r="Q747" t="s">
        <v>109</v>
      </c>
      <c r="R747" t="s">
        <v>22</v>
      </c>
      <c r="S747" t="s">
        <v>149</v>
      </c>
      <c r="T747" t="s">
        <v>181</v>
      </c>
      <c r="U747" t="s">
        <v>732</v>
      </c>
      <c r="V747" t="s">
        <v>129</v>
      </c>
      <c r="W747" t="s">
        <v>130</v>
      </c>
      <c r="X747" t="s">
        <v>139</v>
      </c>
      <c r="Y747" t="s">
        <v>1042</v>
      </c>
      <c r="Z747">
        <v>1</v>
      </c>
      <c r="AA747" t="s">
        <v>1043</v>
      </c>
    </row>
    <row r="748" spans="1:27">
      <c r="A748">
        <v>118</v>
      </c>
      <c r="B748" s="139">
        <v>46178.83</v>
      </c>
      <c r="C748" s="139">
        <v>46178.833275462966</v>
      </c>
      <c r="D748" t="s">
        <v>270</v>
      </c>
      <c r="E748" t="s">
        <v>271</v>
      </c>
      <c r="F748" t="s">
        <v>272</v>
      </c>
      <c r="G748" t="s">
        <v>273</v>
      </c>
      <c r="H748" s="139">
        <v>46184</v>
      </c>
      <c r="I748" t="s">
        <v>136</v>
      </c>
      <c r="J748" t="s">
        <v>174</v>
      </c>
      <c r="L748" t="s">
        <v>274</v>
      </c>
      <c r="N748" t="s">
        <v>729</v>
      </c>
      <c r="O748" t="s">
        <v>135</v>
      </c>
      <c r="P748" t="s">
        <v>108</v>
      </c>
      <c r="Q748" t="s">
        <v>109</v>
      </c>
      <c r="R748" t="s">
        <v>22</v>
      </c>
      <c r="S748" t="s">
        <v>149</v>
      </c>
      <c r="T748" t="s">
        <v>181</v>
      </c>
      <c r="U748" t="s">
        <v>732</v>
      </c>
      <c r="V748" t="s">
        <v>129</v>
      </c>
      <c r="W748" t="s">
        <v>130</v>
      </c>
      <c r="X748" t="s">
        <v>139</v>
      </c>
      <c r="Y748" t="s">
        <v>1042</v>
      </c>
      <c r="Z748">
        <v>2</v>
      </c>
      <c r="AA748" t="s">
        <v>1096</v>
      </c>
    </row>
    <row r="749" spans="1:27">
      <c r="A749">
        <v>118</v>
      </c>
      <c r="B749" s="139">
        <v>46178.83</v>
      </c>
      <c r="C749" s="139">
        <v>46178.833275462966</v>
      </c>
      <c r="D749" t="s">
        <v>270</v>
      </c>
      <c r="E749" t="s">
        <v>271</v>
      </c>
      <c r="F749" t="s">
        <v>272</v>
      </c>
      <c r="G749" t="s">
        <v>273</v>
      </c>
      <c r="H749" s="139">
        <v>46184</v>
      </c>
      <c r="I749" t="s">
        <v>136</v>
      </c>
      <c r="J749" t="s">
        <v>174</v>
      </c>
      <c r="L749" t="s">
        <v>274</v>
      </c>
      <c r="N749" t="s">
        <v>729</v>
      </c>
      <c r="O749" t="s">
        <v>135</v>
      </c>
      <c r="P749" t="s">
        <v>108</v>
      </c>
      <c r="Q749" t="s">
        <v>109</v>
      </c>
      <c r="R749" t="s">
        <v>22</v>
      </c>
      <c r="S749" t="s">
        <v>149</v>
      </c>
      <c r="T749" t="s">
        <v>181</v>
      </c>
      <c r="U749" t="s">
        <v>732</v>
      </c>
      <c r="V749" t="s">
        <v>129</v>
      </c>
      <c r="W749" t="s">
        <v>130</v>
      </c>
      <c r="X749" t="s">
        <v>139</v>
      </c>
      <c r="Y749" t="s">
        <v>1042</v>
      </c>
      <c r="Z749">
        <v>3</v>
      </c>
      <c r="AA749" t="s">
        <v>1070</v>
      </c>
    </row>
    <row r="750" spans="1:27">
      <c r="A750">
        <v>118</v>
      </c>
      <c r="B750" s="139">
        <v>46178.83</v>
      </c>
      <c r="C750" s="139">
        <v>46178.833275462966</v>
      </c>
      <c r="D750" t="s">
        <v>270</v>
      </c>
      <c r="E750" t="s">
        <v>271</v>
      </c>
      <c r="F750" t="s">
        <v>272</v>
      </c>
      <c r="G750" t="s">
        <v>273</v>
      </c>
      <c r="H750" s="139">
        <v>46184</v>
      </c>
      <c r="I750" t="s">
        <v>136</v>
      </c>
      <c r="J750" t="s">
        <v>174</v>
      </c>
      <c r="L750" t="s">
        <v>274</v>
      </c>
      <c r="N750" t="s">
        <v>729</v>
      </c>
      <c r="O750" t="s">
        <v>135</v>
      </c>
      <c r="P750" t="s">
        <v>108</v>
      </c>
      <c r="Q750" t="s">
        <v>109</v>
      </c>
      <c r="R750" t="s">
        <v>22</v>
      </c>
      <c r="S750" t="s">
        <v>149</v>
      </c>
      <c r="T750" t="s">
        <v>181</v>
      </c>
      <c r="U750" t="s">
        <v>732</v>
      </c>
      <c r="V750" t="s">
        <v>129</v>
      </c>
      <c r="W750" t="s">
        <v>130</v>
      </c>
      <c r="X750" t="s">
        <v>139</v>
      </c>
      <c r="Y750" t="s">
        <v>1042</v>
      </c>
      <c r="Z750">
        <v>4</v>
      </c>
      <c r="AA750" t="s">
        <v>1071</v>
      </c>
    </row>
    <row r="751" spans="1:27">
      <c r="A751">
        <v>118</v>
      </c>
      <c r="B751" s="139">
        <v>46178.83</v>
      </c>
      <c r="C751" s="139">
        <v>46178.833275462966</v>
      </c>
      <c r="D751" t="s">
        <v>270</v>
      </c>
      <c r="E751" t="s">
        <v>271</v>
      </c>
      <c r="F751" t="s">
        <v>272</v>
      </c>
      <c r="G751" t="s">
        <v>273</v>
      </c>
      <c r="H751" s="139">
        <v>46184</v>
      </c>
      <c r="I751" t="s">
        <v>136</v>
      </c>
      <c r="J751" t="s">
        <v>174</v>
      </c>
      <c r="L751" t="s">
        <v>274</v>
      </c>
      <c r="N751" t="s">
        <v>729</v>
      </c>
      <c r="O751" t="s">
        <v>135</v>
      </c>
      <c r="P751" t="s">
        <v>108</v>
      </c>
      <c r="Q751" t="s">
        <v>109</v>
      </c>
      <c r="R751" t="s">
        <v>22</v>
      </c>
      <c r="S751" t="s">
        <v>149</v>
      </c>
      <c r="T751" t="s">
        <v>181</v>
      </c>
      <c r="U751" t="s">
        <v>732</v>
      </c>
      <c r="V751" t="s">
        <v>129</v>
      </c>
      <c r="W751" t="s">
        <v>130</v>
      </c>
      <c r="X751" t="s">
        <v>139</v>
      </c>
      <c r="Y751" t="s">
        <v>1044</v>
      </c>
      <c r="Z751">
        <v>1</v>
      </c>
      <c r="AA751" t="s">
        <v>1099</v>
      </c>
    </row>
    <row r="752" spans="1:27">
      <c r="A752">
        <v>118</v>
      </c>
      <c r="B752" s="139">
        <v>46178.83</v>
      </c>
      <c r="C752" s="139">
        <v>46178.833275462966</v>
      </c>
      <c r="D752" t="s">
        <v>270</v>
      </c>
      <c r="E752" t="s">
        <v>271</v>
      </c>
      <c r="F752" t="s">
        <v>272</v>
      </c>
      <c r="G752" t="s">
        <v>273</v>
      </c>
      <c r="H752" s="139">
        <v>46184</v>
      </c>
      <c r="I752" t="s">
        <v>136</v>
      </c>
      <c r="J752" t="s">
        <v>174</v>
      </c>
      <c r="L752" t="s">
        <v>274</v>
      </c>
      <c r="N752" t="s">
        <v>729</v>
      </c>
      <c r="O752" t="s">
        <v>135</v>
      </c>
      <c r="P752" t="s">
        <v>108</v>
      </c>
      <c r="Q752" t="s">
        <v>109</v>
      </c>
      <c r="R752" t="s">
        <v>22</v>
      </c>
      <c r="S752" t="s">
        <v>149</v>
      </c>
      <c r="T752" t="s">
        <v>181</v>
      </c>
      <c r="U752" t="s">
        <v>732</v>
      </c>
      <c r="V752" t="s">
        <v>129</v>
      </c>
      <c r="W752" t="s">
        <v>130</v>
      </c>
      <c r="X752" t="s">
        <v>139</v>
      </c>
      <c r="Y752" t="s">
        <v>1044</v>
      </c>
      <c r="Z752">
        <v>2</v>
      </c>
      <c r="AA752" t="s">
        <v>732</v>
      </c>
    </row>
    <row r="753" spans="1:27">
      <c r="A753">
        <v>144</v>
      </c>
      <c r="B753" s="139">
        <v>46184.612881944442</v>
      </c>
      <c r="C753" s="139">
        <v>46184.623437499999</v>
      </c>
      <c r="D753" t="s">
        <v>118</v>
      </c>
      <c r="E753" t="s">
        <v>119</v>
      </c>
      <c r="F753" t="s">
        <v>247</v>
      </c>
      <c r="G753" t="s">
        <v>121</v>
      </c>
      <c r="H753" s="139">
        <v>46184</v>
      </c>
      <c r="I753" t="s">
        <v>136</v>
      </c>
      <c r="J753" t="s">
        <v>187</v>
      </c>
      <c r="K753" t="s">
        <v>254</v>
      </c>
      <c r="N753" t="s">
        <v>852</v>
      </c>
      <c r="O753" t="s">
        <v>122</v>
      </c>
      <c r="P753" t="s">
        <v>108</v>
      </c>
      <c r="Q753" t="s">
        <v>123</v>
      </c>
      <c r="R753" t="s">
        <v>22</v>
      </c>
      <c r="S753" t="s">
        <v>114</v>
      </c>
      <c r="T753" t="s">
        <v>144</v>
      </c>
      <c r="U753" t="s">
        <v>855</v>
      </c>
      <c r="V753" t="s">
        <v>116</v>
      </c>
      <c r="W753" t="s">
        <v>169</v>
      </c>
      <c r="X753" t="s">
        <v>329</v>
      </c>
      <c r="Y753" t="s">
        <v>1040</v>
      </c>
      <c r="Z753">
        <v>1</v>
      </c>
      <c r="AA753" t="s">
        <v>1046</v>
      </c>
    </row>
    <row r="754" spans="1:27">
      <c r="A754">
        <v>144</v>
      </c>
      <c r="B754" s="139">
        <v>46184.612881944442</v>
      </c>
      <c r="C754" s="139">
        <v>46184.623437499999</v>
      </c>
      <c r="D754" t="s">
        <v>118</v>
      </c>
      <c r="E754" t="s">
        <v>119</v>
      </c>
      <c r="F754" t="s">
        <v>247</v>
      </c>
      <c r="G754" t="s">
        <v>121</v>
      </c>
      <c r="H754" s="139">
        <v>46184</v>
      </c>
      <c r="I754" t="s">
        <v>136</v>
      </c>
      <c r="J754" t="s">
        <v>187</v>
      </c>
      <c r="K754" t="s">
        <v>254</v>
      </c>
      <c r="N754" t="s">
        <v>852</v>
      </c>
      <c r="O754" t="s">
        <v>122</v>
      </c>
      <c r="P754" t="s">
        <v>108</v>
      </c>
      <c r="Q754" t="s">
        <v>123</v>
      </c>
      <c r="R754" t="s">
        <v>22</v>
      </c>
      <c r="S754" t="s">
        <v>114</v>
      </c>
      <c r="T754" t="s">
        <v>144</v>
      </c>
      <c r="U754" t="s">
        <v>855</v>
      </c>
      <c r="V754" t="s">
        <v>116</v>
      </c>
      <c r="W754" t="s">
        <v>169</v>
      </c>
      <c r="X754" t="s">
        <v>329</v>
      </c>
      <c r="Y754" t="s">
        <v>1042</v>
      </c>
      <c r="Z754">
        <v>1</v>
      </c>
      <c r="AA754" t="s">
        <v>1048</v>
      </c>
    </row>
    <row r="755" spans="1:27">
      <c r="A755">
        <v>144</v>
      </c>
      <c r="B755" s="139">
        <v>46184.612881944442</v>
      </c>
      <c r="C755" s="139">
        <v>46184.623437499999</v>
      </c>
      <c r="D755" t="s">
        <v>118</v>
      </c>
      <c r="E755" t="s">
        <v>119</v>
      </c>
      <c r="F755" t="s">
        <v>247</v>
      </c>
      <c r="G755" t="s">
        <v>121</v>
      </c>
      <c r="H755" s="139">
        <v>46184</v>
      </c>
      <c r="I755" t="s">
        <v>136</v>
      </c>
      <c r="J755" t="s">
        <v>187</v>
      </c>
      <c r="K755" t="s">
        <v>254</v>
      </c>
      <c r="N755" t="s">
        <v>852</v>
      </c>
      <c r="O755" t="s">
        <v>122</v>
      </c>
      <c r="P755" t="s">
        <v>108</v>
      </c>
      <c r="Q755" t="s">
        <v>123</v>
      </c>
      <c r="R755" t="s">
        <v>22</v>
      </c>
      <c r="S755" t="s">
        <v>114</v>
      </c>
      <c r="T755" t="s">
        <v>144</v>
      </c>
      <c r="U755" t="s">
        <v>855</v>
      </c>
      <c r="V755" t="s">
        <v>116</v>
      </c>
      <c r="W755" t="s">
        <v>169</v>
      </c>
      <c r="X755" t="s">
        <v>329</v>
      </c>
      <c r="Y755" t="s">
        <v>1042</v>
      </c>
      <c r="Z755">
        <v>2</v>
      </c>
      <c r="AA755" t="s">
        <v>1085</v>
      </c>
    </row>
    <row r="756" spans="1:27">
      <c r="A756">
        <v>144</v>
      </c>
      <c r="B756" s="139">
        <v>46184.612881944442</v>
      </c>
      <c r="C756" s="139">
        <v>46184.623437499999</v>
      </c>
      <c r="D756" t="s">
        <v>118</v>
      </c>
      <c r="E756" t="s">
        <v>119</v>
      </c>
      <c r="F756" t="s">
        <v>247</v>
      </c>
      <c r="G756" t="s">
        <v>121</v>
      </c>
      <c r="H756" s="139">
        <v>46184</v>
      </c>
      <c r="I756" t="s">
        <v>136</v>
      </c>
      <c r="J756" t="s">
        <v>187</v>
      </c>
      <c r="K756" t="s">
        <v>254</v>
      </c>
      <c r="N756" t="s">
        <v>852</v>
      </c>
      <c r="O756" t="s">
        <v>122</v>
      </c>
      <c r="P756" t="s">
        <v>108</v>
      </c>
      <c r="Q756" t="s">
        <v>123</v>
      </c>
      <c r="R756" t="s">
        <v>22</v>
      </c>
      <c r="S756" t="s">
        <v>114</v>
      </c>
      <c r="T756" t="s">
        <v>144</v>
      </c>
      <c r="U756" t="s">
        <v>855</v>
      </c>
      <c r="V756" t="s">
        <v>116</v>
      </c>
      <c r="W756" t="s">
        <v>169</v>
      </c>
      <c r="X756" t="s">
        <v>329</v>
      </c>
      <c r="Y756" t="s">
        <v>1042</v>
      </c>
      <c r="Z756">
        <v>3</v>
      </c>
      <c r="AA756" t="s">
        <v>1047</v>
      </c>
    </row>
    <row r="757" spans="1:27">
      <c r="A757">
        <v>144</v>
      </c>
      <c r="B757" s="139">
        <v>46184.612881944442</v>
      </c>
      <c r="C757" s="139">
        <v>46184.623437499999</v>
      </c>
      <c r="D757" t="s">
        <v>118</v>
      </c>
      <c r="E757" t="s">
        <v>119</v>
      </c>
      <c r="F757" t="s">
        <v>247</v>
      </c>
      <c r="G757" t="s">
        <v>121</v>
      </c>
      <c r="H757" s="139">
        <v>46184</v>
      </c>
      <c r="I757" t="s">
        <v>136</v>
      </c>
      <c r="J757" t="s">
        <v>187</v>
      </c>
      <c r="K757" t="s">
        <v>254</v>
      </c>
      <c r="N757" t="s">
        <v>852</v>
      </c>
      <c r="O757" t="s">
        <v>122</v>
      </c>
      <c r="P757" t="s">
        <v>108</v>
      </c>
      <c r="Q757" t="s">
        <v>123</v>
      </c>
      <c r="R757" t="s">
        <v>22</v>
      </c>
      <c r="S757" t="s">
        <v>114</v>
      </c>
      <c r="T757" t="s">
        <v>144</v>
      </c>
      <c r="U757" t="s">
        <v>855</v>
      </c>
      <c r="V757" t="s">
        <v>116</v>
      </c>
      <c r="W757" t="s">
        <v>169</v>
      </c>
      <c r="X757" t="s">
        <v>329</v>
      </c>
      <c r="Y757" t="s">
        <v>1044</v>
      </c>
      <c r="Z757">
        <v>1</v>
      </c>
      <c r="AA757" t="s">
        <v>1050</v>
      </c>
    </row>
    <row r="758" spans="1:27">
      <c r="A758">
        <v>144</v>
      </c>
      <c r="B758" s="139">
        <v>46184.612881944442</v>
      </c>
      <c r="C758" s="139">
        <v>46184.623437499999</v>
      </c>
      <c r="D758" t="s">
        <v>118</v>
      </c>
      <c r="E758" t="s">
        <v>119</v>
      </c>
      <c r="F758" t="s">
        <v>247</v>
      </c>
      <c r="G758" t="s">
        <v>121</v>
      </c>
      <c r="H758" s="139">
        <v>46184</v>
      </c>
      <c r="I758" t="s">
        <v>136</v>
      </c>
      <c r="J758" t="s">
        <v>187</v>
      </c>
      <c r="K758" t="s">
        <v>254</v>
      </c>
      <c r="N758" t="s">
        <v>852</v>
      </c>
      <c r="O758" t="s">
        <v>122</v>
      </c>
      <c r="P758" t="s">
        <v>108</v>
      </c>
      <c r="Q758" t="s">
        <v>123</v>
      </c>
      <c r="R758" t="s">
        <v>22</v>
      </c>
      <c r="S758" t="s">
        <v>114</v>
      </c>
      <c r="T758" t="s">
        <v>144</v>
      </c>
      <c r="U758" t="s">
        <v>855</v>
      </c>
      <c r="V758" t="s">
        <v>116</v>
      </c>
      <c r="W758" t="s">
        <v>169</v>
      </c>
      <c r="X758" t="s">
        <v>329</v>
      </c>
      <c r="Y758" t="s">
        <v>1044</v>
      </c>
      <c r="Z758">
        <v>2</v>
      </c>
      <c r="AA758" t="s">
        <v>1198</v>
      </c>
    </row>
    <row r="759" spans="1:27">
      <c r="A759">
        <v>145</v>
      </c>
      <c r="B759" s="139">
        <v>46184.628553240742</v>
      </c>
      <c r="C759" s="139">
        <v>46184.62976851852</v>
      </c>
      <c r="D759" t="s">
        <v>118</v>
      </c>
      <c r="E759" t="s">
        <v>119</v>
      </c>
      <c r="F759" t="s">
        <v>856</v>
      </c>
      <c r="G759" t="s">
        <v>121</v>
      </c>
      <c r="H759" s="139">
        <v>46184</v>
      </c>
      <c r="I759" t="s">
        <v>136</v>
      </c>
      <c r="J759" t="s">
        <v>187</v>
      </c>
      <c r="K759" t="s">
        <v>254</v>
      </c>
      <c r="N759" t="s">
        <v>857</v>
      </c>
      <c r="O759" t="s">
        <v>122</v>
      </c>
      <c r="P759" t="s">
        <v>108</v>
      </c>
      <c r="Q759" t="s">
        <v>123</v>
      </c>
      <c r="R759" t="s">
        <v>22</v>
      </c>
      <c r="S759" t="s">
        <v>149</v>
      </c>
      <c r="T759" t="s">
        <v>181</v>
      </c>
      <c r="U759" t="s">
        <v>858</v>
      </c>
      <c r="V759" t="s">
        <v>129</v>
      </c>
      <c r="W759" t="s">
        <v>130</v>
      </c>
      <c r="X759" t="s">
        <v>124</v>
      </c>
      <c r="Y759" t="s">
        <v>1040</v>
      </c>
      <c r="Z759">
        <v>1</v>
      </c>
      <c r="AA759" t="s">
        <v>1058</v>
      </c>
    </row>
    <row r="760" spans="1:27">
      <c r="A760">
        <v>145</v>
      </c>
      <c r="B760" s="139">
        <v>46184.628553240742</v>
      </c>
      <c r="C760" s="139">
        <v>46184.62976851852</v>
      </c>
      <c r="D760" t="s">
        <v>118</v>
      </c>
      <c r="E760" t="s">
        <v>119</v>
      </c>
      <c r="F760" t="s">
        <v>856</v>
      </c>
      <c r="G760" t="s">
        <v>121</v>
      </c>
      <c r="H760" s="139">
        <v>46184</v>
      </c>
      <c r="I760" t="s">
        <v>136</v>
      </c>
      <c r="J760" t="s">
        <v>187</v>
      </c>
      <c r="K760" t="s">
        <v>254</v>
      </c>
      <c r="N760" t="s">
        <v>857</v>
      </c>
      <c r="O760" t="s">
        <v>122</v>
      </c>
      <c r="P760" t="s">
        <v>108</v>
      </c>
      <c r="Q760" t="s">
        <v>123</v>
      </c>
      <c r="R760" t="s">
        <v>22</v>
      </c>
      <c r="S760" t="s">
        <v>149</v>
      </c>
      <c r="T760" t="s">
        <v>181</v>
      </c>
      <c r="U760" t="s">
        <v>858</v>
      </c>
      <c r="V760" t="s">
        <v>129</v>
      </c>
      <c r="W760" t="s">
        <v>130</v>
      </c>
      <c r="X760" t="s">
        <v>124</v>
      </c>
      <c r="Y760" t="s">
        <v>1042</v>
      </c>
      <c r="Z760">
        <v>1</v>
      </c>
      <c r="AA760" t="s">
        <v>1125</v>
      </c>
    </row>
    <row r="761" spans="1:27">
      <c r="A761">
        <v>145</v>
      </c>
      <c r="B761" s="139">
        <v>46184.628553240742</v>
      </c>
      <c r="C761" s="139">
        <v>46184.62976851852</v>
      </c>
      <c r="D761" t="s">
        <v>118</v>
      </c>
      <c r="E761" t="s">
        <v>119</v>
      </c>
      <c r="F761" t="s">
        <v>856</v>
      </c>
      <c r="G761" t="s">
        <v>121</v>
      </c>
      <c r="H761" s="139">
        <v>46184</v>
      </c>
      <c r="I761" t="s">
        <v>136</v>
      </c>
      <c r="J761" t="s">
        <v>187</v>
      </c>
      <c r="K761" t="s">
        <v>254</v>
      </c>
      <c r="N761" t="s">
        <v>857</v>
      </c>
      <c r="O761" t="s">
        <v>122</v>
      </c>
      <c r="P761" t="s">
        <v>108</v>
      </c>
      <c r="Q761" t="s">
        <v>123</v>
      </c>
      <c r="R761" t="s">
        <v>22</v>
      </c>
      <c r="S761" t="s">
        <v>149</v>
      </c>
      <c r="T761" t="s">
        <v>181</v>
      </c>
      <c r="U761" t="s">
        <v>858</v>
      </c>
      <c r="V761" t="s">
        <v>129</v>
      </c>
      <c r="W761" t="s">
        <v>130</v>
      </c>
      <c r="X761" t="s">
        <v>124</v>
      </c>
      <c r="Y761" t="s">
        <v>1044</v>
      </c>
      <c r="Z761">
        <v>1</v>
      </c>
      <c r="AA761" t="s">
        <v>1130</v>
      </c>
    </row>
    <row r="762" spans="1:27">
      <c r="A762">
        <v>147</v>
      </c>
      <c r="B762" s="139">
        <v>46185.566574074073</v>
      </c>
      <c r="C762" s="139">
        <v>46185.567696759259</v>
      </c>
      <c r="D762" t="s">
        <v>118</v>
      </c>
      <c r="E762" t="s">
        <v>119</v>
      </c>
      <c r="F762" t="s">
        <v>856</v>
      </c>
      <c r="G762" t="s">
        <v>121</v>
      </c>
      <c r="H762" s="139">
        <v>46184</v>
      </c>
      <c r="I762" t="s">
        <v>136</v>
      </c>
      <c r="J762" t="s">
        <v>187</v>
      </c>
      <c r="K762" t="s">
        <v>254</v>
      </c>
      <c r="N762" t="s">
        <v>260</v>
      </c>
      <c r="O762" t="s">
        <v>122</v>
      </c>
      <c r="P762" t="s">
        <v>108</v>
      </c>
      <c r="Q762" t="s">
        <v>123</v>
      </c>
      <c r="R762" t="s">
        <v>22</v>
      </c>
      <c r="S762" t="s">
        <v>143</v>
      </c>
      <c r="T762" t="s">
        <v>181</v>
      </c>
      <c r="U762" t="s">
        <v>863</v>
      </c>
      <c r="V762" t="s">
        <v>129</v>
      </c>
      <c r="W762" t="s">
        <v>130</v>
      </c>
      <c r="X762" t="s">
        <v>329</v>
      </c>
      <c r="Y762" t="s">
        <v>1040</v>
      </c>
      <c r="Z762">
        <v>1</v>
      </c>
      <c r="AA762" t="s">
        <v>1196</v>
      </c>
    </row>
    <row r="763" spans="1:27">
      <c r="A763">
        <v>147</v>
      </c>
      <c r="B763" s="139">
        <v>46185.566574074073</v>
      </c>
      <c r="C763" s="139">
        <v>46185.567696759259</v>
      </c>
      <c r="D763" t="s">
        <v>118</v>
      </c>
      <c r="E763" t="s">
        <v>119</v>
      </c>
      <c r="F763" t="s">
        <v>856</v>
      </c>
      <c r="G763" t="s">
        <v>121</v>
      </c>
      <c r="H763" s="139">
        <v>46184</v>
      </c>
      <c r="I763" t="s">
        <v>136</v>
      </c>
      <c r="J763" t="s">
        <v>187</v>
      </c>
      <c r="K763" t="s">
        <v>254</v>
      </c>
      <c r="N763" t="s">
        <v>260</v>
      </c>
      <c r="O763" t="s">
        <v>122</v>
      </c>
      <c r="P763" t="s">
        <v>108</v>
      </c>
      <c r="Q763" t="s">
        <v>123</v>
      </c>
      <c r="R763" t="s">
        <v>22</v>
      </c>
      <c r="S763" t="s">
        <v>143</v>
      </c>
      <c r="T763" t="s">
        <v>181</v>
      </c>
      <c r="U763" t="s">
        <v>863</v>
      </c>
      <c r="V763" t="s">
        <v>129</v>
      </c>
      <c r="W763" t="s">
        <v>130</v>
      </c>
      <c r="X763" t="s">
        <v>329</v>
      </c>
      <c r="Y763" t="s">
        <v>1042</v>
      </c>
      <c r="Z763">
        <v>1</v>
      </c>
      <c r="AA763" t="s">
        <v>1047</v>
      </c>
    </row>
    <row r="764" spans="1:27">
      <c r="A764">
        <v>147</v>
      </c>
      <c r="B764" s="139">
        <v>46185.566574074073</v>
      </c>
      <c r="C764" s="139">
        <v>46185.567696759259</v>
      </c>
      <c r="D764" t="s">
        <v>118</v>
      </c>
      <c r="E764" t="s">
        <v>119</v>
      </c>
      <c r="F764" t="s">
        <v>856</v>
      </c>
      <c r="G764" t="s">
        <v>121</v>
      </c>
      <c r="H764" s="139">
        <v>46184</v>
      </c>
      <c r="I764" t="s">
        <v>136</v>
      </c>
      <c r="J764" t="s">
        <v>187</v>
      </c>
      <c r="K764" t="s">
        <v>254</v>
      </c>
      <c r="N764" t="s">
        <v>260</v>
      </c>
      <c r="O764" t="s">
        <v>122</v>
      </c>
      <c r="P764" t="s">
        <v>108</v>
      </c>
      <c r="Q764" t="s">
        <v>123</v>
      </c>
      <c r="R764" t="s">
        <v>22</v>
      </c>
      <c r="S764" t="s">
        <v>143</v>
      </c>
      <c r="T764" t="s">
        <v>181</v>
      </c>
      <c r="U764" t="s">
        <v>863</v>
      </c>
      <c r="V764" t="s">
        <v>129</v>
      </c>
      <c r="W764" t="s">
        <v>130</v>
      </c>
      <c r="X764" t="s">
        <v>329</v>
      </c>
      <c r="Y764" t="s">
        <v>1042</v>
      </c>
      <c r="Z764">
        <v>2</v>
      </c>
      <c r="AA764" t="s">
        <v>1267</v>
      </c>
    </row>
    <row r="765" spans="1:27">
      <c r="A765">
        <v>147</v>
      </c>
      <c r="B765" s="139">
        <v>46185.566574074073</v>
      </c>
      <c r="C765" s="139">
        <v>46185.567696759259</v>
      </c>
      <c r="D765" t="s">
        <v>118</v>
      </c>
      <c r="E765" t="s">
        <v>119</v>
      </c>
      <c r="F765" t="s">
        <v>856</v>
      </c>
      <c r="G765" t="s">
        <v>121</v>
      </c>
      <c r="H765" s="139">
        <v>46184</v>
      </c>
      <c r="I765" t="s">
        <v>136</v>
      </c>
      <c r="J765" t="s">
        <v>187</v>
      </c>
      <c r="K765" t="s">
        <v>254</v>
      </c>
      <c r="N765" t="s">
        <v>260</v>
      </c>
      <c r="O765" t="s">
        <v>122</v>
      </c>
      <c r="P765" t="s">
        <v>108</v>
      </c>
      <c r="Q765" t="s">
        <v>123</v>
      </c>
      <c r="R765" t="s">
        <v>22</v>
      </c>
      <c r="S765" t="s">
        <v>143</v>
      </c>
      <c r="T765" t="s">
        <v>181</v>
      </c>
      <c r="U765" t="s">
        <v>863</v>
      </c>
      <c r="V765" t="s">
        <v>129</v>
      </c>
      <c r="W765" t="s">
        <v>130</v>
      </c>
      <c r="X765" t="s">
        <v>329</v>
      </c>
      <c r="Y765" t="s">
        <v>1044</v>
      </c>
      <c r="Z765">
        <v>1</v>
      </c>
      <c r="AA765" t="s">
        <v>1198</v>
      </c>
    </row>
    <row r="766" spans="1:27">
      <c r="A766">
        <v>107</v>
      </c>
      <c r="B766" s="139">
        <v>46178.621608796297</v>
      </c>
      <c r="C766" s="139">
        <v>46178.638298611113</v>
      </c>
      <c r="D766" t="s">
        <v>131</v>
      </c>
      <c r="E766" t="s">
        <v>132</v>
      </c>
      <c r="F766" t="s">
        <v>133</v>
      </c>
      <c r="G766" t="s">
        <v>134</v>
      </c>
      <c r="H766" s="139">
        <v>46185</v>
      </c>
      <c r="I766" t="s">
        <v>136</v>
      </c>
      <c r="J766" t="s">
        <v>161</v>
      </c>
      <c r="M766" t="s">
        <v>685</v>
      </c>
      <c r="N766" t="s">
        <v>686</v>
      </c>
      <c r="O766" t="s">
        <v>195</v>
      </c>
      <c r="P766" t="s">
        <v>196</v>
      </c>
      <c r="Q766" t="s">
        <v>109</v>
      </c>
      <c r="R766" t="s">
        <v>22</v>
      </c>
      <c r="S766" t="s">
        <v>143</v>
      </c>
      <c r="T766" t="s">
        <v>150</v>
      </c>
      <c r="U766" t="s">
        <v>689</v>
      </c>
      <c r="V766" t="s">
        <v>129</v>
      </c>
      <c r="W766" t="s">
        <v>130</v>
      </c>
      <c r="X766" t="s">
        <v>124</v>
      </c>
      <c r="Y766" t="s">
        <v>1040</v>
      </c>
      <c r="Z766">
        <v>1</v>
      </c>
      <c r="AA766" t="s">
        <v>1331</v>
      </c>
    </row>
    <row r="767" spans="1:27">
      <c r="A767">
        <v>107</v>
      </c>
      <c r="B767" s="139">
        <v>46178.621608796297</v>
      </c>
      <c r="C767" s="139">
        <v>46178.638298611113</v>
      </c>
      <c r="D767" t="s">
        <v>131</v>
      </c>
      <c r="E767" t="s">
        <v>132</v>
      </c>
      <c r="F767" t="s">
        <v>133</v>
      </c>
      <c r="G767" t="s">
        <v>134</v>
      </c>
      <c r="H767" s="139">
        <v>46185</v>
      </c>
      <c r="I767" t="s">
        <v>136</v>
      </c>
      <c r="J767" t="s">
        <v>161</v>
      </c>
      <c r="M767" t="s">
        <v>685</v>
      </c>
      <c r="N767" t="s">
        <v>686</v>
      </c>
      <c r="O767" t="s">
        <v>195</v>
      </c>
      <c r="P767" t="s">
        <v>196</v>
      </c>
      <c r="Q767" t="s">
        <v>109</v>
      </c>
      <c r="R767" t="s">
        <v>22</v>
      </c>
      <c r="S767" t="s">
        <v>143</v>
      </c>
      <c r="T767" t="s">
        <v>150</v>
      </c>
      <c r="U767" t="s">
        <v>689</v>
      </c>
      <c r="V767" t="s">
        <v>129</v>
      </c>
      <c r="W767" t="s">
        <v>130</v>
      </c>
      <c r="X767" t="s">
        <v>124</v>
      </c>
      <c r="Y767" t="s">
        <v>1042</v>
      </c>
      <c r="Z767">
        <v>1</v>
      </c>
      <c r="AA767" t="s">
        <v>1146</v>
      </c>
    </row>
    <row r="768" spans="1:27">
      <c r="A768">
        <v>107</v>
      </c>
      <c r="B768" s="139">
        <v>46178.621608796297</v>
      </c>
      <c r="C768" s="139">
        <v>46178.638298611113</v>
      </c>
      <c r="D768" t="s">
        <v>131</v>
      </c>
      <c r="E768" t="s">
        <v>132</v>
      </c>
      <c r="F768" t="s">
        <v>133</v>
      </c>
      <c r="G768" t="s">
        <v>134</v>
      </c>
      <c r="H768" s="139">
        <v>46185</v>
      </c>
      <c r="I768" t="s">
        <v>136</v>
      </c>
      <c r="J768" t="s">
        <v>161</v>
      </c>
      <c r="M768" t="s">
        <v>685</v>
      </c>
      <c r="N768" t="s">
        <v>686</v>
      </c>
      <c r="O768" t="s">
        <v>195</v>
      </c>
      <c r="P768" t="s">
        <v>196</v>
      </c>
      <c r="Q768" t="s">
        <v>109</v>
      </c>
      <c r="R768" t="s">
        <v>22</v>
      </c>
      <c r="S768" t="s">
        <v>143</v>
      </c>
      <c r="T768" t="s">
        <v>150</v>
      </c>
      <c r="U768" t="s">
        <v>689</v>
      </c>
      <c r="V768" t="s">
        <v>129</v>
      </c>
      <c r="W768" t="s">
        <v>130</v>
      </c>
      <c r="X768" t="s">
        <v>124</v>
      </c>
      <c r="Y768" t="s">
        <v>1042</v>
      </c>
      <c r="Z768">
        <v>2</v>
      </c>
      <c r="AA768" t="s">
        <v>1125</v>
      </c>
    </row>
    <row r="769" spans="1:27">
      <c r="A769">
        <v>107</v>
      </c>
      <c r="B769" s="139">
        <v>46178.621608796297</v>
      </c>
      <c r="C769" s="139">
        <v>46178.638298611113</v>
      </c>
      <c r="D769" t="s">
        <v>131</v>
      </c>
      <c r="E769" t="s">
        <v>132</v>
      </c>
      <c r="F769" t="s">
        <v>133</v>
      </c>
      <c r="G769" t="s">
        <v>134</v>
      </c>
      <c r="H769" s="139">
        <v>46185</v>
      </c>
      <c r="I769" t="s">
        <v>136</v>
      </c>
      <c r="J769" t="s">
        <v>161</v>
      </c>
      <c r="M769" t="s">
        <v>685</v>
      </c>
      <c r="N769" t="s">
        <v>686</v>
      </c>
      <c r="O769" t="s">
        <v>195</v>
      </c>
      <c r="P769" t="s">
        <v>196</v>
      </c>
      <c r="Q769" t="s">
        <v>109</v>
      </c>
      <c r="R769" t="s">
        <v>22</v>
      </c>
      <c r="S769" t="s">
        <v>143</v>
      </c>
      <c r="T769" t="s">
        <v>150</v>
      </c>
      <c r="U769" t="s">
        <v>689</v>
      </c>
      <c r="V769" t="s">
        <v>129</v>
      </c>
      <c r="W769" t="s">
        <v>130</v>
      </c>
      <c r="X769" t="s">
        <v>124</v>
      </c>
      <c r="Y769" t="s">
        <v>1044</v>
      </c>
      <c r="Z769">
        <v>1</v>
      </c>
      <c r="AA769" t="s">
        <v>1147</v>
      </c>
    </row>
    <row r="770" spans="1:27">
      <c r="A770">
        <v>165</v>
      </c>
      <c r="B770" s="139">
        <v>46197.353067129632</v>
      </c>
      <c r="C770" s="139">
        <v>46197.355312500003</v>
      </c>
      <c r="D770" t="s">
        <v>775</v>
      </c>
      <c r="E770" t="s">
        <v>776</v>
      </c>
      <c r="F770" t="s">
        <v>776</v>
      </c>
      <c r="G770" t="s">
        <v>777</v>
      </c>
      <c r="H770" s="139">
        <v>46185</v>
      </c>
      <c r="I770" t="s">
        <v>772</v>
      </c>
      <c r="J770" t="s">
        <v>187</v>
      </c>
      <c r="K770" t="s">
        <v>925</v>
      </c>
      <c r="N770" t="s">
        <v>926</v>
      </c>
      <c r="O770" t="s">
        <v>135</v>
      </c>
      <c r="P770" t="s">
        <v>108</v>
      </c>
      <c r="Q770" t="s">
        <v>123</v>
      </c>
      <c r="R770" t="s">
        <v>22</v>
      </c>
      <c r="S770" t="s">
        <v>149</v>
      </c>
      <c r="T770" t="s">
        <v>478</v>
      </c>
      <c r="U770" t="s">
        <v>929</v>
      </c>
      <c r="V770" t="s">
        <v>151</v>
      </c>
      <c r="W770" t="s">
        <v>130</v>
      </c>
      <c r="X770" t="s">
        <v>302</v>
      </c>
      <c r="Y770" t="s">
        <v>1040</v>
      </c>
      <c r="Z770">
        <v>1</v>
      </c>
      <c r="AA770" t="s">
        <v>1290</v>
      </c>
    </row>
    <row r="771" spans="1:27">
      <c r="A771">
        <v>165</v>
      </c>
      <c r="B771" s="139">
        <v>46197.353067129632</v>
      </c>
      <c r="C771" s="139">
        <v>46197.355312500003</v>
      </c>
      <c r="D771" t="s">
        <v>775</v>
      </c>
      <c r="E771" t="s">
        <v>776</v>
      </c>
      <c r="F771" t="s">
        <v>776</v>
      </c>
      <c r="G771" t="s">
        <v>777</v>
      </c>
      <c r="H771" s="139">
        <v>46185</v>
      </c>
      <c r="I771" t="s">
        <v>772</v>
      </c>
      <c r="J771" t="s">
        <v>187</v>
      </c>
      <c r="K771" t="s">
        <v>925</v>
      </c>
      <c r="N771" t="s">
        <v>926</v>
      </c>
      <c r="O771" t="s">
        <v>135</v>
      </c>
      <c r="P771" t="s">
        <v>108</v>
      </c>
      <c r="Q771" t="s">
        <v>123</v>
      </c>
      <c r="R771" t="s">
        <v>22</v>
      </c>
      <c r="S771" t="s">
        <v>149</v>
      </c>
      <c r="T771" t="s">
        <v>478</v>
      </c>
      <c r="U771" t="s">
        <v>929</v>
      </c>
      <c r="V771" t="s">
        <v>151</v>
      </c>
      <c r="W771" t="s">
        <v>130</v>
      </c>
      <c r="X771" t="s">
        <v>302</v>
      </c>
      <c r="Y771" t="s">
        <v>1040</v>
      </c>
      <c r="Z771">
        <v>2</v>
      </c>
      <c r="AA771" t="s">
        <v>1273</v>
      </c>
    </row>
    <row r="772" spans="1:27">
      <c r="A772">
        <v>165</v>
      </c>
      <c r="B772" s="139">
        <v>46197.353067129632</v>
      </c>
      <c r="C772" s="139">
        <v>46197.355312500003</v>
      </c>
      <c r="D772" t="s">
        <v>775</v>
      </c>
      <c r="E772" t="s">
        <v>776</v>
      </c>
      <c r="F772" t="s">
        <v>776</v>
      </c>
      <c r="G772" t="s">
        <v>777</v>
      </c>
      <c r="H772" s="139">
        <v>46185</v>
      </c>
      <c r="I772" t="s">
        <v>772</v>
      </c>
      <c r="J772" t="s">
        <v>187</v>
      </c>
      <c r="K772" t="s">
        <v>925</v>
      </c>
      <c r="N772" t="s">
        <v>926</v>
      </c>
      <c r="O772" t="s">
        <v>135</v>
      </c>
      <c r="P772" t="s">
        <v>108</v>
      </c>
      <c r="Q772" t="s">
        <v>123</v>
      </c>
      <c r="R772" t="s">
        <v>22</v>
      </c>
      <c r="S772" t="s">
        <v>149</v>
      </c>
      <c r="T772" t="s">
        <v>478</v>
      </c>
      <c r="U772" t="s">
        <v>929</v>
      </c>
      <c r="V772" t="s">
        <v>151</v>
      </c>
      <c r="W772" t="s">
        <v>130</v>
      </c>
      <c r="X772" t="s">
        <v>302</v>
      </c>
      <c r="Y772" t="s">
        <v>1042</v>
      </c>
      <c r="Z772">
        <v>1</v>
      </c>
      <c r="AA772" t="s">
        <v>1092</v>
      </c>
    </row>
    <row r="773" spans="1:27">
      <c r="A773">
        <v>165</v>
      </c>
      <c r="B773" s="139">
        <v>46197.353067129632</v>
      </c>
      <c r="C773" s="139">
        <v>46197.355312500003</v>
      </c>
      <c r="D773" t="s">
        <v>775</v>
      </c>
      <c r="E773" t="s">
        <v>776</v>
      </c>
      <c r="F773" t="s">
        <v>776</v>
      </c>
      <c r="G773" t="s">
        <v>777</v>
      </c>
      <c r="H773" s="139">
        <v>46185</v>
      </c>
      <c r="I773" t="s">
        <v>772</v>
      </c>
      <c r="J773" t="s">
        <v>187</v>
      </c>
      <c r="K773" t="s">
        <v>925</v>
      </c>
      <c r="N773" t="s">
        <v>926</v>
      </c>
      <c r="O773" t="s">
        <v>135</v>
      </c>
      <c r="P773" t="s">
        <v>108</v>
      </c>
      <c r="Q773" t="s">
        <v>123</v>
      </c>
      <c r="R773" t="s">
        <v>22</v>
      </c>
      <c r="S773" t="s">
        <v>149</v>
      </c>
      <c r="T773" t="s">
        <v>478</v>
      </c>
      <c r="U773" t="s">
        <v>929</v>
      </c>
      <c r="V773" t="s">
        <v>151</v>
      </c>
      <c r="W773" t="s">
        <v>130</v>
      </c>
      <c r="X773" t="s">
        <v>302</v>
      </c>
      <c r="Y773" t="s">
        <v>1042</v>
      </c>
      <c r="Z773">
        <v>2</v>
      </c>
      <c r="AA773" t="s">
        <v>1093</v>
      </c>
    </row>
    <row r="774" spans="1:27">
      <c r="A774">
        <v>165</v>
      </c>
      <c r="B774" s="139">
        <v>46197.353067129632</v>
      </c>
      <c r="C774" s="139">
        <v>46197.355312500003</v>
      </c>
      <c r="D774" t="s">
        <v>775</v>
      </c>
      <c r="E774" t="s">
        <v>776</v>
      </c>
      <c r="F774" t="s">
        <v>776</v>
      </c>
      <c r="G774" t="s">
        <v>777</v>
      </c>
      <c r="H774" s="139">
        <v>46185</v>
      </c>
      <c r="I774" t="s">
        <v>772</v>
      </c>
      <c r="J774" t="s">
        <v>187</v>
      </c>
      <c r="K774" t="s">
        <v>925</v>
      </c>
      <c r="N774" t="s">
        <v>926</v>
      </c>
      <c r="O774" t="s">
        <v>135</v>
      </c>
      <c r="P774" t="s">
        <v>108</v>
      </c>
      <c r="Q774" t="s">
        <v>123</v>
      </c>
      <c r="R774" t="s">
        <v>22</v>
      </c>
      <c r="S774" t="s">
        <v>149</v>
      </c>
      <c r="T774" t="s">
        <v>478</v>
      </c>
      <c r="U774" t="s">
        <v>929</v>
      </c>
      <c r="V774" t="s">
        <v>151</v>
      </c>
      <c r="W774" t="s">
        <v>130</v>
      </c>
      <c r="X774" t="s">
        <v>302</v>
      </c>
      <c r="Y774" t="s">
        <v>1042</v>
      </c>
      <c r="Z774">
        <v>3</v>
      </c>
      <c r="AA774" t="s">
        <v>1332</v>
      </c>
    </row>
    <row r="775" spans="1:27">
      <c r="A775">
        <v>165</v>
      </c>
      <c r="B775" s="139">
        <v>46197.353067129632</v>
      </c>
      <c r="C775" s="139">
        <v>46197.355312500003</v>
      </c>
      <c r="D775" t="s">
        <v>775</v>
      </c>
      <c r="E775" t="s">
        <v>776</v>
      </c>
      <c r="F775" t="s">
        <v>776</v>
      </c>
      <c r="G775" t="s">
        <v>777</v>
      </c>
      <c r="H775" s="139">
        <v>46185</v>
      </c>
      <c r="I775" t="s">
        <v>772</v>
      </c>
      <c r="J775" t="s">
        <v>187</v>
      </c>
      <c r="K775" t="s">
        <v>925</v>
      </c>
      <c r="N775" t="s">
        <v>926</v>
      </c>
      <c r="O775" t="s">
        <v>135</v>
      </c>
      <c r="P775" t="s">
        <v>108</v>
      </c>
      <c r="Q775" t="s">
        <v>123</v>
      </c>
      <c r="R775" t="s">
        <v>22</v>
      </c>
      <c r="S775" t="s">
        <v>149</v>
      </c>
      <c r="T775" t="s">
        <v>478</v>
      </c>
      <c r="U775" t="s">
        <v>929</v>
      </c>
      <c r="V775" t="s">
        <v>151</v>
      </c>
      <c r="W775" t="s">
        <v>130</v>
      </c>
      <c r="X775" t="s">
        <v>302</v>
      </c>
      <c r="Y775" t="s">
        <v>1044</v>
      </c>
      <c r="Z775">
        <v>1</v>
      </c>
      <c r="AA775" t="s">
        <v>186</v>
      </c>
    </row>
    <row r="776" spans="1:27">
      <c r="A776">
        <v>164</v>
      </c>
      <c r="B776" s="139">
        <v>46197.348460648151</v>
      </c>
      <c r="C776" s="139">
        <v>46197.352986111109</v>
      </c>
      <c r="D776" t="s">
        <v>775</v>
      </c>
      <c r="E776" t="s">
        <v>776</v>
      </c>
      <c r="F776" t="s">
        <v>776</v>
      </c>
      <c r="G776" t="s">
        <v>777</v>
      </c>
      <c r="H776" s="139">
        <v>46189</v>
      </c>
      <c r="I776" t="s">
        <v>772</v>
      </c>
      <c r="J776" t="s">
        <v>161</v>
      </c>
      <c r="M776" t="s">
        <v>920</v>
      </c>
      <c r="N776" t="s">
        <v>921</v>
      </c>
      <c r="O776" t="s">
        <v>436</v>
      </c>
      <c r="P776" t="s">
        <v>108</v>
      </c>
      <c r="Q776" t="s">
        <v>248</v>
      </c>
      <c r="R776" t="s">
        <v>22</v>
      </c>
      <c r="S776" t="s">
        <v>149</v>
      </c>
      <c r="T776" t="s">
        <v>478</v>
      </c>
      <c r="U776" t="s">
        <v>924</v>
      </c>
      <c r="V776" t="s">
        <v>151</v>
      </c>
      <c r="W776" t="s">
        <v>130</v>
      </c>
      <c r="X776" t="s">
        <v>302</v>
      </c>
      <c r="Y776" t="s">
        <v>1040</v>
      </c>
      <c r="Z776">
        <v>1</v>
      </c>
      <c r="AA776" t="s">
        <v>1333</v>
      </c>
    </row>
    <row r="777" spans="1:27">
      <c r="A777">
        <v>164</v>
      </c>
      <c r="B777" s="139">
        <v>46197.348460648151</v>
      </c>
      <c r="C777" s="139">
        <v>46197.352986111109</v>
      </c>
      <c r="D777" t="s">
        <v>775</v>
      </c>
      <c r="E777" t="s">
        <v>776</v>
      </c>
      <c r="F777" t="s">
        <v>776</v>
      </c>
      <c r="G777" t="s">
        <v>777</v>
      </c>
      <c r="H777" s="139">
        <v>46189</v>
      </c>
      <c r="I777" t="s">
        <v>772</v>
      </c>
      <c r="J777" t="s">
        <v>161</v>
      </c>
      <c r="M777" t="s">
        <v>920</v>
      </c>
      <c r="N777" t="s">
        <v>921</v>
      </c>
      <c r="O777" t="s">
        <v>436</v>
      </c>
      <c r="P777" t="s">
        <v>108</v>
      </c>
      <c r="Q777" t="s">
        <v>248</v>
      </c>
      <c r="R777" t="s">
        <v>22</v>
      </c>
      <c r="S777" t="s">
        <v>149</v>
      </c>
      <c r="T777" t="s">
        <v>478</v>
      </c>
      <c r="U777" t="s">
        <v>924</v>
      </c>
      <c r="V777" t="s">
        <v>151</v>
      </c>
      <c r="W777" t="s">
        <v>130</v>
      </c>
      <c r="X777" t="s">
        <v>302</v>
      </c>
      <c r="Y777" t="s">
        <v>1040</v>
      </c>
      <c r="Z777">
        <v>2</v>
      </c>
      <c r="AA777" t="s">
        <v>1290</v>
      </c>
    </row>
    <row r="778" spans="1:27">
      <c r="A778">
        <v>164</v>
      </c>
      <c r="B778" s="139">
        <v>46197.348460648151</v>
      </c>
      <c r="C778" s="139">
        <v>46197.352986111109</v>
      </c>
      <c r="D778" t="s">
        <v>775</v>
      </c>
      <c r="E778" t="s">
        <v>776</v>
      </c>
      <c r="F778" t="s">
        <v>776</v>
      </c>
      <c r="G778" t="s">
        <v>777</v>
      </c>
      <c r="H778" s="139">
        <v>46189</v>
      </c>
      <c r="I778" t="s">
        <v>772</v>
      </c>
      <c r="J778" t="s">
        <v>161</v>
      </c>
      <c r="M778" t="s">
        <v>920</v>
      </c>
      <c r="N778" t="s">
        <v>921</v>
      </c>
      <c r="O778" t="s">
        <v>436</v>
      </c>
      <c r="P778" t="s">
        <v>108</v>
      </c>
      <c r="Q778" t="s">
        <v>248</v>
      </c>
      <c r="R778" t="s">
        <v>22</v>
      </c>
      <c r="S778" t="s">
        <v>149</v>
      </c>
      <c r="T778" t="s">
        <v>478</v>
      </c>
      <c r="U778" t="s">
        <v>924</v>
      </c>
      <c r="V778" t="s">
        <v>151</v>
      </c>
      <c r="W778" t="s">
        <v>130</v>
      </c>
      <c r="X778" t="s">
        <v>302</v>
      </c>
      <c r="Y778" t="s">
        <v>1042</v>
      </c>
      <c r="Z778">
        <v>1</v>
      </c>
      <c r="AA778" t="s">
        <v>1092</v>
      </c>
    </row>
    <row r="779" spans="1:27">
      <c r="A779">
        <v>164</v>
      </c>
      <c r="B779" s="139">
        <v>46197.348460648151</v>
      </c>
      <c r="C779" s="139">
        <v>46197.352986111109</v>
      </c>
      <c r="D779" t="s">
        <v>775</v>
      </c>
      <c r="E779" t="s">
        <v>776</v>
      </c>
      <c r="F779" t="s">
        <v>776</v>
      </c>
      <c r="G779" t="s">
        <v>777</v>
      </c>
      <c r="H779" s="139">
        <v>46189</v>
      </c>
      <c r="I779" t="s">
        <v>772</v>
      </c>
      <c r="J779" t="s">
        <v>161</v>
      </c>
      <c r="M779" t="s">
        <v>920</v>
      </c>
      <c r="N779" t="s">
        <v>921</v>
      </c>
      <c r="O779" t="s">
        <v>436</v>
      </c>
      <c r="P779" t="s">
        <v>108</v>
      </c>
      <c r="Q779" t="s">
        <v>248</v>
      </c>
      <c r="R779" t="s">
        <v>22</v>
      </c>
      <c r="S779" t="s">
        <v>149</v>
      </c>
      <c r="T779" t="s">
        <v>478</v>
      </c>
      <c r="U779" t="s">
        <v>924</v>
      </c>
      <c r="V779" t="s">
        <v>151</v>
      </c>
      <c r="W779" t="s">
        <v>130</v>
      </c>
      <c r="X779" t="s">
        <v>302</v>
      </c>
      <c r="Y779" t="s">
        <v>1042</v>
      </c>
      <c r="Z779">
        <v>2</v>
      </c>
      <c r="AA779" t="s">
        <v>1094</v>
      </c>
    </row>
    <row r="780" spans="1:27">
      <c r="A780">
        <v>164</v>
      </c>
      <c r="B780" s="139">
        <v>46197.348460648151</v>
      </c>
      <c r="C780" s="139">
        <v>46197.352986111109</v>
      </c>
      <c r="D780" t="s">
        <v>775</v>
      </c>
      <c r="E780" t="s">
        <v>776</v>
      </c>
      <c r="F780" t="s">
        <v>776</v>
      </c>
      <c r="G780" t="s">
        <v>777</v>
      </c>
      <c r="H780" s="139">
        <v>46189</v>
      </c>
      <c r="I780" t="s">
        <v>772</v>
      </c>
      <c r="J780" t="s">
        <v>161</v>
      </c>
      <c r="M780" t="s">
        <v>920</v>
      </c>
      <c r="N780" t="s">
        <v>921</v>
      </c>
      <c r="O780" t="s">
        <v>436</v>
      </c>
      <c r="P780" t="s">
        <v>108</v>
      </c>
      <c r="Q780" t="s">
        <v>248</v>
      </c>
      <c r="R780" t="s">
        <v>22</v>
      </c>
      <c r="S780" t="s">
        <v>149</v>
      </c>
      <c r="T780" t="s">
        <v>478</v>
      </c>
      <c r="U780" t="s">
        <v>924</v>
      </c>
      <c r="V780" t="s">
        <v>151</v>
      </c>
      <c r="W780" t="s">
        <v>130</v>
      </c>
      <c r="X780" t="s">
        <v>302</v>
      </c>
      <c r="Y780" t="s">
        <v>1042</v>
      </c>
      <c r="Z780">
        <v>3</v>
      </c>
      <c r="AA780" t="s">
        <v>1274</v>
      </c>
    </row>
    <row r="781" spans="1:27">
      <c r="A781">
        <v>164</v>
      </c>
      <c r="B781" s="139">
        <v>46197.348460648151</v>
      </c>
      <c r="C781" s="139">
        <v>46197.352986111109</v>
      </c>
      <c r="D781" t="s">
        <v>775</v>
      </c>
      <c r="E781" t="s">
        <v>776</v>
      </c>
      <c r="F781" t="s">
        <v>776</v>
      </c>
      <c r="G781" t="s">
        <v>777</v>
      </c>
      <c r="H781" s="139">
        <v>46189</v>
      </c>
      <c r="I781" t="s">
        <v>772</v>
      </c>
      <c r="J781" t="s">
        <v>161</v>
      </c>
      <c r="M781" t="s">
        <v>920</v>
      </c>
      <c r="N781" t="s">
        <v>921</v>
      </c>
      <c r="O781" t="s">
        <v>436</v>
      </c>
      <c r="P781" t="s">
        <v>108</v>
      </c>
      <c r="Q781" t="s">
        <v>248</v>
      </c>
      <c r="R781" t="s">
        <v>22</v>
      </c>
      <c r="S781" t="s">
        <v>149</v>
      </c>
      <c r="T781" t="s">
        <v>478</v>
      </c>
      <c r="U781" t="s">
        <v>924</v>
      </c>
      <c r="V781" t="s">
        <v>151</v>
      </c>
      <c r="W781" t="s">
        <v>130</v>
      </c>
      <c r="X781" t="s">
        <v>302</v>
      </c>
      <c r="Y781" t="s">
        <v>1044</v>
      </c>
      <c r="Z781">
        <v>1</v>
      </c>
      <c r="AA781" t="s">
        <v>1165</v>
      </c>
    </row>
    <row r="782" spans="1:27">
      <c r="A782">
        <v>164</v>
      </c>
      <c r="B782" s="139">
        <v>46197.348460648151</v>
      </c>
      <c r="C782" s="139">
        <v>46197.352986111109</v>
      </c>
      <c r="D782" t="s">
        <v>775</v>
      </c>
      <c r="E782" t="s">
        <v>776</v>
      </c>
      <c r="F782" t="s">
        <v>776</v>
      </c>
      <c r="G782" t="s">
        <v>777</v>
      </c>
      <c r="H782" s="139">
        <v>46189</v>
      </c>
      <c r="I782" t="s">
        <v>772</v>
      </c>
      <c r="J782" t="s">
        <v>161</v>
      </c>
      <c r="M782" t="s">
        <v>920</v>
      </c>
      <c r="N782" t="s">
        <v>921</v>
      </c>
      <c r="O782" t="s">
        <v>436</v>
      </c>
      <c r="P782" t="s">
        <v>108</v>
      </c>
      <c r="Q782" t="s">
        <v>248</v>
      </c>
      <c r="R782" t="s">
        <v>22</v>
      </c>
      <c r="S782" t="s">
        <v>149</v>
      </c>
      <c r="T782" t="s">
        <v>478</v>
      </c>
      <c r="U782" t="s">
        <v>924</v>
      </c>
      <c r="V782" t="s">
        <v>151</v>
      </c>
      <c r="W782" t="s">
        <v>130</v>
      </c>
      <c r="X782" t="s">
        <v>302</v>
      </c>
      <c r="Y782" t="s">
        <v>1044</v>
      </c>
      <c r="Z782">
        <v>2</v>
      </c>
      <c r="AA782" t="s">
        <v>1166</v>
      </c>
    </row>
    <row r="783" spans="1:27">
      <c r="A783">
        <v>109</v>
      </c>
      <c r="B783" s="139">
        <v>46178.642152777778</v>
      </c>
      <c r="C783" s="139">
        <v>46178.643263888887</v>
      </c>
      <c r="D783" t="s">
        <v>131</v>
      </c>
      <c r="E783" t="s">
        <v>132</v>
      </c>
      <c r="F783" t="s">
        <v>133</v>
      </c>
      <c r="G783" t="s">
        <v>134</v>
      </c>
      <c r="H783" s="139">
        <v>46195</v>
      </c>
      <c r="I783" t="s">
        <v>136</v>
      </c>
      <c r="J783" t="s">
        <v>161</v>
      </c>
      <c r="M783" t="s">
        <v>693</v>
      </c>
      <c r="N783" t="s">
        <v>694</v>
      </c>
      <c r="O783" t="s">
        <v>135</v>
      </c>
      <c r="P783" t="s">
        <v>108</v>
      </c>
      <c r="Q783" t="s">
        <v>109</v>
      </c>
      <c r="R783" t="s">
        <v>22</v>
      </c>
      <c r="S783" t="s">
        <v>149</v>
      </c>
      <c r="T783" t="s">
        <v>181</v>
      </c>
      <c r="U783" t="s">
        <v>696</v>
      </c>
      <c r="V783" t="s">
        <v>129</v>
      </c>
      <c r="W783" t="s">
        <v>130</v>
      </c>
      <c r="X783" t="s">
        <v>199</v>
      </c>
      <c r="Y783" t="s">
        <v>1040</v>
      </c>
      <c r="Z783">
        <v>1</v>
      </c>
      <c r="AA783" t="s">
        <v>1203</v>
      </c>
    </row>
    <row r="784" spans="1:27">
      <c r="A784">
        <v>109</v>
      </c>
      <c r="B784" s="139">
        <v>46178.642152777778</v>
      </c>
      <c r="C784" s="139">
        <v>46178.643263888887</v>
      </c>
      <c r="D784" t="s">
        <v>131</v>
      </c>
      <c r="E784" t="s">
        <v>132</v>
      </c>
      <c r="F784" t="s">
        <v>133</v>
      </c>
      <c r="G784" t="s">
        <v>134</v>
      </c>
      <c r="H784" s="139">
        <v>46195</v>
      </c>
      <c r="I784" t="s">
        <v>136</v>
      </c>
      <c r="J784" t="s">
        <v>161</v>
      </c>
      <c r="M784" t="s">
        <v>693</v>
      </c>
      <c r="N784" t="s">
        <v>694</v>
      </c>
      <c r="O784" t="s">
        <v>135</v>
      </c>
      <c r="P784" t="s">
        <v>108</v>
      </c>
      <c r="Q784" t="s">
        <v>109</v>
      </c>
      <c r="R784" t="s">
        <v>22</v>
      </c>
      <c r="S784" t="s">
        <v>149</v>
      </c>
      <c r="T784" t="s">
        <v>181</v>
      </c>
      <c r="U784" t="s">
        <v>696</v>
      </c>
      <c r="V784" t="s">
        <v>129</v>
      </c>
      <c r="W784" t="s">
        <v>130</v>
      </c>
      <c r="X784" t="s">
        <v>199</v>
      </c>
      <c r="Y784" t="s">
        <v>1042</v>
      </c>
      <c r="Z784">
        <v>1</v>
      </c>
      <c r="AA784" t="s">
        <v>1120</v>
      </c>
    </row>
    <row r="785" spans="1:27">
      <c r="A785">
        <v>109</v>
      </c>
      <c r="B785" s="139">
        <v>46178.642152777778</v>
      </c>
      <c r="C785" s="139">
        <v>46178.643263888887</v>
      </c>
      <c r="D785" t="s">
        <v>131</v>
      </c>
      <c r="E785" t="s">
        <v>132</v>
      </c>
      <c r="F785" t="s">
        <v>133</v>
      </c>
      <c r="G785" t="s">
        <v>134</v>
      </c>
      <c r="H785" s="139">
        <v>46195</v>
      </c>
      <c r="I785" t="s">
        <v>136</v>
      </c>
      <c r="J785" t="s">
        <v>161</v>
      </c>
      <c r="M785" t="s">
        <v>693</v>
      </c>
      <c r="N785" t="s">
        <v>694</v>
      </c>
      <c r="O785" t="s">
        <v>135</v>
      </c>
      <c r="P785" t="s">
        <v>108</v>
      </c>
      <c r="Q785" t="s">
        <v>109</v>
      </c>
      <c r="R785" t="s">
        <v>22</v>
      </c>
      <c r="S785" t="s">
        <v>149</v>
      </c>
      <c r="T785" t="s">
        <v>181</v>
      </c>
      <c r="U785" t="s">
        <v>696</v>
      </c>
      <c r="V785" t="s">
        <v>129</v>
      </c>
      <c r="W785" t="s">
        <v>130</v>
      </c>
      <c r="X785" t="s">
        <v>199</v>
      </c>
      <c r="Y785" t="s">
        <v>1042</v>
      </c>
      <c r="Z785">
        <v>2</v>
      </c>
      <c r="AA785" t="s">
        <v>1089</v>
      </c>
    </row>
    <row r="786" spans="1:27">
      <c r="A786">
        <v>109</v>
      </c>
      <c r="B786" s="139">
        <v>46178.642152777778</v>
      </c>
      <c r="C786" s="139">
        <v>46178.643263888887</v>
      </c>
      <c r="D786" t="s">
        <v>131</v>
      </c>
      <c r="E786" t="s">
        <v>132</v>
      </c>
      <c r="F786" t="s">
        <v>133</v>
      </c>
      <c r="G786" t="s">
        <v>134</v>
      </c>
      <c r="H786" s="139">
        <v>46195</v>
      </c>
      <c r="I786" t="s">
        <v>136</v>
      </c>
      <c r="J786" t="s">
        <v>161</v>
      </c>
      <c r="M786" t="s">
        <v>693</v>
      </c>
      <c r="N786" t="s">
        <v>694</v>
      </c>
      <c r="O786" t="s">
        <v>135</v>
      </c>
      <c r="P786" t="s">
        <v>108</v>
      </c>
      <c r="Q786" t="s">
        <v>109</v>
      </c>
      <c r="R786" t="s">
        <v>22</v>
      </c>
      <c r="S786" t="s">
        <v>149</v>
      </c>
      <c r="T786" t="s">
        <v>181</v>
      </c>
      <c r="U786" t="s">
        <v>696</v>
      </c>
      <c r="V786" t="s">
        <v>129</v>
      </c>
      <c r="W786" t="s">
        <v>130</v>
      </c>
      <c r="X786" t="s">
        <v>199</v>
      </c>
      <c r="Y786" t="s">
        <v>1044</v>
      </c>
      <c r="Z786">
        <v>1</v>
      </c>
      <c r="AA786" t="s">
        <v>1118</v>
      </c>
    </row>
    <row r="787" spans="1:27">
      <c r="A787">
        <v>135</v>
      </c>
      <c r="B787" s="139">
        <v>46181.449652777781</v>
      </c>
      <c r="C787" s="139">
        <v>46181.452604166669</v>
      </c>
      <c r="D787" t="s">
        <v>351</v>
      </c>
      <c r="E787" t="s">
        <v>352</v>
      </c>
      <c r="F787" t="s">
        <v>353</v>
      </c>
      <c r="G787" t="s">
        <v>354</v>
      </c>
      <c r="H787" s="139">
        <v>46196</v>
      </c>
      <c r="I787" t="s">
        <v>136</v>
      </c>
      <c r="J787" t="s">
        <v>161</v>
      </c>
      <c r="M787" t="s">
        <v>810</v>
      </c>
      <c r="N787" t="s">
        <v>810</v>
      </c>
      <c r="O787" t="s">
        <v>107</v>
      </c>
      <c r="P787" t="s">
        <v>108</v>
      </c>
      <c r="Q787" t="s">
        <v>109</v>
      </c>
      <c r="R787" t="s">
        <v>22</v>
      </c>
      <c r="S787" t="s">
        <v>149</v>
      </c>
      <c r="T787" t="s">
        <v>181</v>
      </c>
      <c r="U787" t="s">
        <v>813</v>
      </c>
      <c r="V787" t="s">
        <v>129</v>
      </c>
      <c r="W787" t="s">
        <v>130</v>
      </c>
      <c r="X787" t="s">
        <v>329</v>
      </c>
      <c r="Y787" t="s">
        <v>1040</v>
      </c>
      <c r="Z787">
        <v>1</v>
      </c>
      <c r="AA787" t="s">
        <v>1046</v>
      </c>
    </row>
    <row r="788" spans="1:27">
      <c r="A788">
        <v>135</v>
      </c>
      <c r="B788" s="139">
        <v>46181.449652777781</v>
      </c>
      <c r="C788" s="139">
        <v>46181.452604166669</v>
      </c>
      <c r="D788" t="s">
        <v>351</v>
      </c>
      <c r="E788" t="s">
        <v>352</v>
      </c>
      <c r="F788" t="s">
        <v>353</v>
      </c>
      <c r="G788" t="s">
        <v>354</v>
      </c>
      <c r="H788" s="139">
        <v>46196</v>
      </c>
      <c r="I788" t="s">
        <v>136</v>
      </c>
      <c r="J788" t="s">
        <v>161</v>
      </c>
      <c r="M788" t="s">
        <v>810</v>
      </c>
      <c r="N788" t="s">
        <v>810</v>
      </c>
      <c r="O788" t="s">
        <v>107</v>
      </c>
      <c r="P788" t="s">
        <v>108</v>
      </c>
      <c r="Q788" t="s">
        <v>109</v>
      </c>
      <c r="R788" t="s">
        <v>22</v>
      </c>
      <c r="S788" t="s">
        <v>149</v>
      </c>
      <c r="T788" t="s">
        <v>181</v>
      </c>
      <c r="U788" t="s">
        <v>813</v>
      </c>
      <c r="V788" t="s">
        <v>129</v>
      </c>
      <c r="W788" t="s">
        <v>130</v>
      </c>
      <c r="X788" t="s">
        <v>329</v>
      </c>
      <c r="Y788" t="s">
        <v>1042</v>
      </c>
      <c r="Z788">
        <v>1</v>
      </c>
      <c r="AA788" t="s">
        <v>1047</v>
      </c>
    </row>
    <row r="789" spans="1:27">
      <c r="A789">
        <v>135</v>
      </c>
      <c r="B789" s="139">
        <v>46181.449652777781</v>
      </c>
      <c r="C789" s="139">
        <v>46181.452604166669</v>
      </c>
      <c r="D789" t="s">
        <v>351</v>
      </c>
      <c r="E789" t="s">
        <v>352</v>
      </c>
      <c r="F789" t="s">
        <v>353</v>
      </c>
      <c r="G789" t="s">
        <v>354</v>
      </c>
      <c r="H789" s="139">
        <v>46196</v>
      </c>
      <c r="I789" t="s">
        <v>136</v>
      </c>
      <c r="J789" t="s">
        <v>161</v>
      </c>
      <c r="M789" t="s">
        <v>810</v>
      </c>
      <c r="N789" t="s">
        <v>810</v>
      </c>
      <c r="O789" t="s">
        <v>107</v>
      </c>
      <c r="P789" t="s">
        <v>108</v>
      </c>
      <c r="Q789" t="s">
        <v>109</v>
      </c>
      <c r="R789" t="s">
        <v>22</v>
      </c>
      <c r="S789" t="s">
        <v>149</v>
      </c>
      <c r="T789" t="s">
        <v>181</v>
      </c>
      <c r="U789" t="s">
        <v>813</v>
      </c>
      <c r="V789" t="s">
        <v>129</v>
      </c>
      <c r="W789" t="s">
        <v>130</v>
      </c>
      <c r="X789" t="s">
        <v>329</v>
      </c>
      <c r="Y789" t="s">
        <v>1042</v>
      </c>
      <c r="Z789">
        <v>2</v>
      </c>
      <c r="AA789" t="s">
        <v>1267</v>
      </c>
    </row>
    <row r="790" spans="1:27">
      <c r="A790">
        <v>135</v>
      </c>
      <c r="B790" s="139">
        <v>46181.449652777781</v>
      </c>
      <c r="C790" s="139">
        <v>46181.452604166669</v>
      </c>
      <c r="D790" t="s">
        <v>351</v>
      </c>
      <c r="E790" t="s">
        <v>352</v>
      </c>
      <c r="F790" t="s">
        <v>353</v>
      </c>
      <c r="G790" t="s">
        <v>354</v>
      </c>
      <c r="H790" s="139">
        <v>46196</v>
      </c>
      <c r="I790" t="s">
        <v>136</v>
      </c>
      <c r="J790" t="s">
        <v>161</v>
      </c>
      <c r="M790" t="s">
        <v>810</v>
      </c>
      <c r="N790" t="s">
        <v>810</v>
      </c>
      <c r="O790" t="s">
        <v>107</v>
      </c>
      <c r="P790" t="s">
        <v>108</v>
      </c>
      <c r="Q790" t="s">
        <v>109</v>
      </c>
      <c r="R790" t="s">
        <v>22</v>
      </c>
      <c r="S790" t="s">
        <v>149</v>
      </c>
      <c r="T790" t="s">
        <v>181</v>
      </c>
      <c r="U790" t="s">
        <v>813</v>
      </c>
      <c r="V790" t="s">
        <v>129</v>
      </c>
      <c r="W790" t="s">
        <v>130</v>
      </c>
      <c r="X790" t="s">
        <v>329</v>
      </c>
      <c r="Y790" t="s">
        <v>1044</v>
      </c>
      <c r="Z790">
        <v>1</v>
      </c>
      <c r="AA790" t="s">
        <v>1200</v>
      </c>
    </row>
    <row r="791" spans="1:27">
      <c r="A791">
        <v>73</v>
      </c>
      <c r="B791" s="139">
        <v>46175.822708333333</v>
      </c>
      <c r="C791" s="139">
        <v>46175.824490740742</v>
      </c>
      <c r="D791" t="s">
        <v>513</v>
      </c>
      <c r="E791" t="s">
        <v>514</v>
      </c>
      <c r="F791" t="s">
        <v>515</v>
      </c>
      <c r="G791" t="s">
        <v>516</v>
      </c>
      <c r="H791" s="139">
        <v>46228</v>
      </c>
      <c r="I791" t="s">
        <v>472</v>
      </c>
      <c r="J791" t="s">
        <v>161</v>
      </c>
      <c r="M791" t="s">
        <v>517</v>
      </c>
      <c r="N791" t="s">
        <v>518</v>
      </c>
      <c r="O791" t="s">
        <v>135</v>
      </c>
      <c r="P791" t="s">
        <v>108</v>
      </c>
      <c r="Q791" t="s">
        <v>109</v>
      </c>
      <c r="R791" t="s">
        <v>24</v>
      </c>
      <c r="S791" t="s">
        <v>149</v>
      </c>
      <c r="T791" t="s">
        <v>181</v>
      </c>
      <c r="V791" t="s">
        <v>151</v>
      </c>
      <c r="W791" t="s">
        <v>130</v>
      </c>
      <c r="X791" t="s">
        <v>164</v>
      </c>
      <c r="Y791" t="s">
        <v>1040</v>
      </c>
      <c r="Z791">
        <v>1</v>
      </c>
      <c r="AA791" t="s">
        <v>1334</v>
      </c>
    </row>
    <row r="792" spans="1:27">
      <c r="A792">
        <v>73</v>
      </c>
      <c r="B792" s="139">
        <v>46175.822708333333</v>
      </c>
      <c r="C792" s="139">
        <v>46175.824490740742</v>
      </c>
      <c r="D792" t="s">
        <v>513</v>
      </c>
      <c r="E792" t="s">
        <v>514</v>
      </c>
      <c r="F792" t="s">
        <v>515</v>
      </c>
      <c r="G792" t="s">
        <v>516</v>
      </c>
      <c r="H792" s="139">
        <v>46228</v>
      </c>
      <c r="I792" t="s">
        <v>472</v>
      </c>
      <c r="J792" t="s">
        <v>161</v>
      </c>
      <c r="M792" t="s">
        <v>517</v>
      </c>
      <c r="N792" t="s">
        <v>518</v>
      </c>
      <c r="O792" t="s">
        <v>135</v>
      </c>
      <c r="P792" t="s">
        <v>108</v>
      </c>
      <c r="Q792" t="s">
        <v>109</v>
      </c>
      <c r="R792" t="s">
        <v>24</v>
      </c>
      <c r="S792" t="s">
        <v>149</v>
      </c>
      <c r="T792" t="s">
        <v>181</v>
      </c>
      <c r="V792" t="s">
        <v>151</v>
      </c>
      <c r="W792" t="s">
        <v>130</v>
      </c>
      <c r="X792" t="s">
        <v>164</v>
      </c>
      <c r="Y792" t="s">
        <v>1042</v>
      </c>
      <c r="Z792">
        <v>1</v>
      </c>
      <c r="AA792" t="s">
        <v>1335</v>
      </c>
    </row>
    <row r="793" spans="1:27">
      <c r="A793">
        <v>73</v>
      </c>
      <c r="B793" s="139">
        <v>46175.822708333333</v>
      </c>
      <c r="C793" s="139">
        <v>46175.824490740742</v>
      </c>
      <c r="D793" t="s">
        <v>513</v>
      </c>
      <c r="E793" t="s">
        <v>514</v>
      </c>
      <c r="F793" t="s">
        <v>515</v>
      </c>
      <c r="G793" t="s">
        <v>516</v>
      </c>
      <c r="H793" s="139">
        <v>46228</v>
      </c>
      <c r="I793" t="s">
        <v>472</v>
      </c>
      <c r="J793" t="s">
        <v>161</v>
      </c>
      <c r="M793" t="s">
        <v>517</v>
      </c>
      <c r="N793" t="s">
        <v>518</v>
      </c>
      <c r="O793" t="s">
        <v>135</v>
      </c>
      <c r="P793" t="s">
        <v>108</v>
      </c>
      <c r="Q793" t="s">
        <v>109</v>
      </c>
      <c r="R793" t="s">
        <v>24</v>
      </c>
      <c r="S793" t="s">
        <v>149</v>
      </c>
      <c r="T793" t="s">
        <v>181</v>
      </c>
      <c r="V793" t="s">
        <v>151</v>
      </c>
      <c r="W793" t="s">
        <v>130</v>
      </c>
      <c r="X793" t="s">
        <v>164</v>
      </c>
      <c r="Y793" t="s">
        <v>1042</v>
      </c>
      <c r="Z793">
        <v>2</v>
      </c>
      <c r="AA793" t="s">
        <v>1322</v>
      </c>
    </row>
    <row r="794" spans="1:27">
      <c r="A794">
        <v>73</v>
      </c>
      <c r="B794" s="139">
        <v>46175.822708333333</v>
      </c>
      <c r="C794" s="139">
        <v>46175.824490740742</v>
      </c>
      <c r="D794" t="s">
        <v>513</v>
      </c>
      <c r="E794" t="s">
        <v>514</v>
      </c>
      <c r="F794" t="s">
        <v>515</v>
      </c>
      <c r="G794" t="s">
        <v>516</v>
      </c>
      <c r="H794" s="139">
        <v>46228</v>
      </c>
      <c r="I794" t="s">
        <v>472</v>
      </c>
      <c r="J794" t="s">
        <v>161</v>
      </c>
      <c r="M794" t="s">
        <v>517</v>
      </c>
      <c r="N794" t="s">
        <v>518</v>
      </c>
      <c r="O794" t="s">
        <v>135</v>
      </c>
      <c r="P794" t="s">
        <v>108</v>
      </c>
      <c r="Q794" t="s">
        <v>109</v>
      </c>
      <c r="R794" t="s">
        <v>24</v>
      </c>
      <c r="S794" t="s">
        <v>149</v>
      </c>
      <c r="T794" t="s">
        <v>181</v>
      </c>
      <c r="V794" t="s">
        <v>151</v>
      </c>
      <c r="W794" t="s">
        <v>130</v>
      </c>
      <c r="X794" t="s">
        <v>164</v>
      </c>
      <c r="Y794" t="s">
        <v>1042</v>
      </c>
      <c r="Z794">
        <v>3</v>
      </c>
      <c r="AA794" t="s">
        <v>1168</v>
      </c>
    </row>
    <row r="795" spans="1:27">
      <c r="A795">
        <v>73</v>
      </c>
      <c r="B795" s="139">
        <v>46175.822708333333</v>
      </c>
      <c r="C795" s="139">
        <v>46175.824490740742</v>
      </c>
      <c r="D795" t="s">
        <v>513</v>
      </c>
      <c r="E795" t="s">
        <v>514</v>
      </c>
      <c r="F795" t="s">
        <v>515</v>
      </c>
      <c r="G795" t="s">
        <v>516</v>
      </c>
      <c r="H795" s="139">
        <v>46228</v>
      </c>
      <c r="I795" t="s">
        <v>472</v>
      </c>
      <c r="J795" t="s">
        <v>161</v>
      </c>
      <c r="M795" t="s">
        <v>517</v>
      </c>
      <c r="N795" t="s">
        <v>518</v>
      </c>
      <c r="O795" t="s">
        <v>135</v>
      </c>
      <c r="P795" t="s">
        <v>108</v>
      </c>
      <c r="Q795" t="s">
        <v>109</v>
      </c>
      <c r="R795" t="s">
        <v>24</v>
      </c>
      <c r="S795" t="s">
        <v>149</v>
      </c>
      <c r="T795" t="s">
        <v>181</v>
      </c>
      <c r="V795" t="s">
        <v>151</v>
      </c>
      <c r="W795" t="s">
        <v>130</v>
      </c>
      <c r="X795" t="s">
        <v>164</v>
      </c>
      <c r="Y795" t="s">
        <v>1044</v>
      </c>
      <c r="Z795">
        <v>1</v>
      </c>
      <c r="AA795" t="s">
        <v>1336</v>
      </c>
    </row>
    <row r="4990" ht="22.5" customHeight="1"/>
    <row r="4991" ht="9.75" customHeight="1"/>
    <row r="4992" ht="10.5" customHeight="1"/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5001"/>
  <sheetViews>
    <sheetView topLeftCell="A148" zoomScaleNormal="100" workbookViewId="0">
      <selection activeCell="A168" sqref="A168"/>
    </sheetView>
  </sheetViews>
  <sheetFormatPr defaultColWidth="8.7109375" defaultRowHeight="15"/>
  <cols>
    <col min="1" max="1" width="12" customWidth="1"/>
    <col min="2" max="2" width="13.140625" style="115" customWidth="1"/>
    <col min="3" max="3" width="14.28515625" style="115" customWidth="1"/>
    <col min="4" max="4" width="30" customWidth="1"/>
    <col min="5" max="6" width="25" customWidth="1"/>
    <col min="7" max="7" width="17" customWidth="1"/>
    <col min="8" max="8" width="12.85546875" style="115" customWidth="1"/>
    <col min="9" max="9" width="31" customWidth="1"/>
    <col min="10" max="10" width="40" customWidth="1"/>
    <col min="11" max="11" width="20" customWidth="1"/>
    <col min="12" max="12" width="37" customWidth="1"/>
    <col min="13" max="13" width="25" customWidth="1"/>
    <col min="14" max="14" width="45" customWidth="1"/>
    <col min="15" max="15" width="31" customWidth="1"/>
    <col min="16" max="16" width="12" customWidth="1"/>
    <col min="17" max="17" width="27" customWidth="1"/>
    <col min="18" max="18" width="17" customWidth="1"/>
    <col min="19" max="19" width="19" customWidth="1"/>
    <col min="20" max="21" width="45" customWidth="1"/>
    <col min="22" max="22" width="12" customWidth="1"/>
    <col min="23" max="23" width="13" customWidth="1"/>
    <col min="24" max="25" width="30" customWidth="1"/>
    <col min="26" max="26" width="63.42578125" customWidth="1"/>
    <col min="27" max="28" width="24.42578125" customWidth="1"/>
    <col min="29" max="29" width="46.42578125" customWidth="1"/>
    <col min="30" max="31" width="56.28515625" customWidth="1"/>
    <col min="32" max="32" width="56" customWidth="1"/>
    <col min="33" max="33" width="94.42578125" customWidth="1"/>
    <col min="34" max="34" width="37.28515625" customWidth="1"/>
    <col min="35" max="35" width="64.85546875" customWidth="1"/>
    <col min="36" max="36" width="58.140625" customWidth="1"/>
    <col min="37" max="37" width="45" customWidth="1"/>
  </cols>
  <sheetData>
    <row r="1" spans="1:38" ht="30.75" customHeight="1">
      <c r="A1" s="119" t="s">
        <v>0</v>
      </c>
      <c r="B1" s="120" t="s">
        <v>1</v>
      </c>
      <c r="C1" s="120" t="s">
        <v>2</v>
      </c>
      <c r="D1" s="121" t="s">
        <v>3</v>
      </c>
      <c r="E1" s="121" t="s">
        <v>4</v>
      </c>
      <c r="F1" s="121" t="s">
        <v>5</v>
      </c>
      <c r="G1" s="121" t="s">
        <v>6</v>
      </c>
      <c r="H1" s="120" t="s">
        <v>7</v>
      </c>
      <c r="I1" s="121" t="s">
        <v>14</v>
      </c>
      <c r="J1" s="121" t="s">
        <v>9</v>
      </c>
      <c r="K1" s="121" t="s">
        <v>1033</v>
      </c>
      <c r="L1" s="121" t="s">
        <v>1034</v>
      </c>
      <c r="M1" s="121" t="s">
        <v>1035</v>
      </c>
      <c r="N1" s="121" t="s">
        <v>1036</v>
      </c>
      <c r="O1" s="121" t="s">
        <v>8</v>
      </c>
      <c r="P1" s="121" t="s">
        <v>12</v>
      </c>
      <c r="Q1" s="121" t="s">
        <v>13</v>
      </c>
      <c r="R1" s="121" t="s">
        <v>20</v>
      </c>
      <c r="S1" s="121" t="s">
        <v>95</v>
      </c>
      <c r="T1" s="121" t="s">
        <v>96</v>
      </c>
      <c r="U1" s="121" t="s">
        <v>97</v>
      </c>
      <c r="V1" s="121" t="s">
        <v>98</v>
      </c>
      <c r="W1" s="121" t="s">
        <v>99</v>
      </c>
      <c r="X1" s="121" t="s">
        <v>1337</v>
      </c>
      <c r="Y1" s="121" t="s">
        <v>1338</v>
      </c>
      <c r="Z1" s="121" t="s">
        <v>1042</v>
      </c>
      <c r="AA1" t="s">
        <v>1339</v>
      </c>
      <c r="AB1" t="s">
        <v>1340</v>
      </c>
      <c r="AC1" t="s">
        <v>1341</v>
      </c>
      <c r="AD1" t="s">
        <v>1342</v>
      </c>
      <c r="AE1" t="s">
        <v>1343</v>
      </c>
      <c r="AF1" t="s">
        <v>1344</v>
      </c>
      <c r="AG1" s="121" t="s">
        <v>1040</v>
      </c>
      <c r="AH1" t="s">
        <v>1345</v>
      </c>
      <c r="AI1" t="s">
        <v>1346</v>
      </c>
      <c r="AJ1" t="s">
        <v>1347</v>
      </c>
      <c r="AK1" s="122" t="s">
        <v>1039</v>
      </c>
      <c r="AL1" t="s">
        <v>1348</v>
      </c>
    </row>
    <row r="2" spans="1:38" ht="15" customHeight="1">
      <c r="A2">
        <v>1</v>
      </c>
      <c r="B2" s="115">
        <v>46164.619791666701</v>
      </c>
      <c r="C2" s="115">
        <v>46164.623171296298</v>
      </c>
      <c r="D2" t="s">
        <v>103</v>
      </c>
      <c r="E2" t="s">
        <v>104</v>
      </c>
      <c r="F2" t="s">
        <v>105</v>
      </c>
      <c r="G2">
        <v>1126529</v>
      </c>
      <c r="H2" s="115">
        <v>46164</v>
      </c>
      <c r="O2" t="s">
        <v>107</v>
      </c>
      <c r="P2" t="s">
        <v>108</v>
      </c>
      <c r="Q2" t="s">
        <v>109</v>
      </c>
      <c r="R2" t="s">
        <v>22</v>
      </c>
      <c r="S2" t="s">
        <v>114</v>
      </c>
      <c r="T2" t="s">
        <v>115</v>
      </c>
      <c r="V2" t="s">
        <v>116</v>
      </c>
      <c r="W2" t="s">
        <v>117</v>
      </c>
      <c r="X2" t="s">
        <v>110</v>
      </c>
      <c r="Y2" t="s">
        <v>110</v>
      </c>
      <c r="Z2" t="s">
        <v>1153</v>
      </c>
      <c r="AG2" t="s">
        <v>1257</v>
      </c>
    </row>
    <row r="3" spans="1:38" ht="15" customHeight="1">
      <c r="A3">
        <v>2</v>
      </c>
      <c r="B3" s="115">
        <v>46164.620300925897</v>
      </c>
      <c r="C3" s="115">
        <v>46164.623298611099</v>
      </c>
      <c r="D3" t="s">
        <v>118</v>
      </c>
      <c r="E3" t="s">
        <v>119</v>
      </c>
      <c r="F3" t="s">
        <v>120</v>
      </c>
      <c r="G3">
        <v>584819</v>
      </c>
      <c r="H3" s="115">
        <v>46162</v>
      </c>
      <c r="O3" t="s">
        <v>122</v>
      </c>
      <c r="P3" t="s">
        <v>108</v>
      </c>
      <c r="Q3" t="s">
        <v>123</v>
      </c>
      <c r="R3" t="s">
        <v>22</v>
      </c>
      <c r="S3" t="s">
        <v>114</v>
      </c>
      <c r="T3" t="s">
        <v>128</v>
      </c>
      <c r="V3" t="s">
        <v>129</v>
      </c>
      <c r="W3" t="s">
        <v>130</v>
      </c>
      <c r="X3" t="s">
        <v>124</v>
      </c>
      <c r="Y3" t="s">
        <v>124</v>
      </c>
      <c r="Z3" t="s">
        <v>1125</v>
      </c>
      <c r="AA3" t="s">
        <v>1126</v>
      </c>
      <c r="AB3" t="s">
        <v>1059</v>
      </c>
      <c r="AG3" t="s">
        <v>1058</v>
      </c>
    </row>
    <row r="4" spans="1:38" ht="15" customHeight="1">
      <c r="A4">
        <v>3</v>
      </c>
      <c r="B4" s="115">
        <v>46167.479780092603</v>
      </c>
      <c r="C4" s="115">
        <v>46167.4821296296</v>
      </c>
      <c r="D4" t="s">
        <v>131</v>
      </c>
      <c r="E4" t="s">
        <v>132</v>
      </c>
      <c r="F4" t="s">
        <v>133</v>
      </c>
      <c r="G4">
        <v>938882</v>
      </c>
      <c r="H4" s="115">
        <v>46148</v>
      </c>
      <c r="I4" t="s">
        <v>136</v>
      </c>
      <c r="M4" t="s">
        <v>137</v>
      </c>
      <c r="N4" t="s">
        <v>138</v>
      </c>
      <c r="O4" t="s">
        <v>135</v>
      </c>
      <c r="P4" t="s">
        <v>108</v>
      </c>
      <c r="Q4" t="s">
        <v>109</v>
      </c>
      <c r="R4" t="s">
        <v>22</v>
      </c>
      <c r="S4" t="s">
        <v>143</v>
      </c>
      <c r="T4" t="s">
        <v>144</v>
      </c>
      <c r="V4" t="s">
        <v>129</v>
      </c>
      <c r="W4" t="s">
        <v>130</v>
      </c>
      <c r="X4" t="s">
        <v>139</v>
      </c>
      <c r="Y4" t="s">
        <v>139</v>
      </c>
      <c r="Z4" t="s">
        <v>1349</v>
      </c>
      <c r="AA4" t="s">
        <v>1070</v>
      </c>
      <c r="AB4" t="s">
        <v>1071</v>
      </c>
      <c r="AG4" t="s">
        <v>1041</v>
      </c>
    </row>
    <row r="5" spans="1:38" ht="15" customHeight="1">
      <c r="A5">
        <v>4</v>
      </c>
      <c r="B5" s="115">
        <v>46167.482164351903</v>
      </c>
      <c r="C5" s="115">
        <v>46167.487592592603</v>
      </c>
      <c r="D5" t="s">
        <v>131</v>
      </c>
      <c r="E5" t="s">
        <v>132</v>
      </c>
      <c r="F5" t="s">
        <v>133</v>
      </c>
      <c r="G5">
        <v>938882</v>
      </c>
      <c r="H5" s="115">
        <v>46150</v>
      </c>
      <c r="I5" t="s">
        <v>136</v>
      </c>
      <c r="M5" t="s">
        <v>145</v>
      </c>
      <c r="N5" t="s">
        <v>138</v>
      </c>
      <c r="O5" t="s">
        <v>107</v>
      </c>
      <c r="P5" t="s">
        <v>108</v>
      </c>
      <c r="Q5" t="s">
        <v>109</v>
      </c>
      <c r="R5" t="s">
        <v>22</v>
      </c>
      <c r="S5" t="s">
        <v>149</v>
      </c>
      <c r="T5" t="s">
        <v>150</v>
      </c>
      <c r="V5" t="s">
        <v>151</v>
      </c>
      <c r="W5" t="s">
        <v>130</v>
      </c>
      <c r="X5" t="s">
        <v>146</v>
      </c>
      <c r="Y5" t="s">
        <v>146</v>
      </c>
      <c r="Z5" t="s">
        <v>1112</v>
      </c>
      <c r="AG5" t="s">
        <v>186</v>
      </c>
    </row>
    <row r="6" spans="1:38" ht="15" customHeight="1">
      <c r="A6">
        <v>5</v>
      </c>
      <c r="B6" s="115">
        <v>46167.4839236111</v>
      </c>
      <c r="C6" s="115">
        <v>46167.497164351902</v>
      </c>
      <c r="D6" t="s">
        <v>152</v>
      </c>
      <c r="E6" t="s">
        <v>153</v>
      </c>
      <c r="F6" t="s">
        <v>153</v>
      </c>
      <c r="G6">
        <v>869991</v>
      </c>
      <c r="H6" s="115">
        <v>46160</v>
      </c>
      <c r="I6" t="s">
        <v>136</v>
      </c>
      <c r="M6" t="s">
        <v>155</v>
      </c>
      <c r="N6" t="s">
        <v>156</v>
      </c>
      <c r="O6" t="s">
        <v>107</v>
      </c>
      <c r="P6" t="s">
        <v>108</v>
      </c>
      <c r="Q6" t="s">
        <v>109</v>
      </c>
      <c r="R6" t="s">
        <v>22</v>
      </c>
      <c r="S6" t="s">
        <v>149</v>
      </c>
      <c r="T6" t="s">
        <v>144</v>
      </c>
      <c r="V6" t="s">
        <v>129</v>
      </c>
      <c r="W6" t="s">
        <v>130</v>
      </c>
      <c r="X6" t="s">
        <v>124</v>
      </c>
      <c r="Y6" t="s">
        <v>124</v>
      </c>
      <c r="Z6" t="s">
        <v>1210</v>
      </c>
      <c r="AG6" t="s">
        <v>1209</v>
      </c>
    </row>
    <row r="7" spans="1:38" ht="27.75" customHeight="1">
      <c r="A7">
        <v>6</v>
      </c>
      <c r="B7" s="115">
        <v>46167.588576388902</v>
      </c>
      <c r="C7" s="115">
        <v>46167.593819444497</v>
      </c>
      <c r="D7" t="s">
        <v>131</v>
      </c>
      <c r="E7" t="s">
        <v>132</v>
      </c>
      <c r="F7" t="s">
        <v>133</v>
      </c>
      <c r="G7">
        <v>938882</v>
      </c>
      <c r="H7" s="115">
        <v>46155</v>
      </c>
      <c r="I7" t="s">
        <v>136</v>
      </c>
      <c r="J7" t="s">
        <v>161</v>
      </c>
      <c r="M7" t="s">
        <v>162</v>
      </c>
      <c r="N7" s="78" t="s">
        <v>163</v>
      </c>
      <c r="O7" t="s">
        <v>160</v>
      </c>
      <c r="P7" t="s">
        <v>108</v>
      </c>
      <c r="Q7" t="s">
        <v>109</v>
      </c>
      <c r="R7" t="s">
        <v>24</v>
      </c>
      <c r="S7" t="s">
        <v>143</v>
      </c>
      <c r="T7" t="s">
        <v>150</v>
      </c>
      <c r="U7" t="s">
        <v>168</v>
      </c>
      <c r="V7" t="s">
        <v>151</v>
      </c>
      <c r="W7" t="s">
        <v>169</v>
      </c>
      <c r="X7" t="s">
        <v>164</v>
      </c>
      <c r="Y7" t="s">
        <v>164</v>
      </c>
      <c r="Z7" t="s">
        <v>1168</v>
      </c>
      <c r="AA7" t="s">
        <v>1169</v>
      </c>
      <c r="AB7" t="s">
        <v>1170</v>
      </c>
      <c r="AG7" t="s">
        <v>1167</v>
      </c>
    </row>
    <row r="8" spans="1:38" ht="15" customHeight="1">
      <c r="A8">
        <v>7</v>
      </c>
      <c r="B8" s="115">
        <v>46167.609594907401</v>
      </c>
      <c r="C8" s="115">
        <v>46167.613773148201</v>
      </c>
      <c r="D8" t="s">
        <v>170</v>
      </c>
      <c r="E8" t="s">
        <v>171</v>
      </c>
      <c r="F8" t="s">
        <v>171</v>
      </c>
      <c r="G8">
        <v>1091747</v>
      </c>
      <c r="H8" s="115">
        <v>46157</v>
      </c>
      <c r="I8" t="s">
        <v>136</v>
      </c>
      <c r="J8" t="s">
        <v>174</v>
      </c>
      <c r="L8" t="s">
        <v>175</v>
      </c>
      <c r="N8" t="s">
        <v>176</v>
      </c>
      <c r="O8" t="s">
        <v>173</v>
      </c>
      <c r="P8" t="s">
        <v>108</v>
      </c>
      <c r="Q8" t="s">
        <v>109</v>
      </c>
      <c r="R8" t="s">
        <v>21</v>
      </c>
      <c r="S8" t="s">
        <v>149</v>
      </c>
      <c r="T8" t="s">
        <v>181</v>
      </c>
      <c r="U8" t="s">
        <v>182</v>
      </c>
      <c r="V8" t="s">
        <v>151</v>
      </c>
      <c r="W8" t="s">
        <v>130</v>
      </c>
      <c r="X8" t="s">
        <v>177</v>
      </c>
      <c r="Y8" t="s">
        <v>177</v>
      </c>
      <c r="Z8" t="s">
        <v>1104</v>
      </c>
      <c r="AA8" t="s">
        <v>1105</v>
      </c>
      <c r="AB8" t="s">
        <v>1107</v>
      </c>
      <c r="AC8" t="s">
        <v>1106</v>
      </c>
      <c r="AD8" t="s">
        <v>1173</v>
      </c>
      <c r="AE8" t="s">
        <v>1155</v>
      </c>
      <c r="AF8" t="s">
        <v>1202</v>
      </c>
      <c r="AG8" t="s">
        <v>1201</v>
      </c>
    </row>
    <row r="9" spans="1:38" ht="15" customHeight="1">
      <c r="A9">
        <v>8</v>
      </c>
      <c r="B9" s="115">
        <v>46167.606423611098</v>
      </c>
      <c r="C9" s="115">
        <v>46167.614386574103</v>
      </c>
      <c r="D9" t="s">
        <v>131</v>
      </c>
      <c r="E9" t="s">
        <v>132</v>
      </c>
      <c r="F9" t="s">
        <v>133</v>
      </c>
      <c r="G9">
        <v>938882</v>
      </c>
      <c r="H9" s="115">
        <v>46153</v>
      </c>
      <c r="I9" t="s">
        <v>136</v>
      </c>
      <c r="J9" t="s">
        <v>161</v>
      </c>
      <c r="M9" t="s">
        <v>162</v>
      </c>
      <c r="O9" t="s">
        <v>107</v>
      </c>
      <c r="P9" t="s">
        <v>108</v>
      </c>
      <c r="Q9" t="s">
        <v>109</v>
      </c>
      <c r="R9" t="s">
        <v>22</v>
      </c>
      <c r="S9" t="s">
        <v>114</v>
      </c>
      <c r="T9" t="s">
        <v>150</v>
      </c>
      <c r="V9" t="s">
        <v>116</v>
      </c>
      <c r="W9" t="s">
        <v>130</v>
      </c>
      <c r="X9" t="s">
        <v>146</v>
      </c>
      <c r="Y9" t="s">
        <v>146</v>
      </c>
      <c r="Z9" t="s">
        <v>1139</v>
      </c>
      <c r="AA9" t="s">
        <v>1140</v>
      </c>
      <c r="AG9" t="s">
        <v>1350</v>
      </c>
    </row>
    <row r="10" spans="1:38" ht="15" customHeight="1">
      <c r="A10">
        <v>9</v>
      </c>
      <c r="B10" s="115">
        <v>46167.613796296297</v>
      </c>
      <c r="C10" s="115">
        <v>46167.6169212963</v>
      </c>
      <c r="D10" t="s">
        <v>170</v>
      </c>
      <c r="E10" t="s">
        <v>171</v>
      </c>
      <c r="F10" t="s">
        <v>171</v>
      </c>
      <c r="G10">
        <v>1091747</v>
      </c>
      <c r="H10" s="115">
        <v>46162</v>
      </c>
      <c r="I10" t="s">
        <v>136</v>
      </c>
      <c r="J10" t="s">
        <v>187</v>
      </c>
      <c r="K10" t="s">
        <v>188</v>
      </c>
      <c r="N10" t="s">
        <v>189</v>
      </c>
      <c r="O10" t="s">
        <v>135</v>
      </c>
      <c r="P10" t="s">
        <v>108</v>
      </c>
      <c r="Q10" t="s">
        <v>123</v>
      </c>
      <c r="R10" t="s">
        <v>24</v>
      </c>
      <c r="S10" t="s">
        <v>143</v>
      </c>
      <c r="T10" t="s">
        <v>181</v>
      </c>
      <c r="U10" t="s">
        <v>194</v>
      </c>
      <c r="V10" t="s">
        <v>129</v>
      </c>
      <c r="W10" t="s">
        <v>130</v>
      </c>
      <c r="X10" t="s">
        <v>190</v>
      </c>
      <c r="Y10" t="s">
        <v>190</v>
      </c>
      <c r="Z10" t="s">
        <v>1222</v>
      </c>
      <c r="AG10" t="s">
        <v>1221</v>
      </c>
    </row>
    <row r="11" spans="1:38" ht="15" customHeight="1">
      <c r="A11">
        <v>10</v>
      </c>
      <c r="B11" s="115">
        <v>46167.616956018501</v>
      </c>
      <c r="C11" s="115">
        <v>46167.618587962999</v>
      </c>
      <c r="D11" t="s">
        <v>170</v>
      </c>
      <c r="E11" t="s">
        <v>171</v>
      </c>
      <c r="F11" t="s">
        <v>171</v>
      </c>
      <c r="G11">
        <v>1091747</v>
      </c>
      <c r="H11" s="115">
        <v>46164</v>
      </c>
      <c r="I11" t="s">
        <v>136</v>
      </c>
      <c r="J11" t="s">
        <v>161</v>
      </c>
      <c r="M11" t="s">
        <v>197</v>
      </c>
      <c r="N11" t="s">
        <v>198</v>
      </c>
      <c r="O11" t="s">
        <v>195</v>
      </c>
      <c r="P11" t="s">
        <v>196</v>
      </c>
      <c r="Q11" t="s">
        <v>109</v>
      </c>
      <c r="R11" t="s">
        <v>22</v>
      </c>
      <c r="S11" t="s">
        <v>149</v>
      </c>
      <c r="T11" t="s">
        <v>203</v>
      </c>
      <c r="U11" t="s">
        <v>204</v>
      </c>
      <c r="V11" t="s">
        <v>151</v>
      </c>
      <c r="W11" t="s">
        <v>130</v>
      </c>
      <c r="X11" t="s">
        <v>199</v>
      </c>
      <c r="Y11" t="s">
        <v>1351</v>
      </c>
      <c r="Z11" t="s">
        <v>1204</v>
      </c>
      <c r="AA11" t="s">
        <v>1120</v>
      </c>
      <c r="AB11" t="s">
        <v>1091</v>
      </c>
      <c r="AC11" t="s">
        <v>1090</v>
      </c>
      <c r="AD11" t="s">
        <v>1089</v>
      </c>
      <c r="AG11" t="s">
        <v>1207</v>
      </c>
    </row>
    <row r="12" spans="1:38" ht="15" customHeight="1">
      <c r="A12">
        <v>11</v>
      </c>
      <c r="B12" s="115">
        <v>46167.618622685201</v>
      </c>
      <c r="C12" s="115">
        <v>46167.620173611103</v>
      </c>
      <c r="D12" t="s">
        <v>170</v>
      </c>
      <c r="E12" t="s">
        <v>171</v>
      </c>
      <c r="F12" t="s">
        <v>171</v>
      </c>
      <c r="G12">
        <v>1091747</v>
      </c>
      <c r="H12" s="115">
        <v>46164</v>
      </c>
      <c r="I12" t="s">
        <v>136</v>
      </c>
      <c r="J12" t="s">
        <v>161</v>
      </c>
      <c r="M12" t="s">
        <v>205</v>
      </c>
      <c r="N12" t="s">
        <v>206</v>
      </c>
      <c r="O12" t="s">
        <v>195</v>
      </c>
      <c r="P12" t="s">
        <v>196</v>
      </c>
      <c r="Q12" t="s">
        <v>109</v>
      </c>
      <c r="R12" t="s">
        <v>22</v>
      </c>
      <c r="S12" t="s">
        <v>149</v>
      </c>
      <c r="T12" t="s">
        <v>181</v>
      </c>
      <c r="U12" t="s">
        <v>210</v>
      </c>
      <c r="V12" t="s">
        <v>129</v>
      </c>
      <c r="W12" t="s">
        <v>130</v>
      </c>
      <c r="X12" t="s">
        <v>199</v>
      </c>
      <c r="Y12" t="s">
        <v>1351</v>
      </c>
      <c r="Z12" t="s">
        <v>1120</v>
      </c>
      <c r="AA12" t="s">
        <v>1091</v>
      </c>
      <c r="AB12" t="s">
        <v>1090</v>
      </c>
      <c r="AC12" t="s">
        <v>1204</v>
      </c>
      <c r="AD12" t="s">
        <v>1089</v>
      </c>
      <c r="AG12" t="s">
        <v>1259</v>
      </c>
    </row>
    <row r="13" spans="1:38" ht="15" customHeight="1">
      <c r="A13">
        <v>12</v>
      </c>
      <c r="B13" s="115">
        <v>46167.620208333297</v>
      </c>
      <c r="C13" s="115">
        <v>46167.623090277797</v>
      </c>
      <c r="D13" t="s">
        <v>170</v>
      </c>
      <c r="E13" t="s">
        <v>171</v>
      </c>
      <c r="F13" t="s">
        <v>171</v>
      </c>
      <c r="G13">
        <v>1091747</v>
      </c>
      <c r="H13" s="115">
        <v>46156</v>
      </c>
      <c r="I13" t="s">
        <v>136</v>
      </c>
      <c r="J13" t="s">
        <v>174</v>
      </c>
      <c r="L13" t="s">
        <v>175</v>
      </c>
      <c r="N13" t="s">
        <v>211</v>
      </c>
      <c r="O13" t="s">
        <v>135</v>
      </c>
      <c r="P13" t="s">
        <v>108</v>
      </c>
      <c r="Q13" t="s">
        <v>109</v>
      </c>
      <c r="R13" t="s">
        <v>22</v>
      </c>
      <c r="S13" t="s">
        <v>149</v>
      </c>
      <c r="T13" t="s">
        <v>181</v>
      </c>
      <c r="U13" t="s">
        <v>215</v>
      </c>
      <c r="V13" t="s">
        <v>129</v>
      </c>
      <c r="W13" t="s">
        <v>130</v>
      </c>
      <c r="X13" t="s">
        <v>139</v>
      </c>
      <c r="Y13" t="s">
        <v>139</v>
      </c>
      <c r="Z13" t="s">
        <v>1349</v>
      </c>
      <c r="AA13" t="s">
        <v>1096</v>
      </c>
      <c r="AB13" t="s">
        <v>1097</v>
      </c>
      <c r="AC13" t="s">
        <v>1070</v>
      </c>
      <c r="AD13" t="s">
        <v>1071</v>
      </c>
      <c r="AG13" t="s">
        <v>1190</v>
      </c>
    </row>
    <row r="14" spans="1:38" ht="15" customHeight="1">
      <c r="A14">
        <v>13</v>
      </c>
      <c r="B14" s="115">
        <v>46167.497291666703</v>
      </c>
      <c r="C14" s="115">
        <v>46167.642962963</v>
      </c>
      <c r="D14" t="s">
        <v>152</v>
      </c>
      <c r="E14" t="s">
        <v>153</v>
      </c>
      <c r="F14" t="s">
        <v>216</v>
      </c>
      <c r="G14">
        <v>869991</v>
      </c>
      <c r="H14" s="115">
        <v>46153</v>
      </c>
      <c r="I14" t="s">
        <v>136</v>
      </c>
      <c r="M14" t="s">
        <v>217</v>
      </c>
      <c r="N14" t="s">
        <v>218</v>
      </c>
      <c r="O14" t="s">
        <v>135</v>
      </c>
      <c r="P14" t="s">
        <v>108</v>
      </c>
      <c r="Q14" t="s">
        <v>109</v>
      </c>
      <c r="R14" t="s">
        <v>22</v>
      </c>
      <c r="S14" t="s">
        <v>149</v>
      </c>
      <c r="T14" t="s">
        <v>150</v>
      </c>
      <c r="V14" t="s">
        <v>116</v>
      </c>
      <c r="W14" t="s">
        <v>130</v>
      </c>
      <c r="X14" t="s">
        <v>139</v>
      </c>
      <c r="Y14" t="s">
        <v>139</v>
      </c>
      <c r="Z14" t="s">
        <v>1349</v>
      </c>
      <c r="AA14" t="s">
        <v>1070</v>
      </c>
      <c r="AB14" t="s">
        <v>1071</v>
      </c>
      <c r="AG14" t="s">
        <v>1143</v>
      </c>
    </row>
    <row r="15" spans="1:38" ht="15" customHeight="1">
      <c r="A15">
        <v>14</v>
      </c>
      <c r="B15" s="115">
        <v>46167.643425925897</v>
      </c>
      <c r="C15" s="115">
        <v>46167.648206018501</v>
      </c>
      <c r="D15" t="s">
        <v>152</v>
      </c>
      <c r="E15" t="s">
        <v>153</v>
      </c>
      <c r="F15" t="s">
        <v>153</v>
      </c>
      <c r="G15">
        <v>869991</v>
      </c>
      <c r="H15" s="115">
        <v>46162</v>
      </c>
      <c r="I15" t="s">
        <v>136</v>
      </c>
      <c r="M15" t="s">
        <v>222</v>
      </c>
      <c r="N15" t="s">
        <v>108</v>
      </c>
      <c r="O15" t="s">
        <v>195</v>
      </c>
      <c r="P15" t="s">
        <v>221</v>
      </c>
      <c r="Q15" t="s">
        <v>109</v>
      </c>
      <c r="R15" t="s">
        <v>22</v>
      </c>
      <c r="S15" t="s">
        <v>149</v>
      </c>
      <c r="T15" t="s">
        <v>226</v>
      </c>
      <c r="V15" t="s">
        <v>116</v>
      </c>
      <c r="W15" t="s">
        <v>169</v>
      </c>
      <c r="X15" t="s">
        <v>124</v>
      </c>
      <c r="Y15" t="s">
        <v>124</v>
      </c>
      <c r="Z15" t="s">
        <v>1223</v>
      </c>
      <c r="AG15" t="s">
        <v>1058</v>
      </c>
      <c r="AH15" t="s">
        <v>1177</v>
      </c>
    </row>
    <row r="16" spans="1:38" ht="15" customHeight="1">
      <c r="A16">
        <v>15</v>
      </c>
      <c r="B16" s="115">
        <v>46167.643761574102</v>
      </c>
      <c r="C16" s="115">
        <v>46167.648969907401</v>
      </c>
      <c r="D16" t="s">
        <v>227</v>
      </c>
      <c r="E16" t="s">
        <v>228</v>
      </c>
      <c r="F16" t="s">
        <v>228</v>
      </c>
      <c r="G16">
        <v>759427</v>
      </c>
      <c r="H16" s="115">
        <v>46155</v>
      </c>
      <c r="I16" t="s">
        <v>136</v>
      </c>
      <c r="J16" t="s">
        <v>174</v>
      </c>
      <c r="L16" t="s">
        <v>217</v>
      </c>
      <c r="N16" t="s">
        <v>114</v>
      </c>
      <c r="O16" t="s">
        <v>135</v>
      </c>
      <c r="P16" t="s">
        <v>108</v>
      </c>
      <c r="Q16" t="s">
        <v>109</v>
      </c>
      <c r="R16" t="s">
        <v>21</v>
      </c>
      <c r="S16" t="s">
        <v>149</v>
      </c>
      <c r="T16" t="s">
        <v>233</v>
      </c>
      <c r="V16" t="s">
        <v>116</v>
      </c>
      <c r="W16" t="s">
        <v>130</v>
      </c>
      <c r="X16" t="s">
        <v>177</v>
      </c>
      <c r="Y16" t="s">
        <v>177</v>
      </c>
      <c r="Z16" t="s">
        <v>1104</v>
      </c>
      <c r="AA16" t="s">
        <v>1105</v>
      </c>
      <c r="AB16" t="s">
        <v>1107</v>
      </c>
      <c r="AC16" t="s">
        <v>1173</v>
      </c>
      <c r="AD16" t="s">
        <v>1155</v>
      </c>
      <c r="AG16" t="s">
        <v>1172</v>
      </c>
    </row>
    <row r="17" spans="1:37" ht="15" customHeight="1">
      <c r="A17">
        <v>16</v>
      </c>
      <c r="B17" s="115">
        <v>46167.650891203702</v>
      </c>
      <c r="C17" s="115">
        <v>46167.661608796298</v>
      </c>
      <c r="D17" t="s">
        <v>227</v>
      </c>
      <c r="E17" t="s">
        <v>228</v>
      </c>
      <c r="F17" t="s">
        <v>234</v>
      </c>
      <c r="G17">
        <v>759427</v>
      </c>
      <c r="H17" s="115">
        <v>46155</v>
      </c>
      <c r="I17" t="s">
        <v>136</v>
      </c>
      <c r="J17" t="s">
        <v>174</v>
      </c>
      <c r="L17" t="s">
        <v>217</v>
      </c>
      <c r="N17" t="s">
        <v>114</v>
      </c>
      <c r="O17" t="s">
        <v>135</v>
      </c>
      <c r="P17" t="s">
        <v>108</v>
      </c>
      <c r="Q17" t="s">
        <v>109</v>
      </c>
      <c r="R17" t="s">
        <v>22</v>
      </c>
      <c r="S17" t="s">
        <v>149</v>
      </c>
      <c r="T17" t="s">
        <v>181</v>
      </c>
      <c r="V17" t="s">
        <v>151</v>
      </c>
      <c r="W17" t="s">
        <v>130</v>
      </c>
      <c r="X17" t="s">
        <v>146</v>
      </c>
      <c r="Y17" t="s">
        <v>146</v>
      </c>
      <c r="Z17" t="s">
        <v>1139</v>
      </c>
      <c r="AA17" t="s">
        <v>1175</v>
      </c>
      <c r="AG17" t="s">
        <v>186</v>
      </c>
    </row>
    <row r="18" spans="1:37" ht="15" customHeight="1">
      <c r="A18">
        <v>17</v>
      </c>
      <c r="B18" s="115">
        <v>46167.661666666703</v>
      </c>
      <c r="C18" s="115">
        <v>46167.667870370402</v>
      </c>
      <c r="D18" t="s">
        <v>227</v>
      </c>
      <c r="E18" t="s">
        <v>228</v>
      </c>
      <c r="F18" t="s">
        <v>228</v>
      </c>
      <c r="G18">
        <v>759427</v>
      </c>
      <c r="H18" s="115">
        <v>46154</v>
      </c>
      <c r="I18" t="s">
        <v>136</v>
      </c>
      <c r="J18" t="s">
        <v>174</v>
      </c>
      <c r="L18" t="s">
        <v>217</v>
      </c>
      <c r="N18" t="s">
        <v>114</v>
      </c>
      <c r="O18" t="s">
        <v>135</v>
      </c>
      <c r="P18" t="s">
        <v>108</v>
      </c>
      <c r="Q18" t="s">
        <v>109</v>
      </c>
      <c r="R18" t="s">
        <v>22</v>
      </c>
      <c r="S18" t="s">
        <v>149</v>
      </c>
      <c r="T18" t="s">
        <v>181</v>
      </c>
      <c r="V18" t="s">
        <v>151</v>
      </c>
      <c r="W18" t="s">
        <v>130</v>
      </c>
      <c r="X18" t="s">
        <v>110</v>
      </c>
      <c r="Y18" t="s">
        <v>110</v>
      </c>
      <c r="Z18" t="s">
        <v>1151</v>
      </c>
      <c r="AA18" t="s">
        <v>1152</v>
      </c>
      <c r="AB18" t="s">
        <v>1153</v>
      </c>
      <c r="AG18" t="s">
        <v>186</v>
      </c>
    </row>
    <row r="19" spans="1:37" ht="15" customHeight="1">
      <c r="A19">
        <v>18</v>
      </c>
      <c r="B19" s="115">
        <v>46167.862997685203</v>
      </c>
      <c r="C19" s="115">
        <v>46167.866273148204</v>
      </c>
      <c r="D19" t="s">
        <v>238</v>
      </c>
      <c r="E19" t="s">
        <v>239</v>
      </c>
      <c r="F19" t="s">
        <v>239</v>
      </c>
      <c r="G19">
        <v>1060521</v>
      </c>
      <c r="H19" s="115">
        <v>46167</v>
      </c>
      <c r="I19" t="s">
        <v>241</v>
      </c>
      <c r="J19" t="s">
        <v>161</v>
      </c>
      <c r="M19" t="s">
        <v>242</v>
      </c>
      <c r="N19" t="s">
        <v>242</v>
      </c>
      <c r="O19" t="s">
        <v>135</v>
      </c>
      <c r="P19" t="s">
        <v>108</v>
      </c>
      <c r="Q19" t="s">
        <v>109</v>
      </c>
      <c r="R19" t="s">
        <v>22</v>
      </c>
      <c r="S19" t="s">
        <v>143</v>
      </c>
      <c r="T19" t="s">
        <v>226</v>
      </c>
      <c r="U19" t="s">
        <v>246</v>
      </c>
      <c r="V19" t="s">
        <v>116</v>
      </c>
      <c r="W19" t="s">
        <v>169</v>
      </c>
      <c r="X19" t="s">
        <v>124</v>
      </c>
      <c r="Y19" t="s">
        <v>124</v>
      </c>
      <c r="Z19" t="s">
        <v>1059</v>
      </c>
      <c r="AG19" t="s">
        <v>1177</v>
      </c>
    </row>
    <row r="20" spans="1:37" ht="15" customHeight="1">
      <c r="A20">
        <v>19</v>
      </c>
      <c r="B20" s="115">
        <v>46168.350370370397</v>
      </c>
      <c r="C20" s="115">
        <v>46168.354155092602</v>
      </c>
      <c r="D20" t="s">
        <v>118</v>
      </c>
      <c r="E20" t="s">
        <v>119</v>
      </c>
      <c r="F20" t="s">
        <v>247</v>
      </c>
      <c r="G20">
        <v>584819</v>
      </c>
      <c r="H20" s="115">
        <v>46150</v>
      </c>
      <c r="I20" t="s">
        <v>136</v>
      </c>
      <c r="J20" t="s">
        <v>161</v>
      </c>
      <c r="M20" t="s">
        <v>249</v>
      </c>
      <c r="N20" t="s">
        <v>250</v>
      </c>
      <c r="O20" t="s">
        <v>135</v>
      </c>
      <c r="P20" t="s">
        <v>108</v>
      </c>
      <c r="Q20" t="s">
        <v>248</v>
      </c>
      <c r="R20" t="s">
        <v>23</v>
      </c>
      <c r="S20" t="s">
        <v>149</v>
      </c>
      <c r="T20" t="s">
        <v>181</v>
      </c>
      <c r="V20" t="s">
        <v>129</v>
      </c>
      <c r="W20" t="s">
        <v>130</v>
      </c>
      <c r="X20" t="s">
        <v>252</v>
      </c>
      <c r="Y20" t="s">
        <v>252</v>
      </c>
      <c r="AK20" t="s">
        <v>251</v>
      </c>
    </row>
    <row r="21" spans="1:37" ht="15" customHeight="1">
      <c r="A21">
        <v>20</v>
      </c>
      <c r="B21" s="115">
        <v>46168.354247685202</v>
      </c>
      <c r="C21" s="115">
        <v>46168.357372685197</v>
      </c>
      <c r="D21" t="s">
        <v>118</v>
      </c>
      <c r="E21" t="s">
        <v>119</v>
      </c>
      <c r="F21" t="s">
        <v>247</v>
      </c>
      <c r="G21">
        <v>584819</v>
      </c>
      <c r="H21" s="115">
        <v>46150</v>
      </c>
      <c r="I21" t="s">
        <v>136</v>
      </c>
      <c r="J21" t="s">
        <v>187</v>
      </c>
      <c r="K21" t="s">
        <v>254</v>
      </c>
      <c r="N21" t="s">
        <v>255</v>
      </c>
      <c r="O21" t="s">
        <v>135</v>
      </c>
      <c r="P21" t="s">
        <v>108</v>
      </c>
      <c r="Q21" t="s">
        <v>109</v>
      </c>
      <c r="R21" t="s">
        <v>25</v>
      </c>
      <c r="S21" t="s">
        <v>149</v>
      </c>
      <c r="T21" t="s">
        <v>181</v>
      </c>
      <c r="V21" t="s">
        <v>129</v>
      </c>
      <c r="W21" t="s">
        <v>130</v>
      </c>
      <c r="X21" t="s">
        <v>256</v>
      </c>
      <c r="Y21" t="s">
        <v>256</v>
      </c>
      <c r="Z21" t="s">
        <v>1053</v>
      </c>
      <c r="AG21" t="s">
        <v>715</v>
      </c>
    </row>
    <row r="22" spans="1:37" ht="270" customHeight="1">
      <c r="A22">
        <v>21</v>
      </c>
      <c r="B22" s="115">
        <v>46168.357824074097</v>
      </c>
      <c r="C22" s="115">
        <v>46168.362245370401</v>
      </c>
      <c r="D22" t="s">
        <v>118</v>
      </c>
      <c r="E22" t="s">
        <v>119</v>
      </c>
      <c r="F22" t="s">
        <v>247</v>
      </c>
      <c r="G22">
        <v>584819</v>
      </c>
      <c r="H22" s="115">
        <v>46156</v>
      </c>
      <c r="I22" t="s">
        <v>136</v>
      </c>
      <c r="J22" t="s">
        <v>161</v>
      </c>
      <c r="M22" t="s">
        <v>260</v>
      </c>
      <c r="N22" t="s">
        <v>261</v>
      </c>
      <c r="O22" t="s">
        <v>135</v>
      </c>
      <c r="P22" t="s">
        <v>108</v>
      </c>
      <c r="Q22" t="s">
        <v>109</v>
      </c>
      <c r="R22" t="s">
        <v>24</v>
      </c>
      <c r="S22" t="s">
        <v>149</v>
      </c>
      <c r="T22" t="s">
        <v>181</v>
      </c>
      <c r="U22" s="78" t="s">
        <v>265</v>
      </c>
      <c r="V22" t="s">
        <v>151</v>
      </c>
      <c r="W22" t="s">
        <v>130</v>
      </c>
      <c r="X22" t="s">
        <v>190</v>
      </c>
      <c r="Y22" t="s">
        <v>190</v>
      </c>
      <c r="Z22" t="s">
        <v>1063</v>
      </c>
      <c r="AG22" t="s">
        <v>1191</v>
      </c>
      <c r="AH22" t="s">
        <v>1192</v>
      </c>
    </row>
    <row r="23" spans="1:37" ht="54.75" customHeight="1">
      <c r="A23">
        <v>22</v>
      </c>
      <c r="B23" s="115">
        <v>46168.388032407398</v>
      </c>
      <c r="C23" s="115">
        <v>46168.394282407397</v>
      </c>
      <c r="D23" t="s">
        <v>118</v>
      </c>
      <c r="E23" t="s">
        <v>119</v>
      </c>
      <c r="F23" t="s">
        <v>247</v>
      </c>
      <c r="G23">
        <v>584819</v>
      </c>
      <c r="H23" s="115">
        <v>46157</v>
      </c>
      <c r="I23" t="s">
        <v>136</v>
      </c>
      <c r="J23" t="s">
        <v>161</v>
      </c>
      <c r="M23" t="s">
        <v>260</v>
      </c>
      <c r="N23" t="s">
        <v>266</v>
      </c>
      <c r="O23" t="s">
        <v>122</v>
      </c>
      <c r="P23" t="s">
        <v>108</v>
      </c>
      <c r="Q23" t="s">
        <v>123</v>
      </c>
      <c r="R23" t="s">
        <v>22</v>
      </c>
      <c r="S23" t="s">
        <v>143</v>
      </c>
      <c r="T23" t="s">
        <v>268</v>
      </c>
      <c r="U23" s="78" t="s">
        <v>269</v>
      </c>
      <c r="V23" t="s">
        <v>116</v>
      </c>
      <c r="W23" t="s">
        <v>169</v>
      </c>
      <c r="X23" t="s">
        <v>124</v>
      </c>
      <c r="Y23" t="s">
        <v>124</v>
      </c>
      <c r="Z23" t="s">
        <v>1125</v>
      </c>
      <c r="AA23" t="s">
        <v>1126</v>
      </c>
      <c r="AB23" t="s">
        <v>1059</v>
      </c>
      <c r="AG23" t="s">
        <v>1058</v>
      </c>
    </row>
    <row r="24" spans="1:37" ht="81.75" customHeight="1">
      <c r="A24">
        <v>23</v>
      </c>
      <c r="B24" s="115">
        <v>46168.434687499997</v>
      </c>
      <c r="C24" s="115">
        <v>46168.4448148148</v>
      </c>
      <c r="D24" t="s">
        <v>270</v>
      </c>
      <c r="E24" t="s">
        <v>271</v>
      </c>
      <c r="F24" t="s">
        <v>272</v>
      </c>
      <c r="G24">
        <v>1109810</v>
      </c>
      <c r="H24" s="115">
        <v>46157</v>
      </c>
      <c r="I24" t="s">
        <v>136</v>
      </c>
      <c r="J24" t="s">
        <v>161</v>
      </c>
      <c r="M24" t="s">
        <v>274</v>
      </c>
      <c r="N24" t="s">
        <v>275</v>
      </c>
      <c r="O24" t="s">
        <v>135</v>
      </c>
      <c r="P24" t="s">
        <v>108</v>
      </c>
      <c r="Q24" t="s">
        <v>109</v>
      </c>
      <c r="R24" t="s">
        <v>22</v>
      </c>
      <c r="S24" t="s">
        <v>149</v>
      </c>
      <c r="T24" t="s">
        <v>181</v>
      </c>
      <c r="U24" s="78" t="s">
        <v>279</v>
      </c>
      <c r="V24" t="s">
        <v>129</v>
      </c>
      <c r="W24" t="s">
        <v>130</v>
      </c>
      <c r="X24" t="s">
        <v>199</v>
      </c>
      <c r="Y24" t="s">
        <v>1351</v>
      </c>
      <c r="Z24" t="s">
        <v>1120</v>
      </c>
      <c r="AG24" t="s">
        <v>1203</v>
      </c>
    </row>
    <row r="25" spans="1:37" ht="95.25" customHeight="1">
      <c r="A25">
        <v>24</v>
      </c>
      <c r="B25" s="115">
        <v>46168.444918981499</v>
      </c>
      <c r="C25" s="115">
        <v>46168.447314814803</v>
      </c>
      <c r="D25" t="s">
        <v>270</v>
      </c>
      <c r="E25" t="s">
        <v>271</v>
      </c>
      <c r="F25" t="s">
        <v>272</v>
      </c>
      <c r="G25">
        <v>1109810</v>
      </c>
      <c r="H25" s="115">
        <v>46160</v>
      </c>
      <c r="I25" t="s">
        <v>136</v>
      </c>
      <c r="J25" t="s">
        <v>161</v>
      </c>
      <c r="M25" t="s">
        <v>274</v>
      </c>
      <c r="N25" t="s">
        <v>275</v>
      </c>
      <c r="O25" t="s">
        <v>135</v>
      </c>
      <c r="P25" t="s">
        <v>108</v>
      </c>
      <c r="Q25" t="s">
        <v>109</v>
      </c>
      <c r="R25" t="s">
        <v>22</v>
      </c>
      <c r="S25" t="s">
        <v>149</v>
      </c>
      <c r="T25" t="s">
        <v>181</v>
      </c>
      <c r="U25" s="78" t="s">
        <v>283</v>
      </c>
      <c r="V25" t="s">
        <v>129</v>
      </c>
      <c r="W25" t="s">
        <v>130</v>
      </c>
      <c r="X25" t="s">
        <v>199</v>
      </c>
      <c r="Y25" t="s">
        <v>1351</v>
      </c>
      <c r="Z25" t="s">
        <v>1204</v>
      </c>
      <c r="AG25" t="s">
        <v>1203</v>
      </c>
      <c r="AH25" t="s">
        <v>1088</v>
      </c>
    </row>
    <row r="26" spans="1:37" ht="95.25" customHeight="1">
      <c r="A26">
        <v>25</v>
      </c>
      <c r="B26" s="115">
        <v>46168.447361111103</v>
      </c>
      <c r="C26" s="115">
        <v>46168.448657407404</v>
      </c>
      <c r="D26" t="s">
        <v>270</v>
      </c>
      <c r="E26" t="s">
        <v>271</v>
      </c>
      <c r="F26" t="s">
        <v>271</v>
      </c>
      <c r="G26">
        <v>1109810</v>
      </c>
      <c r="H26" s="115">
        <v>46161</v>
      </c>
      <c r="I26" t="s">
        <v>136</v>
      </c>
      <c r="J26" t="s">
        <v>161</v>
      </c>
      <c r="M26" t="s">
        <v>274</v>
      </c>
      <c r="N26" t="s">
        <v>275</v>
      </c>
      <c r="O26" t="s">
        <v>135</v>
      </c>
      <c r="P26" t="s">
        <v>108</v>
      </c>
      <c r="Q26" t="s">
        <v>109</v>
      </c>
      <c r="R26" t="s">
        <v>22</v>
      </c>
      <c r="S26" t="s">
        <v>149</v>
      </c>
      <c r="T26" t="s">
        <v>181</v>
      </c>
      <c r="U26" s="78" t="s">
        <v>283</v>
      </c>
      <c r="V26" t="s">
        <v>129</v>
      </c>
      <c r="W26" t="s">
        <v>130</v>
      </c>
      <c r="X26" t="s">
        <v>199</v>
      </c>
      <c r="Y26" t="s">
        <v>1351</v>
      </c>
      <c r="Z26" t="s">
        <v>1204</v>
      </c>
      <c r="AG26" t="s">
        <v>1203</v>
      </c>
    </row>
    <row r="27" spans="1:37" ht="15" customHeight="1">
      <c r="A27">
        <v>26</v>
      </c>
      <c r="B27" s="115">
        <v>46168.516828703701</v>
      </c>
      <c r="C27" s="115">
        <v>46168.519884259302</v>
      </c>
      <c r="D27" t="s">
        <v>131</v>
      </c>
      <c r="E27" t="s">
        <v>132</v>
      </c>
      <c r="F27" t="s">
        <v>133</v>
      </c>
      <c r="G27">
        <v>938882</v>
      </c>
      <c r="H27" s="115">
        <v>46150</v>
      </c>
      <c r="I27" t="s">
        <v>136</v>
      </c>
      <c r="J27" t="s">
        <v>174</v>
      </c>
      <c r="L27" t="s">
        <v>285</v>
      </c>
      <c r="N27" t="s">
        <v>286</v>
      </c>
      <c r="O27" t="s">
        <v>107</v>
      </c>
      <c r="P27" t="s">
        <v>108</v>
      </c>
      <c r="Q27" t="s">
        <v>109</v>
      </c>
      <c r="R27" t="s">
        <v>22</v>
      </c>
      <c r="S27" t="s">
        <v>149</v>
      </c>
      <c r="T27" t="s">
        <v>290</v>
      </c>
      <c r="U27" t="s">
        <v>291</v>
      </c>
      <c r="V27" t="s">
        <v>129</v>
      </c>
      <c r="W27" t="s">
        <v>130</v>
      </c>
      <c r="X27" t="s">
        <v>199</v>
      </c>
      <c r="Y27" t="s">
        <v>1351</v>
      </c>
      <c r="Z27" t="s">
        <v>1089</v>
      </c>
      <c r="AG27" t="s">
        <v>1117</v>
      </c>
    </row>
    <row r="28" spans="1:37" ht="15" customHeight="1">
      <c r="A28">
        <v>27</v>
      </c>
      <c r="B28" s="115">
        <v>46168.592523148203</v>
      </c>
      <c r="C28" s="115">
        <v>46168.595775463</v>
      </c>
      <c r="D28" t="s">
        <v>103</v>
      </c>
      <c r="E28" t="s">
        <v>104</v>
      </c>
      <c r="F28" t="s">
        <v>105</v>
      </c>
      <c r="G28">
        <v>1126529</v>
      </c>
      <c r="H28" s="115">
        <v>46164</v>
      </c>
      <c r="I28" t="s">
        <v>136</v>
      </c>
      <c r="J28" t="s">
        <v>174</v>
      </c>
      <c r="L28" t="s">
        <v>292</v>
      </c>
      <c r="N28" t="s">
        <v>293</v>
      </c>
      <c r="O28" t="s">
        <v>107</v>
      </c>
      <c r="P28" t="s">
        <v>108</v>
      </c>
      <c r="Q28" t="s">
        <v>109</v>
      </c>
      <c r="R28" t="s">
        <v>22</v>
      </c>
      <c r="S28" t="s">
        <v>143</v>
      </c>
      <c r="T28" t="s">
        <v>181</v>
      </c>
      <c r="V28" t="s">
        <v>151</v>
      </c>
      <c r="W28" t="s">
        <v>130</v>
      </c>
      <c r="X28" t="s">
        <v>199</v>
      </c>
      <c r="Y28" t="s">
        <v>1351</v>
      </c>
      <c r="Z28" t="s">
        <v>1204</v>
      </c>
      <c r="AA28" t="s">
        <v>1120</v>
      </c>
      <c r="AB28" t="s">
        <v>1089</v>
      </c>
      <c r="AG28" t="s">
        <v>1119</v>
      </c>
    </row>
    <row r="29" spans="1:37" ht="15" customHeight="1">
      <c r="A29">
        <v>28</v>
      </c>
      <c r="B29" s="115">
        <v>46168.656909722202</v>
      </c>
      <c r="C29" s="115">
        <v>46168.658611111103</v>
      </c>
      <c r="D29" t="s">
        <v>296</v>
      </c>
      <c r="E29" t="s">
        <v>297</v>
      </c>
      <c r="F29" t="s">
        <v>297</v>
      </c>
      <c r="G29">
        <v>759440</v>
      </c>
      <c r="H29" s="115">
        <v>46149</v>
      </c>
      <c r="I29" t="s">
        <v>136</v>
      </c>
      <c r="J29" t="s">
        <v>161</v>
      </c>
      <c r="M29" t="s">
        <v>300</v>
      </c>
      <c r="N29" t="s">
        <v>301</v>
      </c>
      <c r="O29" t="s">
        <v>135</v>
      </c>
      <c r="P29" t="s">
        <v>108</v>
      </c>
      <c r="Q29" t="s">
        <v>299</v>
      </c>
      <c r="R29" t="s">
        <v>22</v>
      </c>
      <c r="S29" t="s">
        <v>143</v>
      </c>
      <c r="T29" t="s">
        <v>150</v>
      </c>
      <c r="V29" t="s">
        <v>151</v>
      </c>
      <c r="W29" t="s">
        <v>130</v>
      </c>
      <c r="X29" t="s">
        <v>302</v>
      </c>
      <c r="Y29" t="s">
        <v>302</v>
      </c>
      <c r="Z29" t="s">
        <v>1092</v>
      </c>
      <c r="AA29" t="s">
        <v>1093</v>
      </c>
      <c r="AB29" t="s">
        <v>1094</v>
      </c>
      <c r="AG29" t="s">
        <v>186</v>
      </c>
    </row>
    <row r="30" spans="1:37" ht="15" customHeight="1">
      <c r="A30">
        <v>29</v>
      </c>
      <c r="B30" s="115">
        <v>46168.6575115741</v>
      </c>
      <c r="C30" s="115">
        <v>46168.660081018497</v>
      </c>
      <c r="D30" t="s">
        <v>270</v>
      </c>
      <c r="E30" t="s">
        <v>271</v>
      </c>
      <c r="F30" t="s">
        <v>272</v>
      </c>
      <c r="G30">
        <v>1109810</v>
      </c>
      <c r="H30" s="115">
        <v>46148</v>
      </c>
      <c r="I30" t="s">
        <v>136</v>
      </c>
      <c r="J30" t="s">
        <v>161</v>
      </c>
      <c r="M30" t="s">
        <v>306</v>
      </c>
      <c r="N30" t="s">
        <v>275</v>
      </c>
      <c r="O30" t="s">
        <v>195</v>
      </c>
      <c r="P30" t="s">
        <v>305</v>
      </c>
      <c r="Q30" t="s">
        <v>109</v>
      </c>
      <c r="R30" t="s">
        <v>22</v>
      </c>
      <c r="S30" t="s">
        <v>149</v>
      </c>
      <c r="T30" t="s">
        <v>181</v>
      </c>
      <c r="U30" t="s">
        <v>310</v>
      </c>
      <c r="V30" t="s">
        <v>129</v>
      </c>
      <c r="W30" t="s">
        <v>130</v>
      </c>
      <c r="X30" t="s">
        <v>124</v>
      </c>
      <c r="Y30" t="s">
        <v>124</v>
      </c>
      <c r="Z30" t="s">
        <v>1073</v>
      </c>
      <c r="AA30" t="s">
        <v>1059</v>
      </c>
      <c r="AG30" t="s">
        <v>1072</v>
      </c>
    </row>
    <row r="31" spans="1:37" ht="15" customHeight="1">
      <c r="A31">
        <v>30</v>
      </c>
      <c r="B31" s="115">
        <v>46168.660115740699</v>
      </c>
      <c r="C31" s="115">
        <v>46168.661898148202</v>
      </c>
      <c r="D31" t="s">
        <v>270</v>
      </c>
      <c r="E31" t="s">
        <v>271</v>
      </c>
      <c r="F31" t="s">
        <v>272</v>
      </c>
      <c r="G31">
        <v>1109810</v>
      </c>
      <c r="H31" s="115">
        <v>46155</v>
      </c>
      <c r="I31" t="s">
        <v>136</v>
      </c>
      <c r="J31" t="s">
        <v>161</v>
      </c>
      <c r="M31" t="s">
        <v>311</v>
      </c>
      <c r="N31" t="s">
        <v>275</v>
      </c>
      <c r="O31" t="s">
        <v>195</v>
      </c>
      <c r="P31" t="s">
        <v>221</v>
      </c>
      <c r="Q31" t="s">
        <v>109</v>
      </c>
      <c r="R31" t="s">
        <v>22</v>
      </c>
      <c r="S31" t="s">
        <v>149</v>
      </c>
      <c r="T31" t="s">
        <v>181</v>
      </c>
      <c r="U31" t="s">
        <v>315</v>
      </c>
      <c r="V31" t="s">
        <v>129</v>
      </c>
      <c r="W31" t="s">
        <v>130</v>
      </c>
      <c r="X31" t="s">
        <v>124</v>
      </c>
      <c r="Y31" t="s">
        <v>124</v>
      </c>
      <c r="Z31" t="s">
        <v>1127</v>
      </c>
      <c r="AG31" t="s">
        <v>1176</v>
      </c>
    </row>
    <row r="32" spans="1:37" ht="15" customHeight="1">
      <c r="A32">
        <v>31</v>
      </c>
      <c r="B32" s="115">
        <v>46168.595833333296</v>
      </c>
      <c r="C32" s="115">
        <v>46168.673634259299</v>
      </c>
      <c r="D32" t="s">
        <v>103</v>
      </c>
      <c r="E32" t="s">
        <v>104</v>
      </c>
      <c r="F32" t="s">
        <v>105</v>
      </c>
      <c r="G32">
        <v>1126529</v>
      </c>
      <c r="H32" s="115">
        <v>46164</v>
      </c>
      <c r="I32" t="s">
        <v>136</v>
      </c>
      <c r="J32" t="s">
        <v>174</v>
      </c>
      <c r="L32" t="s">
        <v>292</v>
      </c>
      <c r="N32" t="s">
        <v>293</v>
      </c>
      <c r="O32" t="s">
        <v>107</v>
      </c>
      <c r="P32" t="s">
        <v>108</v>
      </c>
      <c r="Q32" t="s">
        <v>109</v>
      </c>
      <c r="R32" t="s">
        <v>22</v>
      </c>
      <c r="S32" t="s">
        <v>114</v>
      </c>
      <c r="T32" t="s">
        <v>319</v>
      </c>
      <c r="U32" t="s">
        <v>320</v>
      </c>
      <c r="V32" t="s">
        <v>151</v>
      </c>
      <c r="W32" t="s">
        <v>130</v>
      </c>
      <c r="X32" t="s">
        <v>146</v>
      </c>
      <c r="Y32" t="s">
        <v>146</v>
      </c>
      <c r="Z32" t="s">
        <v>1140</v>
      </c>
      <c r="AA32" t="s">
        <v>1112</v>
      </c>
      <c r="AG32" t="s">
        <v>1352</v>
      </c>
    </row>
    <row r="33" spans="1:37" ht="15" customHeight="1">
      <c r="A33">
        <v>32</v>
      </c>
      <c r="B33" s="115">
        <v>46168.673668981501</v>
      </c>
      <c r="C33" s="115">
        <v>46168.676006944399</v>
      </c>
      <c r="D33" t="s">
        <v>103</v>
      </c>
      <c r="E33" t="s">
        <v>104</v>
      </c>
      <c r="F33" t="s">
        <v>105</v>
      </c>
      <c r="G33">
        <v>1126529</v>
      </c>
      <c r="H33" s="115">
        <v>46164</v>
      </c>
      <c r="I33" t="s">
        <v>136</v>
      </c>
      <c r="J33" t="s">
        <v>174</v>
      </c>
      <c r="L33" t="s">
        <v>292</v>
      </c>
      <c r="N33" t="s">
        <v>293</v>
      </c>
      <c r="O33" t="s">
        <v>107</v>
      </c>
      <c r="P33" t="s">
        <v>108</v>
      </c>
      <c r="Q33" t="s">
        <v>109</v>
      </c>
      <c r="R33" t="s">
        <v>22</v>
      </c>
      <c r="S33" t="s">
        <v>149</v>
      </c>
      <c r="T33" t="s">
        <v>325</v>
      </c>
      <c r="U33" t="s">
        <v>326</v>
      </c>
      <c r="V33" t="s">
        <v>151</v>
      </c>
      <c r="W33" t="s">
        <v>130</v>
      </c>
      <c r="X33" t="s">
        <v>321</v>
      </c>
      <c r="Y33" t="s">
        <v>321</v>
      </c>
      <c r="Z33" t="s">
        <v>1262</v>
      </c>
      <c r="AA33" t="s">
        <v>1243</v>
      </c>
      <c r="AG33" t="s">
        <v>1261</v>
      </c>
    </row>
    <row r="34" spans="1:37" ht="15" customHeight="1">
      <c r="A34">
        <v>33</v>
      </c>
      <c r="B34" s="115">
        <v>46168.683055555601</v>
      </c>
      <c r="C34" s="115">
        <v>46168.685532407399</v>
      </c>
      <c r="D34" t="s">
        <v>296</v>
      </c>
      <c r="E34" t="s">
        <v>297</v>
      </c>
      <c r="F34" t="s">
        <v>297</v>
      </c>
      <c r="G34">
        <v>759440</v>
      </c>
      <c r="H34" s="115">
        <v>46148</v>
      </c>
      <c r="I34" t="s">
        <v>136</v>
      </c>
      <c r="J34" t="s">
        <v>161</v>
      </c>
      <c r="M34" t="s">
        <v>327</v>
      </c>
      <c r="N34" t="s">
        <v>328</v>
      </c>
      <c r="O34" t="s">
        <v>160</v>
      </c>
      <c r="P34" t="s">
        <v>108</v>
      </c>
      <c r="Q34" t="s">
        <v>123</v>
      </c>
      <c r="R34" t="s">
        <v>22</v>
      </c>
      <c r="S34" t="s">
        <v>149</v>
      </c>
      <c r="T34" t="s">
        <v>181</v>
      </c>
      <c r="V34" t="s">
        <v>129</v>
      </c>
      <c r="W34" t="s">
        <v>130</v>
      </c>
      <c r="X34" t="s">
        <v>329</v>
      </c>
      <c r="Y34" t="s">
        <v>1353</v>
      </c>
    </row>
    <row r="35" spans="1:37" ht="15" customHeight="1">
      <c r="A35">
        <v>34</v>
      </c>
      <c r="B35" s="115">
        <v>46168.6855671296</v>
      </c>
      <c r="C35" s="115">
        <v>46168.688159722202</v>
      </c>
      <c r="D35" t="s">
        <v>296</v>
      </c>
      <c r="E35" t="s">
        <v>297</v>
      </c>
      <c r="F35" t="s">
        <v>297</v>
      </c>
      <c r="G35">
        <v>759440</v>
      </c>
      <c r="H35" s="115">
        <v>46153</v>
      </c>
      <c r="I35" t="s">
        <v>136</v>
      </c>
      <c r="J35" t="s">
        <v>161</v>
      </c>
      <c r="M35" t="s">
        <v>327</v>
      </c>
      <c r="N35" t="s">
        <v>328</v>
      </c>
      <c r="O35" t="s">
        <v>195</v>
      </c>
      <c r="P35" t="s">
        <v>305</v>
      </c>
      <c r="Q35" t="s">
        <v>123</v>
      </c>
      <c r="R35" t="s">
        <v>22</v>
      </c>
      <c r="S35" t="s">
        <v>143</v>
      </c>
      <c r="T35" t="s">
        <v>181</v>
      </c>
      <c r="V35" t="s">
        <v>129</v>
      </c>
      <c r="W35" t="s">
        <v>130</v>
      </c>
      <c r="X35" t="s">
        <v>124</v>
      </c>
      <c r="Y35" t="s">
        <v>124</v>
      </c>
      <c r="Z35" t="s">
        <v>1146</v>
      </c>
      <c r="AG35" t="s">
        <v>1058</v>
      </c>
      <c r="AH35" t="s">
        <v>1354</v>
      </c>
      <c r="AI35" t="s">
        <v>1355</v>
      </c>
    </row>
    <row r="36" spans="1:37" ht="15" customHeight="1">
      <c r="A36">
        <v>35</v>
      </c>
      <c r="B36" s="115">
        <v>46168.688530092601</v>
      </c>
      <c r="C36" s="115">
        <v>46168.689699074101</v>
      </c>
      <c r="D36" t="s">
        <v>296</v>
      </c>
      <c r="E36" t="s">
        <v>297</v>
      </c>
      <c r="F36" t="s">
        <v>297</v>
      </c>
      <c r="G36">
        <v>759440</v>
      </c>
      <c r="H36" s="115">
        <v>46153</v>
      </c>
      <c r="I36" t="s">
        <v>136</v>
      </c>
      <c r="J36" t="s">
        <v>161</v>
      </c>
      <c r="M36" t="s">
        <v>327</v>
      </c>
      <c r="N36" t="s">
        <v>328</v>
      </c>
      <c r="O36" t="s">
        <v>195</v>
      </c>
      <c r="P36" t="s">
        <v>196</v>
      </c>
      <c r="Q36" t="s">
        <v>123</v>
      </c>
      <c r="R36" t="s">
        <v>22</v>
      </c>
      <c r="S36" t="s">
        <v>143</v>
      </c>
      <c r="T36" t="s">
        <v>181</v>
      </c>
      <c r="V36" t="s">
        <v>151</v>
      </c>
      <c r="W36" t="s">
        <v>130</v>
      </c>
      <c r="X36" t="s">
        <v>124</v>
      </c>
      <c r="Y36" t="s">
        <v>124</v>
      </c>
      <c r="Z36" t="s">
        <v>1128</v>
      </c>
      <c r="AG36" t="s">
        <v>1124</v>
      </c>
    </row>
    <row r="37" spans="1:37" ht="15" customHeight="1">
      <c r="A37">
        <v>36</v>
      </c>
      <c r="B37" s="115">
        <v>46168.689872685201</v>
      </c>
      <c r="C37" s="115">
        <v>46168.693761574097</v>
      </c>
      <c r="D37" t="s">
        <v>296</v>
      </c>
      <c r="E37" t="s">
        <v>297</v>
      </c>
      <c r="F37" t="s">
        <v>297</v>
      </c>
      <c r="G37">
        <v>759440</v>
      </c>
      <c r="H37" s="115">
        <v>46155</v>
      </c>
      <c r="I37" t="s">
        <v>136</v>
      </c>
      <c r="J37" t="s">
        <v>161</v>
      </c>
      <c r="M37" t="s">
        <v>327</v>
      </c>
      <c r="N37" t="s">
        <v>335</v>
      </c>
      <c r="O37" t="s">
        <v>160</v>
      </c>
      <c r="P37" t="s">
        <v>108</v>
      </c>
      <c r="Q37" t="s">
        <v>109</v>
      </c>
      <c r="R37" t="s">
        <v>22</v>
      </c>
      <c r="S37" t="s">
        <v>143</v>
      </c>
      <c r="T37" t="s">
        <v>181</v>
      </c>
      <c r="V37" t="s">
        <v>151</v>
      </c>
      <c r="W37" t="s">
        <v>130</v>
      </c>
      <c r="X37" t="s">
        <v>329</v>
      </c>
      <c r="Y37" t="s">
        <v>1353</v>
      </c>
    </row>
    <row r="38" spans="1:37" ht="15" customHeight="1">
      <c r="A38">
        <v>37</v>
      </c>
      <c r="B38" s="115">
        <v>46168.694027777798</v>
      </c>
      <c r="C38" s="115">
        <v>46168.695138888899</v>
      </c>
      <c r="D38" t="s">
        <v>296</v>
      </c>
      <c r="E38" t="s">
        <v>297</v>
      </c>
      <c r="F38" t="s">
        <v>297</v>
      </c>
      <c r="G38">
        <v>759440</v>
      </c>
      <c r="H38" s="115">
        <v>46149</v>
      </c>
      <c r="I38" t="s">
        <v>136</v>
      </c>
      <c r="J38" t="s">
        <v>161</v>
      </c>
      <c r="M38" t="s">
        <v>327</v>
      </c>
      <c r="N38" t="s">
        <v>336</v>
      </c>
      <c r="O38" t="s">
        <v>160</v>
      </c>
      <c r="P38" t="s">
        <v>108</v>
      </c>
      <c r="Q38" t="s">
        <v>123</v>
      </c>
      <c r="R38" t="s">
        <v>22</v>
      </c>
      <c r="S38" t="s">
        <v>143</v>
      </c>
      <c r="T38" t="s">
        <v>181</v>
      </c>
      <c r="V38" t="s">
        <v>151</v>
      </c>
      <c r="W38" t="s">
        <v>130</v>
      </c>
      <c r="X38" t="s">
        <v>329</v>
      </c>
      <c r="Y38" t="s">
        <v>1353</v>
      </c>
    </row>
    <row r="39" spans="1:37" ht="15" customHeight="1">
      <c r="A39">
        <v>38</v>
      </c>
      <c r="B39" s="115">
        <v>46168.682152777801</v>
      </c>
      <c r="C39" s="115">
        <v>46168.697002314802</v>
      </c>
      <c r="D39" t="s">
        <v>337</v>
      </c>
      <c r="E39" t="s">
        <v>338</v>
      </c>
      <c r="F39" t="s">
        <v>339</v>
      </c>
      <c r="G39">
        <v>1126458</v>
      </c>
      <c r="H39" s="115">
        <v>46127</v>
      </c>
      <c r="I39" t="s">
        <v>136</v>
      </c>
      <c r="J39" t="s">
        <v>187</v>
      </c>
      <c r="K39" t="s">
        <v>341</v>
      </c>
      <c r="N39" t="s">
        <v>342</v>
      </c>
      <c r="O39" t="s">
        <v>122</v>
      </c>
      <c r="P39" t="s">
        <v>108</v>
      </c>
      <c r="Q39" t="s">
        <v>123</v>
      </c>
      <c r="R39" t="s">
        <v>22</v>
      </c>
      <c r="S39" t="s">
        <v>143</v>
      </c>
      <c r="T39" t="s">
        <v>181</v>
      </c>
      <c r="U39" t="s">
        <v>344</v>
      </c>
      <c r="V39" t="s">
        <v>151</v>
      </c>
      <c r="W39" t="s">
        <v>169</v>
      </c>
      <c r="X39" t="s">
        <v>329</v>
      </c>
      <c r="Y39" t="s">
        <v>1353</v>
      </c>
      <c r="AK39" t="s">
        <v>343</v>
      </c>
    </row>
    <row r="40" spans="1:37" ht="41.25" customHeight="1">
      <c r="A40">
        <v>39</v>
      </c>
      <c r="B40" s="115">
        <v>46168.699490740699</v>
      </c>
      <c r="C40" s="115">
        <v>46168.707060185203</v>
      </c>
      <c r="D40" t="s">
        <v>345</v>
      </c>
      <c r="E40" t="s">
        <v>346</v>
      </c>
      <c r="F40" t="s">
        <v>347</v>
      </c>
      <c r="G40">
        <v>851695</v>
      </c>
      <c r="H40" s="115">
        <v>46149</v>
      </c>
      <c r="I40" t="s">
        <v>136</v>
      </c>
      <c r="J40" t="s">
        <v>174</v>
      </c>
      <c r="L40" t="s">
        <v>349</v>
      </c>
      <c r="O40" t="s">
        <v>107</v>
      </c>
      <c r="P40" t="s">
        <v>108</v>
      </c>
      <c r="Q40" t="s">
        <v>109</v>
      </c>
      <c r="R40" t="s">
        <v>22</v>
      </c>
      <c r="S40" t="s">
        <v>149</v>
      </c>
      <c r="T40" t="s">
        <v>181</v>
      </c>
      <c r="U40" s="78" t="s">
        <v>350</v>
      </c>
      <c r="V40" t="s">
        <v>129</v>
      </c>
      <c r="W40" t="s">
        <v>130</v>
      </c>
      <c r="X40" t="s">
        <v>139</v>
      </c>
      <c r="Y40" t="s">
        <v>139</v>
      </c>
      <c r="Z40" t="s">
        <v>1349</v>
      </c>
      <c r="AA40" t="s">
        <v>1096</v>
      </c>
      <c r="AB40" t="s">
        <v>1097</v>
      </c>
      <c r="AC40" t="s">
        <v>1070</v>
      </c>
      <c r="AD40" t="s">
        <v>1071</v>
      </c>
      <c r="AG40" t="s">
        <v>1041</v>
      </c>
    </row>
    <row r="41" spans="1:37" ht="15" customHeight="1">
      <c r="A41">
        <v>40</v>
      </c>
      <c r="B41" s="115">
        <v>46168.701469907399</v>
      </c>
      <c r="C41" s="115">
        <v>46168.707939814798</v>
      </c>
      <c r="D41" t="s">
        <v>351</v>
      </c>
      <c r="E41" t="s">
        <v>352</v>
      </c>
      <c r="F41" t="s">
        <v>353</v>
      </c>
      <c r="G41">
        <v>775720</v>
      </c>
      <c r="H41" s="115">
        <v>46154</v>
      </c>
      <c r="I41" t="s">
        <v>136</v>
      </c>
      <c r="J41" t="s">
        <v>161</v>
      </c>
      <c r="M41" t="s">
        <v>355</v>
      </c>
      <c r="N41" t="s">
        <v>356</v>
      </c>
      <c r="O41" t="s">
        <v>122</v>
      </c>
      <c r="P41" t="s">
        <v>108</v>
      </c>
      <c r="Q41" t="s">
        <v>123</v>
      </c>
      <c r="R41" t="s">
        <v>21</v>
      </c>
      <c r="S41" t="s">
        <v>143</v>
      </c>
      <c r="T41" t="s">
        <v>233</v>
      </c>
      <c r="U41" t="s">
        <v>360</v>
      </c>
      <c r="V41" t="s">
        <v>151</v>
      </c>
      <c r="W41" t="s">
        <v>130</v>
      </c>
      <c r="X41" t="s">
        <v>177</v>
      </c>
      <c r="Y41" t="s">
        <v>177</v>
      </c>
      <c r="Z41" t="s">
        <v>1104</v>
      </c>
      <c r="AA41" t="s">
        <v>1155</v>
      </c>
      <c r="AG41" t="s">
        <v>1101</v>
      </c>
      <c r="AH41" t="s">
        <v>1154</v>
      </c>
    </row>
    <row r="42" spans="1:37" ht="15" customHeight="1">
      <c r="A42">
        <v>41</v>
      </c>
      <c r="B42" s="115">
        <v>46168.705428240697</v>
      </c>
      <c r="C42" s="115">
        <v>46168.713541666701</v>
      </c>
      <c r="D42" t="s">
        <v>238</v>
      </c>
      <c r="E42" t="s">
        <v>239</v>
      </c>
      <c r="F42" t="s">
        <v>239</v>
      </c>
      <c r="G42">
        <v>1060521</v>
      </c>
      <c r="H42" s="115">
        <v>46168</v>
      </c>
      <c r="I42" t="s">
        <v>241</v>
      </c>
      <c r="J42" t="s">
        <v>161</v>
      </c>
      <c r="M42" t="s">
        <v>361</v>
      </c>
      <c r="N42" t="s">
        <v>362</v>
      </c>
      <c r="O42" t="s">
        <v>122</v>
      </c>
      <c r="P42" t="s">
        <v>108</v>
      </c>
      <c r="Q42" t="s">
        <v>123</v>
      </c>
      <c r="R42" t="s">
        <v>21</v>
      </c>
      <c r="S42" t="s">
        <v>143</v>
      </c>
      <c r="T42" t="s">
        <v>233</v>
      </c>
      <c r="U42" t="s">
        <v>365</v>
      </c>
      <c r="V42" t="s">
        <v>151</v>
      </c>
      <c r="W42" t="s">
        <v>130</v>
      </c>
      <c r="X42" t="s">
        <v>177</v>
      </c>
      <c r="Y42" t="s">
        <v>177</v>
      </c>
      <c r="Z42" t="s">
        <v>1104</v>
      </c>
      <c r="AA42" t="s">
        <v>1105</v>
      </c>
      <c r="AB42" t="s">
        <v>1107</v>
      </c>
      <c r="AC42" t="s">
        <v>1173</v>
      </c>
      <c r="AD42" t="s">
        <v>1155</v>
      </c>
      <c r="AG42" t="s">
        <v>1100</v>
      </c>
      <c r="AH42" t="s">
        <v>1201</v>
      </c>
      <c r="AI42" t="s">
        <v>1215</v>
      </c>
    </row>
    <row r="43" spans="1:37" ht="15" customHeight="1">
      <c r="A43">
        <v>42</v>
      </c>
      <c r="B43" s="115">
        <v>46168.707986111098</v>
      </c>
      <c r="C43" s="115">
        <v>46168.714363425897</v>
      </c>
      <c r="D43" t="s">
        <v>351</v>
      </c>
      <c r="E43" t="s">
        <v>352</v>
      </c>
      <c r="F43" t="s">
        <v>353</v>
      </c>
      <c r="G43">
        <v>775720</v>
      </c>
      <c r="H43" s="115">
        <v>46146</v>
      </c>
      <c r="I43" t="s">
        <v>136</v>
      </c>
      <c r="J43" t="s">
        <v>161</v>
      </c>
      <c r="M43" t="s">
        <v>366</v>
      </c>
      <c r="N43" t="s">
        <v>367</v>
      </c>
      <c r="O43" t="s">
        <v>107</v>
      </c>
      <c r="P43" t="s">
        <v>108</v>
      </c>
      <c r="Q43" t="s">
        <v>109</v>
      </c>
      <c r="R43" t="s">
        <v>22</v>
      </c>
      <c r="S43" t="s">
        <v>149</v>
      </c>
      <c r="T43" t="s">
        <v>181</v>
      </c>
      <c r="U43" t="s">
        <v>370</v>
      </c>
      <c r="V43" t="s">
        <v>151</v>
      </c>
      <c r="W43" t="s">
        <v>130</v>
      </c>
      <c r="X43" t="s">
        <v>139</v>
      </c>
      <c r="Y43" t="s">
        <v>139</v>
      </c>
      <c r="Z43" t="s">
        <v>1349</v>
      </c>
      <c r="AG43" t="s">
        <v>1041</v>
      </c>
    </row>
    <row r="44" spans="1:37" ht="27.75" customHeight="1">
      <c r="A44">
        <v>43</v>
      </c>
      <c r="B44" s="115">
        <v>46168.709444444401</v>
      </c>
      <c r="C44" s="115">
        <v>46168.715601851902</v>
      </c>
      <c r="D44" t="s">
        <v>345</v>
      </c>
      <c r="E44" t="s">
        <v>346</v>
      </c>
      <c r="F44" t="s">
        <v>347</v>
      </c>
      <c r="G44">
        <v>851695</v>
      </c>
      <c r="H44" s="115">
        <v>46147</v>
      </c>
      <c r="I44" t="s">
        <v>136</v>
      </c>
      <c r="J44" t="s">
        <v>161</v>
      </c>
      <c r="M44" t="s">
        <v>371</v>
      </c>
      <c r="N44" t="s">
        <v>372</v>
      </c>
      <c r="O44" t="s">
        <v>107</v>
      </c>
      <c r="P44" t="s">
        <v>108</v>
      </c>
      <c r="Q44" t="s">
        <v>248</v>
      </c>
      <c r="R44" t="s">
        <v>22</v>
      </c>
      <c r="S44" t="s">
        <v>143</v>
      </c>
      <c r="T44" t="s">
        <v>150</v>
      </c>
      <c r="U44" s="78" t="s">
        <v>374</v>
      </c>
      <c r="V44" t="s">
        <v>116</v>
      </c>
      <c r="W44" t="s">
        <v>169</v>
      </c>
      <c r="X44" t="s">
        <v>329</v>
      </c>
      <c r="Y44" t="s">
        <v>1353</v>
      </c>
      <c r="AG44" t="s">
        <v>1065</v>
      </c>
      <c r="AH44" t="s">
        <v>1066</v>
      </c>
      <c r="AI44" t="s">
        <v>1067</v>
      </c>
      <c r="AJ44" t="s">
        <v>1068</v>
      </c>
    </row>
    <row r="45" spans="1:37" ht="15" customHeight="1">
      <c r="A45">
        <v>44</v>
      </c>
      <c r="B45" s="115">
        <v>46168.711828703701</v>
      </c>
      <c r="C45" s="115">
        <v>46168.715706018498</v>
      </c>
      <c r="D45" t="s">
        <v>103</v>
      </c>
      <c r="E45" t="s">
        <v>104</v>
      </c>
      <c r="F45" t="s">
        <v>375</v>
      </c>
      <c r="G45">
        <v>1126529</v>
      </c>
      <c r="H45" s="115">
        <v>46161</v>
      </c>
      <c r="I45" t="s">
        <v>136</v>
      </c>
      <c r="J45" t="s">
        <v>161</v>
      </c>
      <c r="M45" t="s">
        <v>376</v>
      </c>
      <c r="N45" t="s">
        <v>293</v>
      </c>
      <c r="O45" t="s">
        <v>195</v>
      </c>
      <c r="P45" t="s">
        <v>305</v>
      </c>
      <c r="Q45" t="s">
        <v>123</v>
      </c>
      <c r="R45" t="s">
        <v>24</v>
      </c>
      <c r="S45" t="s">
        <v>149</v>
      </c>
      <c r="T45" t="s">
        <v>181</v>
      </c>
      <c r="U45" t="s">
        <v>380</v>
      </c>
      <c r="V45" t="s">
        <v>151</v>
      </c>
      <c r="W45" t="s">
        <v>130</v>
      </c>
      <c r="X45" t="s">
        <v>190</v>
      </c>
      <c r="Y45" t="s">
        <v>190</v>
      </c>
      <c r="Z45" t="s">
        <v>1217</v>
      </c>
      <c r="AG45" t="s">
        <v>1216</v>
      </c>
    </row>
    <row r="46" spans="1:37" ht="15" customHeight="1">
      <c r="A46">
        <v>45</v>
      </c>
      <c r="B46" s="115">
        <v>46168.714409722197</v>
      </c>
      <c r="C46" s="115">
        <v>46168.718912037002</v>
      </c>
      <c r="D46" t="s">
        <v>351</v>
      </c>
      <c r="E46" t="s">
        <v>352</v>
      </c>
      <c r="F46" t="s">
        <v>353</v>
      </c>
      <c r="G46">
        <v>775720</v>
      </c>
      <c r="H46" s="115">
        <v>46162</v>
      </c>
      <c r="I46" t="s">
        <v>136</v>
      </c>
      <c r="J46" t="s">
        <v>187</v>
      </c>
      <c r="K46" t="s">
        <v>381</v>
      </c>
      <c r="N46" t="s">
        <v>382</v>
      </c>
      <c r="O46" t="s">
        <v>195</v>
      </c>
      <c r="P46" t="s">
        <v>108</v>
      </c>
      <c r="Q46" t="s">
        <v>123</v>
      </c>
      <c r="R46" t="s">
        <v>22</v>
      </c>
      <c r="S46" t="s">
        <v>149</v>
      </c>
      <c r="T46" t="s">
        <v>181</v>
      </c>
      <c r="U46" t="s">
        <v>385</v>
      </c>
      <c r="V46" t="s">
        <v>129</v>
      </c>
      <c r="W46" t="s">
        <v>130</v>
      </c>
      <c r="X46" t="s">
        <v>124</v>
      </c>
      <c r="Y46" t="s">
        <v>124</v>
      </c>
      <c r="Z46" t="s">
        <v>1125</v>
      </c>
      <c r="AA46" t="s">
        <v>1127</v>
      </c>
      <c r="AB46" t="s">
        <v>1059</v>
      </c>
      <c r="AG46" t="s">
        <v>1124</v>
      </c>
    </row>
    <row r="47" spans="1:37" ht="15" customHeight="1">
      <c r="A47">
        <v>46</v>
      </c>
      <c r="B47" s="115">
        <v>46168.715752314798</v>
      </c>
      <c r="C47" s="115">
        <v>46168.719594907401</v>
      </c>
      <c r="D47" t="s">
        <v>103</v>
      </c>
      <c r="E47" t="s">
        <v>104</v>
      </c>
      <c r="F47" t="s">
        <v>105</v>
      </c>
      <c r="G47">
        <v>1126529</v>
      </c>
      <c r="H47" s="115">
        <v>46157</v>
      </c>
      <c r="I47" t="s">
        <v>136</v>
      </c>
      <c r="J47" t="s">
        <v>174</v>
      </c>
      <c r="L47" t="s">
        <v>175</v>
      </c>
      <c r="N47" t="s">
        <v>176</v>
      </c>
      <c r="O47" t="s">
        <v>107</v>
      </c>
      <c r="P47" t="s">
        <v>108</v>
      </c>
      <c r="Q47" t="s">
        <v>109</v>
      </c>
      <c r="R47" t="s">
        <v>21</v>
      </c>
      <c r="S47" t="s">
        <v>143</v>
      </c>
      <c r="T47" t="s">
        <v>181</v>
      </c>
      <c r="U47" t="s">
        <v>389</v>
      </c>
      <c r="V47" t="s">
        <v>151</v>
      </c>
      <c r="W47" t="s">
        <v>130</v>
      </c>
      <c r="X47" t="s">
        <v>177</v>
      </c>
      <c r="Y47" t="s">
        <v>177</v>
      </c>
      <c r="Z47" t="s">
        <v>1104</v>
      </c>
      <c r="AA47" t="s">
        <v>1107</v>
      </c>
      <c r="AB47" t="s">
        <v>1173</v>
      </c>
      <c r="AG47" t="s">
        <v>1100</v>
      </c>
    </row>
    <row r="48" spans="1:37" ht="15" customHeight="1">
      <c r="A48">
        <v>47</v>
      </c>
      <c r="B48" s="115">
        <v>46168.718946759298</v>
      </c>
      <c r="C48" s="115">
        <v>46168.720949074101</v>
      </c>
      <c r="D48" t="s">
        <v>351</v>
      </c>
      <c r="E48" t="s">
        <v>352</v>
      </c>
      <c r="F48" t="s">
        <v>353</v>
      </c>
      <c r="G48">
        <v>775720</v>
      </c>
      <c r="H48" s="115">
        <v>46155</v>
      </c>
      <c r="I48" t="s">
        <v>136</v>
      </c>
      <c r="J48" t="s">
        <v>187</v>
      </c>
      <c r="K48" t="s">
        <v>381</v>
      </c>
      <c r="N48" t="s">
        <v>390</v>
      </c>
      <c r="O48" t="s">
        <v>122</v>
      </c>
      <c r="P48" t="s">
        <v>108</v>
      </c>
      <c r="Q48" t="s">
        <v>123</v>
      </c>
      <c r="R48" t="s">
        <v>22</v>
      </c>
      <c r="S48" t="s">
        <v>143</v>
      </c>
      <c r="T48" t="s">
        <v>181</v>
      </c>
      <c r="U48" t="s">
        <v>393</v>
      </c>
      <c r="V48" t="s">
        <v>129</v>
      </c>
      <c r="W48" t="s">
        <v>130</v>
      </c>
      <c r="X48" t="s">
        <v>124</v>
      </c>
      <c r="Y48" t="s">
        <v>124</v>
      </c>
      <c r="Z48" t="s">
        <v>1125</v>
      </c>
      <c r="AA48" t="s">
        <v>1059</v>
      </c>
      <c r="AG48" t="s">
        <v>1177</v>
      </c>
    </row>
    <row r="49" spans="1:37" ht="15" customHeight="1">
      <c r="A49">
        <v>48</v>
      </c>
      <c r="B49" s="115">
        <v>46168.7209953704</v>
      </c>
      <c r="C49" s="115">
        <v>46168.722638888903</v>
      </c>
      <c r="D49" t="s">
        <v>351</v>
      </c>
      <c r="E49" t="s">
        <v>352</v>
      </c>
      <c r="F49" t="s">
        <v>353</v>
      </c>
      <c r="G49">
        <v>775720</v>
      </c>
      <c r="H49" s="115">
        <v>46162</v>
      </c>
      <c r="I49" t="s">
        <v>136</v>
      </c>
      <c r="J49" t="s">
        <v>161</v>
      </c>
      <c r="M49" t="s">
        <v>394</v>
      </c>
      <c r="N49" t="s">
        <v>395</v>
      </c>
      <c r="O49" t="s">
        <v>195</v>
      </c>
      <c r="P49" t="s">
        <v>108</v>
      </c>
      <c r="Q49" t="s">
        <v>109</v>
      </c>
      <c r="R49" t="s">
        <v>22</v>
      </c>
      <c r="S49" t="s">
        <v>114</v>
      </c>
      <c r="T49" t="s">
        <v>181</v>
      </c>
      <c r="U49" t="s">
        <v>397</v>
      </c>
      <c r="V49" t="s">
        <v>129</v>
      </c>
      <c r="W49" t="s">
        <v>130</v>
      </c>
      <c r="X49" t="s">
        <v>124</v>
      </c>
      <c r="Y49" t="s">
        <v>124</v>
      </c>
      <c r="Z49" t="s">
        <v>1125</v>
      </c>
      <c r="AG49" t="s">
        <v>1177</v>
      </c>
    </row>
    <row r="50" spans="1:37" ht="15" customHeight="1">
      <c r="A50">
        <v>49</v>
      </c>
      <c r="B50" s="115">
        <v>46168.697048611102</v>
      </c>
      <c r="C50" s="115">
        <v>46168.731782407398</v>
      </c>
      <c r="D50" t="s">
        <v>337</v>
      </c>
      <c r="E50" t="s">
        <v>338</v>
      </c>
      <c r="F50" t="s">
        <v>339</v>
      </c>
      <c r="G50">
        <v>1126458</v>
      </c>
      <c r="H50" s="115">
        <v>46140</v>
      </c>
      <c r="I50" t="s">
        <v>136</v>
      </c>
      <c r="J50" t="s">
        <v>161</v>
      </c>
      <c r="M50" t="s">
        <v>260</v>
      </c>
      <c r="N50" t="s">
        <v>398</v>
      </c>
      <c r="O50" t="s">
        <v>107</v>
      </c>
      <c r="P50" t="s">
        <v>108</v>
      </c>
      <c r="Q50" t="s">
        <v>109</v>
      </c>
      <c r="R50" t="s">
        <v>22</v>
      </c>
      <c r="S50" t="s">
        <v>143</v>
      </c>
      <c r="T50" t="s">
        <v>181</v>
      </c>
      <c r="U50" t="s">
        <v>400</v>
      </c>
      <c r="V50" t="s">
        <v>151</v>
      </c>
      <c r="W50" t="s">
        <v>130</v>
      </c>
      <c r="X50" t="s">
        <v>329</v>
      </c>
      <c r="Y50" t="s">
        <v>1353</v>
      </c>
      <c r="AK50" t="s">
        <v>399</v>
      </c>
    </row>
    <row r="51" spans="1:37" ht="15" customHeight="1">
      <c r="A51">
        <v>50</v>
      </c>
      <c r="B51" s="115">
        <v>46168.731817129599</v>
      </c>
      <c r="C51" s="115">
        <v>46168.739687499998</v>
      </c>
      <c r="D51" t="s">
        <v>337</v>
      </c>
      <c r="E51" t="s">
        <v>338</v>
      </c>
      <c r="F51" t="s">
        <v>339</v>
      </c>
      <c r="G51">
        <v>1126458</v>
      </c>
      <c r="H51" s="115">
        <v>46171</v>
      </c>
      <c r="I51" t="s">
        <v>136</v>
      </c>
      <c r="J51" t="s">
        <v>161</v>
      </c>
      <c r="M51" t="s">
        <v>260</v>
      </c>
      <c r="N51" t="s">
        <v>401</v>
      </c>
      <c r="O51" t="s">
        <v>107</v>
      </c>
      <c r="P51" t="s">
        <v>108</v>
      </c>
      <c r="Q51" t="s">
        <v>109</v>
      </c>
      <c r="R51" t="s">
        <v>22</v>
      </c>
      <c r="S51" t="s">
        <v>149</v>
      </c>
      <c r="T51" t="s">
        <v>181</v>
      </c>
      <c r="U51" t="s">
        <v>405</v>
      </c>
      <c r="V51" t="s">
        <v>129</v>
      </c>
      <c r="W51" t="s">
        <v>130</v>
      </c>
      <c r="X51" t="s">
        <v>110</v>
      </c>
      <c r="Y51" t="s">
        <v>110</v>
      </c>
      <c r="Z51" t="s">
        <v>1356</v>
      </c>
      <c r="AA51" t="s">
        <v>1296</v>
      </c>
      <c r="AB51" t="s">
        <v>1153</v>
      </c>
      <c r="AG51" t="s">
        <v>1299</v>
      </c>
    </row>
    <row r="52" spans="1:37" ht="15" customHeight="1">
      <c r="A52">
        <v>51</v>
      </c>
      <c r="B52" s="115">
        <v>46168.734930555598</v>
      </c>
      <c r="C52" s="115">
        <v>46168.7561921296</v>
      </c>
      <c r="D52" t="s">
        <v>227</v>
      </c>
      <c r="E52" t="s">
        <v>228</v>
      </c>
      <c r="F52" t="s">
        <v>228</v>
      </c>
      <c r="G52">
        <v>759427</v>
      </c>
      <c r="H52" s="115">
        <v>46168</v>
      </c>
      <c r="I52" t="s">
        <v>136</v>
      </c>
      <c r="J52" t="s">
        <v>161</v>
      </c>
      <c r="M52" t="s">
        <v>217</v>
      </c>
      <c r="N52" t="s">
        <v>406</v>
      </c>
      <c r="O52" t="s">
        <v>135</v>
      </c>
      <c r="P52" t="s">
        <v>108</v>
      </c>
      <c r="Q52" t="s">
        <v>109</v>
      </c>
      <c r="R52" t="s">
        <v>22</v>
      </c>
      <c r="S52" t="s">
        <v>149</v>
      </c>
      <c r="T52" t="s">
        <v>181</v>
      </c>
      <c r="V52" t="s">
        <v>151</v>
      </c>
      <c r="W52" t="s">
        <v>130</v>
      </c>
      <c r="X52" t="s">
        <v>329</v>
      </c>
      <c r="Y52" t="s">
        <v>1353</v>
      </c>
      <c r="Z52" t="s">
        <v>1085</v>
      </c>
      <c r="AA52" t="s">
        <v>1084</v>
      </c>
      <c r="AG52" t="s">
        <v>186</v>
      </c>
    </row>
    <row r="53" spans="1:37" ht="15" customHeight="1">
      <c r="A53">
        <v>52</v>
      </c>
      <c r="B53" s="115">
        <v>46168.756770833301</v>
      </c>
      <c r="C53" s="115">
        <v>46168.761006944398</v>
      </c>
      <c r="D53" t="s">
        <v>227</v>
      </c>
      <c r="E53" t="s">
        <v>228</v>
      </c>
      <c r="F53" t="s">
        <v>409</v>
      </c>
      <c r="G53">
        <v>759427</v>
      </c>
      <c r="H53" s="115">
        <v>46163</v>
      </c>
      <c r="I53" t="s">
        <v>136</v>
      </c>
      <c r="J53" t="s">
        <v>174</v>
      </c>
      <c r="L53" t="s">
        <v>217</v>
      </c>
      <c r="N53" t="s">
        <v>114</v>
      </c>
      <c r="O53" t="s">
        <v>135</v>
      </c>
      <c r="P53" t="s">
        <v>108</v>
      </c>
      <c r="Q53" t="s">
        <v>109</v>
      </c>
      <c r="R53" t="s">
        <v>22</v>
      </c>
      <c r="S53" t="s">
        <v>149</v>
      </c>
      <c r="T53" t="s">
        <v>181</v>
      </c>
      <c r="V53" t="s">
        <v>151</v>
      </c>
      <c r="W53" t="s">
        <v>130</v>
      </c>
      <c r="X53" t="s">
        <v>321</v>
      </c>
      <c r="Y53" t="s">
        <v>321</v>
      </c>
      <c r="Z53" t="s">
        <v>1357</v>
      </c>
      <c r="AA53" t="s">
        <v>1243</v>
      </c>
      <c r="AG53" t="s">
        <v>1241</v>
      </c>
    </row>
    <row r="54" spans="1:37" ht="15" customHeight="1">
      <c r="A54">
        <v>53</v>
      </c>
      <c r="B54" s="115">
        <v>46168.756539351903</v>
      </c>
      <c r="C54" s="115">
        <v>46168.761979166702</v>
      </c>
      <c r="D54" t="s">
        <v>413</v>
      </c>
      <c r="E54" t="s">
        <v>414</v>
      </c>
      <c r="F54" t="s">
        <v>415</v>
      </c>
      <c r="G54">
        <v>1049279</v>
      </c>
      <c r="H54" s="115">
        <v>46162</v>
      </c>
      <c r="I54" t="s">
        <v>136</v>
      </c>
      <c r="J54" t="s">
        <v>187</v>
      </c>
      <c r="K54" t="s">
        <v>341</v>
      </c>
      <c r="N54" t="s">
        <v>418</v>
      </c>
      <c r="O54" t="s">
        <v>417</v>
      </c>
      <c r="P54" t="s">
        <v>108</v>
      </c>
      <c r="Q54" t="s">
        <v>123</v>
      </c>
      <c r="R54" t="s">
        <v>24</v>
      </c>
      <c r="S54" t="s">
        <v>143</v>
      </c>
      <c r="T54" t="s">
        <v>226</v>
      </c>
      <c r="U54" t="s">
        <v>423</v>
      </c>
      <c r="V54" t="s">
        <v>151</v>
      </c>
      <c r="W54" t="s">
        <v>169</v>
      </c>
      <c r="X54" t="s">
        <v>419</v>
      </c>
      <c r="Y54" t="s">
        <v>419</v>
      </c>
      <c r="Z54" t="s">
        <v>1228</v>
      </c>
      <c r="AA54" t="s">
        <v>1229</v>
      </c>
      <c r="AB54" t="s">
        <v>1230</v>
      </c>
      <c r="AC54" t="s">
        <v>1182</v>
      </c>
      <c r="AG54" t="s">
        <v>1181</v>
      </c>
      <c r="AH54" t="s">
        <v>1227</v>
      </c>
    </row>
    <row r="55" spans="1:37" ht="15" customHeight="1">
      <c r="A55">
        <v>54</v>
      </c>
      <c r="B55" s="115">
        <v>46168.770219907397</v>
      </c>
      <c r="C55" s="115">
        <v>46168.780312499999</v>
      </c>
      <c r="D55" t="s">
        <v>424</v>
      </c>
      <c r="E55" t="s">
        <v>425</v>
      </c>
      <c r="F55" t="s">
        <v>425</v>
      </c>
      <c r="G55">
        <v>769662</v>
      </c>
      <c r="H55" s="115">
        <v>46154</v>
      </c>
      <c r="I55" t="s">
        <v>427</v>
      </c>
      <c r="J55" t="s">
        <v>161</v>
      </c>
      <c r="M55" t="s">
        <v>428</v>
      </c>
      <c r="O55" t="s">
        <v>135</v>
      </c>
      <c r="P55" t="s">
        <v>108</v>
      </c>
      <c r="Q55" t="s">
        <v>109</v>
      </c>
      <c r="R55" t="s">
        <v>22</v>
      </c>
      <c r="S55" t="s">
        <v>114</v>
      </c>
      <c r="T55" t="s">
        <v>150</v>
      </c>
      <c r="V55" t="s">
        <v>129</v>
      </c>
      <c r="W55" t="s">
        <v>130</v>
      </c>
      <c r="X55" t="s">
        <v>302</v>
      </c>
      <c r="Y55" t="s">
        <v>302</v>
      </c>
      <c r="Z55" t="s">
        <v>1092</v>
      </c>
      <c r="AG55" t="s">
        <v>1157</v>
      </c>
    </row>
    <row r="56" spans="1:37" ht="15" customHeight="1">
      <c r="A56">
        <v>55</v>
      </c>
      <c r="B56" s="115">
        <v>46168.843090277798</v>
      </c>
      <c r="C56" s="115">
        <v>46168.8461342593</v>
      </c>
      <c r="D56" t="s">
        <v>432</v>
      </c>
      <c r="E56" t="s">
        <v>433</v>
      </c>
      <c r="F56" t="s">
        <v>434</v>
      </c>
      <c r="G56">
        <v>721138</v>
      </c>
      <c r="H56" s="115">
        <v>46153</v>
      </c>
      <c r="I56" t="s">
        <v>136</v>
      </c>
      <c r="J56" t="s">
        <v>161</v>
      </c>
      <c r="M56" t="s">
        <v>437</v>
      </c>
      <c r="N56" t="s">
        <v>438</v>
      </c>
      <c r="O56" t="s">
        <v>436</v>
      </c>
      <c r="P56" t="s">
        <v>108</v>
      </c>
      <c r="Q56" t="s">
        <v>109</v>
      </c>
      <c r="R56" t="s">
        <v>22</v>
      </c>
      <c r="S56" t="s">
        <v>149</v>
      </c>
      <c r="T56" t="s">
        <v>442</v>
      </c>
      <c r="V56" t="s">
        <v>116</v>
      </c>
      <c r="W56" t="s">
        <v>130</v>
      </c>
      <c r="X56" t="s">
        <v>139</v>
      </c>
      <c r="Y56" t="s">
        <v>139</v>
      </c>
      <c r="Z56" t="s">
        <v>1349</v>
      </c>
      <c r="AA56" t="s">
        <v>1096</v>
      </c>
      <c r="AB56" t="s">
        <v>1097</v>
      </c>
      <c r="AC56" t="s">
        <v>1070</v>
      </c>
      <c r="AG56" t="s">
        <v>1148</v>
      </c>
      <c r="AH56" t="s">
        <v>1149</v>
      </c>
    </row>
    <row r="57" spans="1:37" ht="15" customHeight="1">
      <c r="A57">
        <v>56</v>
      </c>
      <c r="B57" s="115">
        <v>46168.846168981501</v>
      </c>
      <c r="C57" s="115">
        <v>46168.847256944398</v>
      </c>
      <c r="D57" t="s">
        <v>432</v>
      </c>
      <c r="E57" t="s">
        <v>433</v>
      </c>
      <c r="F57" t="s">
        <v>434</v>
      </c>
      <c r="G57">
        <v>721138</v>
      </c>
      <c r="H57" s="115">
        <v>46149</v>
      </c>
      <c r="I57" t="s">
        <v>136</v>
      </c>
      <c r="J57" t="s">
        <v>161</v>
      </c>
      <c r="M57" t="s">
        <v>437</v>
      </c>
      <c r="N57" t="s">
        <v>443</v>
      </c>
      <c r="O57" t="s">
        <v>135</v>
      </c>
      <c r="P57" t="s">
        <v>108</v>
      </c>
      <c r="Q57" t="s">
        <v>109</v>
      </c>
      <c r="R57" t="s">
        <v>21</v>
      </c>
      <c r="S57" t="s">
        <v>149</v>
      </c>
      <c r="T57" t="s">
        <v>447</v>
      </c>
      <c r="V57" t="s">
        <v>116</v>
      </c>
      <c r="W57" t="s">
        <v>130</v>
      </c>
      <c r="X57" t="s">
        <v>177</v>
      </c>
      <c r="Y57" t="s">
        <v>177</v>
      </c>
      <c r="Z57" t="s">
        <v>1104</v>
      </c>
      <c r="AA57" t="s">
        <v>1105</v>
      </c>
      <c r="AB57" t="s">
        <v>1106</v>
      </c>
      <c r="AC57" t="s">
        <v>1107</v>
      </c>
      <c r="AG57" t="s">
        <v>1100</v>
      </c>
      <c r="AH57" t="s">
        <v>1101</v>
      </c>
      <c r="AI57" t="s">
        <v>1102</v>
      </c>
      <c r="AJ57" t="s">
        <v>1103</v>
      </c>
    </row>
    <row r="58" spans="1:37" ht="15" customHeight="1">
      <c r="A58">
        <v>57</v>
      </c>
      <c r="B58" s="115">
        <v>46168.847280092603</v>
      </c>
      <c r="C58" s="115">
        <v>46168.848229166702</v>
      </c>
      <c r="D58" t="s">
        <v>432</v>
      </c>
      <c r="E58" t="s">
        <v>433</v>
      </c>
      <c r="F58" t="s">
        <v>434</v>
      </c>
      <c r="G58">
        <v>721138</v>
      </c>
      <c r="H58" s="115">
        <v>46161</v>
      </c>
      <c r="I58" t="s">
        <v>136</v>
      </c>
      <c r="J58" t="s">
        <v>161</v>
      </c>
      <c r="M58" t="s">
        <v>437</v>
      </c>
      <c r="N58" t="s">
        <v>443</v>
      </c>
      <c r="O58" t="s">
        <v>135</v>
      </c>
      <c r="P58" t="s">
        <v>108</v>
      </c>
      <c r="Q58" t="s">
        <v>109</v>
      </c>
      <c r="R58" t="s">
        <v>21</v>
      </c>
      <c r="S58" t="s">
        <v>149</v>
      </c>
      <c r="T58" t="s">
        <v>449</v>
      </c>
      <c r="V58" t="s">
        <v>116</v>
      </c>
      <c r="W58" t="s">
        <v>130</v>
      </c>
      <c r="X58" t="s">
        <v>177</v>
      </c>
      <c r="Y58" t="s">
        <v>177</v>
      </c>
      <c r="Z58" t="s">
        <v>1104</v>
      </c>
      <c r="AA58" t="s">
        <v>1105</v>
      </c>
      <c r="AB58" t="s">
        <v>1155</v>
      </c>
      <c r="AC58" t="s">
        <v>1107</v>
      </c>
      <c r="AG58" t="s">
        <v>1100</v>
      </c>
      <c r="AH58" t="s">
        <v>1101</v>
      </c>
      <c r="AI58" t="s">
        <v>1102</v>
      </c>
      <c r="AJ58" t="s">
        <v>1103</v>
      </c>
    </row>
    <row r="59" spans="1:37" ht="15" customHeight="1">
      <c r="A59">
        <v>58</v>
      </c>
      <c r="B59" s="115">
        <v>46168.848263888904</v>
      </c>
      <c r="C59" s="115">
        <v>46168.849710648101</v>
      </c>
      <c r="D59" t="s">
        <v>432</v>
      </c>
      <c r="E59" t="s">
        <v>433</v>
      </c>
      <c r="F59" t="s">
        <v>434</v>
      </c>
      <c r="G59">
        <v>721138</v>
      </c>
      <c r="H59" s="115">
        <v>46148</v>
      </c>
      <c r="I59" t="s">
        <v>136</v>
      </c>
      <c r="J59" t="s">
        <v>161</v>
      </c>
      <c r="M59" t="s">
        <v>437</v>
      </c>
      <c r="N59" t="s">
        <v>450</v>
      </c>
      <c r="O59" t="s">
        <v>122</v>
      </c>
      <c r="P59" t="s">
        <v>108</v>
      </c>
      <c r="Q59" t="s">
        <v>123</v>
      </c>
      <c r="R59" t="s">
        <v>25</v>
      </c>
      <c r="S59" t="s">
        <v>149</v>
      </c>
      <c r="T59" t="s">
        <v>455</v>
      </c>
      <c r="V59" t="s">
        <v>116</v>
      </c>
      <c r="W59" t="s">
        <v>130</v>
      </c>
      <c r="X59" t="s">
        <v>451</v>
      </c>
      <c r="Y59" t="s">
        <v>982</v>
      </c>
      <c r="Z59" t="s">
        <v>1076</v>
      </c>
      <c r="AA59" t="s">
        <v>1077</v>
      </c>
      <c r="AB59" t="s">
        <v>1078</v>
      </c>
      <c r="AC59" t="s">
        <v>1079</v>
      </c>
      <c r="AG59" t="s">
        <v>1075</v>
      </c>
    </row>
    <row r="60" spans="1:37" ht="15" customHeight="1">
      <c r="A60">
        <v>59</v>
      </c>
      <c r="B60" s="115">
        <v>46168.890428240702</v>
      </c>
      <c r="C60" s="115">
        <v>46168.891851851899</v>
      </c>
      <c r="D60" t="s">
        <v>170</v>
      </c>
      <c r="E60" t="s">
        <v>171</v>
      </c>
      <c r="F60" t="s">
        <v>171</v>
      </c>
      <c r="G60">
        <v>1091747</v>
      </c>
      <c r="H60" s="115">
        <v>46168</v>
      </c>
      <c r="I60" t="s">
        <v>136</v>
      </c>
      <c r="J60" t="s">
        <v>161</v>
      </c>
      <c r="M60" t="s">
        <v>197</v>
      </c>
      <c r="N60" t="s">
        <v>198</v>
      </c>
      <c r="O60" t="s">
        <v>160</v>
      </c>
      <c r="P60" t="s">
        <v>108</v>
      </c>
      <c r="Q60" t="s">
        <v>248</v>
      </c>
      <c r="R60" t="s">
        <v>23</v>
      </c>
      <c r="S60" t="s">
        <v>149</v>
      </c>
      <c r="T60" t="s">
        <v>181</v>
      </c>
      <c r="V60" t="s">
        <v>129</v>
      </c>
      <c r="W60" t="s">
        <v>130</v>
      </c>
      <c r="X60" t="s">
        <v>252</v>
      </c>
      <c r="Y60" t="s">
        <v>252</v>
      </c>
      <c r="AK60" t="s">
        <v>456</v>
      </c>
    </row>
    <row r="61" spans="1:37" ht="15" customHeight="1">
      <c r="A61">
        <v>60</v>
      </c>
      <c r="B61" s="115">
        <v>46169.4440972222</v>
      </c>
      <c r="C61" s="115">
        <v>46169.450462963003</v>
      </c>
      <c r="D61" t="s">
        <v>457</v>
      </c>
      <c r="E61" t="s">
        <v>458</v>
      </c>
      <c r="F61" t="s">
        <v>458</v>
      </c>
      <c r="G61">
        <v>883622</v>
      </c>
      <c r="H61" s="115">
        <v>46167</v>
      </c>
      <c r="I61" t="s">
        <v>460</v>
      </c>
      <c r="J61" t="s">
        <v>161</v>
      </c>
      <c r="M61" t="s">
        <v>461</v>
      </c>
      <c r="N61" t="s">
        <v>462</v>
      </c>
      <c r="O61" t="s">
        <v>107</v>
      </c>
      <c r="P61" t="s">
        <v>108</v>
      </c>
      <c r="Q61" t="s">
        <v>123</v>
      </c>
      <c r="R61" t="s">
        <v>22</v>
      </c>
      <c r="S61" t="s">
        <v>149</v>
      </c>
      <c r="T61" t="s">
        <v>466</v>
      </c>
      <c r="U61" t="s">
        <v>467</v>
      </c>
      <c r="V61" t="s">
        <v>151</v>
      </c>
      <c r="W61" t="s">
        <v>130</v>
      </c>
      <c r="X61" t="s">
        <v>329</v>
      </c>
      <c r="Y61" t="s">
        <v>1353</v>
      </c>
      <c r="Z61" t="s">
        <v>463</v>
      </c>
      <c r="AA61" t="s">
        <v>465</v>
      </c>
    </row>
    <row r="62" spans="1:37" ht="15" customHeight="1">
      <c r="A62">
        <v>61</v>
      </c>
      <c r="B62" s="115">
        <v>46175.552939814799</v>
      </c>
      <c r="C62" s="115">
        <v>46175.596643518496</v>
      </c>
      <c r="D62" t="s">
        <v>468</v>
      </c>
      <c r="E62" t="s">
        <v>469</v>
      </c>
      <c r="F62" t="s">
        <v>470</v>
      </c>
      <c r="G62">
        <v>626914</v>
      </c>
      <c r="H62" s="115">
        <v>46146</v>
      </c>
      <c r="I62" t="s">
        <v>472</v>
      </c>
      <c r="J62" t="s">
        <v>161</v>
      </c>
      <c r="M62" t="s">
        <v>473</v>
      </c>
      <c r="N62" t="s">
        <v>474</v>
      </c>
      <c r="O62" t="s">
        <v>107</v>
      </c>
      <c r="P62" t="s">
        <v>108</v>
      </c>
      <c r="Q62" t="s">
        <v>109</v>
      </c>
      <c r="R62" t="s">
        <v>22</v>
      </c>
      <c r="S62" t="s">
        <v>149</v>
      </c>
      <c r="T62" t="s">
        <v>478</v>
      </c>
      <c r="V62" t="s">
        <v>151</v>
      </c>
      <c r="W62" t="s">
        <v>169</v>
      </c>
      <c r="X62" t="s">
        <v>329</v>
      </c>
      <c r="Y62" t="s">
        <v>1353</v>
      </c>
      <c r="Z62" t="s">
        <v>475</v>
      </c>
      <c r="AA62" t="s">
        <v>477</v>
      </c>
    </row>
    <row r="63" spans="1:37" ht="15" customHeight="1">
      <c r="A63">
        <v>62</v>
      </c>
      <c r="B63" s="115">
        <v>46175.605706018498</v>
      </c>
      <c r="C63" s="115">
        <v>46175.607592592598</v>
      </c>
      <c r="D63" t="s">
        <v>468</v>
      </c>
      <c r="E63" t="s">
        <v>469</v>
      </c>
      <c r="F63" t="s">
        <v>469</v>
      </c>
      <c r="G63">
        <v>626914</v>
      </c>
      <c r="H63" s="115">
        <v>46146</v>
      </c>
      <c r="I63" t="s">
        <v>472</v>
      </c>
      <c r="J63" t="s">
        <v>161</v>
      </c>
      <c r="M63" t="s">
        <v>480</v>
      </c>
      <c r="N63" t="s">
        <v>481</v>
      </c>
      <c r="O63" t="s">
        <v>479</v>
      </c>
      <c r="P63" t="s">
        <v>108</v>
      </c>
      <c r="Q63" t="s">
        <v>109</v>
      </c>
      <c r="R63" t="s">
        <v>25</v>
      </c>
      <c r="S63" t="s">
        <v>149</v>
      </c>
      <c r="T63" t="s">
        <v>478</v>
      </c>
      <c r="U63" t="s">
        <v>485</v>
      </c>
      <c r="V63" t="s">
        <v>129</v>
      </c>
      <c r="W63" t="s">
        <v>169</v>
      </c>
      <c r="X63" t="s">
        <v>256</v>
      </c>
      <c r="Y63" t="s">
        <v>256</v>
      </c>
      <c r="Z63" t="s">
        <v>482</v>
      </c>
      <c r="AA63" t="s">
        <v>484</v>
      </c>
    </row>
    <row r="64" spans="1:37" ht="15" customHeight="1">
      <c r="A64">
        <v>63</v>
      </c>
      <c r="B64" s="115">
        <v>46175.6077083333</v>
      </c>
      <c r="C64" s="115">
        <v>46175.626226851899</v>
      </c>
      <c r="D64" t="s">
        <v>468</v>
      </c>
      <c r="E64" t="s">
        <v>469</v>
      </c>
      <c r="F64" t="s">
        <v>469</v>
      </c>
      <c r="G64">
        <v>626914</v>
      </c>
      <c r="H64" s="115">
        <v>46146</v>
      </c>
      <c r="I64" t="s">
        <v>472</v>
      </c>
      <c r="J64" t="s">
        <v>161</v>
      </c>
      <c r="M64" t="s">
        <v>486</v>
      </c>
      <c r="N64" t="s">
        <v>487</v>
      </c>
      <c r="O64" t="s">
        <v>135</v>
      </c>
      <c r="P64" t="s">
        <v>108</v>
      </c>
      <c r="Q64" t="s">
        <v>109</v>
      </c>
      <c r="R64" t="s">
        <v>22</v>
      </c>
      <c r="S64" t="s">
        <v>149</v>
      </c>
      <c r="T64" t="s">
        <v>144</v>
      </c>
      <c r="V64" t="s">
        <v>151</v>
      </c>
      <c r="W64" t="s">
        <v>117</v>
      </c>
      <c r="X64" t="s">
        <v>124</v>
      </c>
      <c r="Y64" t="s">
        <v>124</v>
      </c>
      <c r="Z64" t="s">
        <v>488</v>
      </c>
      <c r="AA64" t="s">
        <v>127</v>
      </c>
    </row>
    <row r="65" spans="1:28" ht="15" customHeight="1">
      <c r="A65">
        <v>64</v>
      </c>
      <c r="B65" s="115">
        <v>46175.6264814815</v>
      </c>
      <c r="C65" s="115">
        <v>46175.627800925897</v>
      </c>
      <c r="D65" t="s">
        <v>468</v>
      </c>
      <c r="E65" t="s">
        <v>469</v>
      </c>
      <c r="F65" t="s">
        <v>469</v>
      </c>
      <c r="G65">
        <v>626914</v>
      </c>
      <c r="H65" s="115">
        <v>46150</v>
      </c>
      <c r="I65" t="s">
        <v>472</v>
      </c>
      <c r="J65" t="s">
        <v>161</v>
      </c>
      <c r="M65" t="s">
        <v>486</v>
      </c>
      <c r="N65" t="s">
        <v>491</v>
      </c>
      <c r="O65" t="s">
        <v>490</v>
      </c>
      <c r="P65" t="s">
        <v>108</v>
      </c>
      <c r="Q65" t="s">
        <v>109</v>
      </c>
      <c r="R65" t="s">
        <v>22</v>
      </c>
      <c r="S65" t="s">
        <v>149</v>
      </c>
      <c r="T65" t="s">
        <v>226</v>
      </c>
      <c r="V65" t="s">
        <v>116</v>
      </c>
      <c r="W65" t="s">
        <v>169</v>
      </c>
      <c r="X65" t="s">
        <v>199</v>
      </c>
      <c r="Y65" t="s">
        <v>1351</v>
      </c>
      <c r="Z65" t="s">
        <v>492</v>
      </c>
      <c r="AA65" t="s">
        <v>494</v>
      </c>
    </row>
    <row r="66" spans="1:28" ht="15" customHeight="1">
      <c r="A66">
        <v>65</v>
      </c>
      <c r="B66" s="115">
        <v>46175.791006944499</v>
      </c>
      <c r="C66" s="115">
        <v>46175.793055555601</v>
      </c>
      <c r="D66" t="s">
        <v>495</v>
      </c>
      <c r="E66" t="s">
        <v>496</v>
      </c>
      <c r="F66" t="s">
        <v>496</v>
      </c>
      <c r="G66">
        <v>1150985</v>
      </c>
      <c r="H66" s="115">
        <v>46174</v>
      </c>
      <c r="I66" t="s">
        <v>498</v>
      </c>
      <c r="J66" t="s">
        <v>187</v>
      </c>
      <c r="K66" t="s">
        <v>254</v>
      </c>
      <c r="N66" t="s">
        <v>499</v>
      </c>
      <c r="O66" s="123">
        <v>4.2361111111111099E-2</v>
      </c>
      <c r="P66" t="s">
        <v>305</v>
      </c>
      <c r="Q66" t="s">
        <v>123</v>
      </c>
      <c r="R66" t="s">
        <v>22</v>
      </c>
      <c r="S66" t="s">
        <v>143</v>
      </c>
      <c r="T66" t="s">
        <v>144</v>
      </c>
      <c r="U66" t="s">
        <v>500</v>
      </c>
      <c r="V66" t="s">
        <v>116</v>
      </c>
      <c r="W66" t="s">
        <v>117</v>
      </c>
      <c r="X66" t="s">
        <v>124</v>
      </c>
      <c r="Y66" t="s">
        <v>124</v>
      </c>
      <c r="Z66" t="s">
        <v>157</v>
      </c>
      <c r="AA66" t="s">
        <v>127</v>
      </c>
    </row>
    <row r="67" spans="1:28" ht="30" customHeight="1">
      <c r="A67">
        <v>66</v>
      </c>
      <c r="B67" s="115">
        <v>46175.794259259303</v>
      </c>
      <c r="C67" s="115">
        <v>46175.798113425903</v>
      </c>
      <c r="D67" t="s">
        <v>501</v>
      </c>
      <c r="E67" t="s">
        <v>502</v>
      </c>
      <c r="F67" t="s">
        <v>502</v>
      </c>
      <c r="G67">
        <v>759506</v>
      </c>
      <c r="H67" s="115">
        <v>46177</v>
      </c>
      <c r="I67" t="s">
        <v>505</v>
      </c>
      <c r="J67" t="s">
        <v>174</v>
      </c>
      <c r="L67" t="s">
        <v>504</v>
      </c>
      <c r="N67" s="78" t="s">
        <v>506</v>
      </c>
      <c r="O67" t="s">
        <v>173</v>
      </c>
      <c r="P67" t="s">
        <v>108</v>
      </c>
      <c r="Q67" t="s">
        <v>109</v>
      </c>
      <c r="R67" t="s">
        <v>22</v>
      </c>
      <c r="S67" t="s">
        <v>143</v>
      </c>
      <c r="T67" t="s">
        <v>181</v>
      </c>
      <c r="U67" t="s">
        <v>508</v>
      </c>
      <c r="V67" t="s">
        <v>116</v>
      </c>
      <c r="W67" t="s">
        <v>130</v>
      </c>
      <c r="X67" t="s">
        <v>199</v>
      </c>
      <c r="Y67" t="s">
        <v>1351</v>
      </c>
      <c r="Z67" t="s">
        <v>280</v>
      </c>
      <c r="AA67" t="s">
        <v>507</v>
      </c>
    </row>
    <row r="68" spans="1:28" ht="30" customHeight="1">
      <c r="A68">
        <v>67</v>
      </c>
      <c r="B68" s="115">
        <v>46175.798159722202</v>
      </c>
      <c r="C68" s="115">
        <v>46175.802662037</v>
      </c>
      <c r="D68" t="s">
        <v>501</v>
      </c>
      <c r="E68" t="s">
        <v>502</v>
      </c>
      <c r="F68" t="s">
        <v>502</v>
      </c>
      <c r="G68">
        <v>759506</v>
      </c>
      <c r="H68" s="115">
        <v>46147</v>
      </c>
      <c r="I68" t="s">
        <v>505</v>
      </c>
      <c r="J68" t="s">
        <v>174</v>
      </c>
      <c r="L68" t="s">
        <v>504</v>
      </c>
      <c r="N68" s="78" t="s">
        <v>509</v>
      </c>
      <c r="O68" t="s">
        <v>122</v>
      </c>
      <c r="P68" t="s">
        <v>108</v>
      </c>
      <c r="Q68" t="s">
        <v>123</v>
      </c>
      <c r="R68" t="s">
        <v>23</v>
      </c>
      <c r="S68" t="s">
        <v>149</v>
      </c>
      <c r="T68" t="s">
        <v>150</v>
      </c>
      <c r="U68" t="s">
        <v>512</v>
      </c>
      <c r="V68" t="s">
        <v>151</v>
      </c>
      <c r="W68" t="s">
        <v>130</v>
      </c>
      <c r="X68" t="s">
        <v>511</v>
      </c>
      <c r="Y68" t="s">
        <v>18</v>
      </c>
      <c r="AB68" t="s">
        <v>510</v>
      </c>
    </row>
    <row r="69" spans="1:28" ht="15" customHeight="1">
      <c r="A69">
        <v>68</v>
      </c>
      <c r="B69" s="115">
        <v>46175.808611111097</v>
      </c>
      <c r="C69" s="115">
        <v>46175.810937499999</v>
      </c>
      <c r="D69" t="s">
        <v>513</v>
      </c>
      <c r="E69" t="s">
        <v>514</v>
      </c>
      <c r="F69" t="s">
        <v>515</v>
      </c>
      <c r="G69">
        <v>1126472</v>
      </c>
      <c r="H69" s="115">
        <v>46155</v>
      </c>
      <c r="I69" t="s">
        <v>472</v>
      </c>
      <c r="J69" t="s">
        <v>161</v>
      </c>
      <c r="M69" t="s">
        <v>517</v>
      </c>
      <c r="N69" t="s">
        <v>518</v>
      </c>
      <c r="O69" t="s">
        <v>135</v>
      </c>
      <c r="P69" t="s">
        <v>108</v>
      </c>
      <c r="Q69" t="s">
        <v>109</v>
      </c>
      <c r="R69" t="s">
        <v>24</v>
      </c>
      <c r="S69" t="s">
        <v>149</v>
      </c>
      <c r="T69" t="s">
        <v>144</v>
      </c>
      <c r="V69" t="s">
        <v>151</v>
      </c>
      <c r="W69" t="s">
        <v>130</v>
      </c>
      <c r="X69" t="s">
        <v>419</v>
      </c>
      <c r="Y69" t="s">
        <v>419</v>
      </c>
      <c r="Z69" t="s">
        <v>519</v>
      </c>
      <c r="AA69" t="s">
        <v>521</v>
      </c>
    </row>
    <row r="70" spans="1:28" ht="15" customHeight="1">
      <c r="A70">
        <v>69</v>
      </c>
      <c r="B70" s="115">
        <v>46175.8109722222</v>
      </c>
      <c r="C70" s="115">
        <v>46175.815162036997</v>
      </c>
      <c r="D70" t="s">
        <v>513</v>
      </c>
      <c r="E70" t="s">
        <v>514</v>
      </c>
      <c r="F70" t="s">
        <v>515</v>
      </c>
      <c r="G70">
        <v>1126472</v>
      </c>
      <c r="H70" s="115">
        <v>46162</v>
      </c>
      <c r="I70" t="s">
        <v>472</v>
      </c>
      <c r="J70" t="s">
        <v>174</v>
      </c>
      <c r="L70" t="s">
        <v>522</v>
      </c>
      <c r="N70" t="s">
        <v>523</v>
      </c>
      <c r="O70" t="s">
        <v>135</v>
      </c>
      <c r="P70" t="s">
        <v>108</v>
      </c>
      <c r="Q70" t="s">
        <v>109</v>
      </c>
      <c r="R70" t="s">
        <v>24</v>
      </c>
      <c r="S70" t="s">
        <v>143</v>
      </c>
      <c r="T70" t="s">
        <v>150</v>
      </c>
      <c r="U70" t="s">
        <v>528</v>
      </c>
      <c r="V70" t="s">
        <v>116</v>
      </c>
      <c r="W70" t="s">
        <v>117</v>
      </c>
      <c r="X70" t="s">
        <v>524</v>
      </c>
      <c r="Y70" t="s">
        <v>1358</v>
      </c>
      <c r="Z70" t="s">
        <v>525</v>
      </c>
      <c r="AA70" t="s">
        <v>527</v>
      </c>
    </row>
    <row r="71" spans="1:28" ht="15" customHeight="1">
      <c r="A71">
        <v>70</v>
      </c>
      <c r="B71" s="115">
        <v>46175.812881944497</v>
      </c>
      <c r="C71" s="115">
        <v>46175.817870370403</v>
      </c>
      <c r="D71" t="s">
        <v>529</v>
      </c>
      <c r="E71" t="s">
        <v>530</v>
      </c>
      <c r="F71" t="s">
        <v>530</v>
      </c>
      <c r="G71">
        <v>1049220</v>
      </c>
      <c r="H71" s="115">
        <v>46146</v>
      </c>
      <c r="I71" t="s">
        <v>427</v>
      </c>
      <c r="J71" t="s">
        <v>174</v>
      </c>
      <c r="L71" t="s">
        <v>532</v>
      </c>
      <c r="N71" t="s">
        <v>533</v>
      </c>
      <c r="O71" t="s">
        <v>190</v>
      </c>
      <c r="P71" t="s">
        <v>196</v>
      </c>
      <c r="Q71" t="s">
        <v>109</v>
      </c>
      <c r="R71" t="s">
        <v>24</v>
      </c>
      <c r="S71" t="s">
        <v>149</v>
      </c>
      <c r="T71" t="s">
        <v>181</v>
      </c>
      <c r="V71" t="s">
        <v>116</v>
      </c>
      <c r="W71" t="s">
        <v>130</v>
      </c>
      <c r="X71" t="s">
        <v>190</v>
      </c>
      <c r="Y71" t="s">
        <v>190</v>
      </c>
      <c r="Z71" t="s">
        <v>262</v>
      </c>
      <c r="AA71" t="s">
        <v>141</v>
      </c>
    </row>
    <row r="72" spans="1:28" ht="15" customHeight="1">
      <c r="A72">
        <v>71</v>
      </c>
      <c r="B72" s="115">
        <v>46175.818877314799</v>
      </c>
      <c r="C72" s="115">
        <v>46175.820590277799</v>
      </c>
      <c r="D72" t="s">
        <v>513</v>
      </c>
      <c r="E72" t="s">
        <v>514</v>
      </c>
      <c r="F72" t="s">
        <v>515</v>
      </c>
      <c r="G72">
        <v>1126472</v>
      </c>
      <c r="H72" s="115">
        <v>46154</v>
      </c>
      <c r="I72" t="s">
        <v>472</v>
      </c>
      <c r="J72" t="s">
        <v>161</v>
      </c>
      <c r="M72" t="s">
        <v>517</v>
      </c>
      <c r="N72" t="s">
        <v>518</v>
      </c>
      <c r="O72" t="s">
        <v>135</v>
      </c>
      <c r="P72" t="s">
        <v>108</v>
      </c>
      <c r="Q72" t="s">
        <v>109</v>
      </c>
      <c r="R72" t="s">
        <v>22</v>
      </c>
      <c r="S72" t="s">
        <v>149</v>
      </c>
      <c r="T72" t="s">
        <v>144</v>
      </c>
      <c r="V72" t="s">
        <v>151</v>
      </c>
      <c r="W72" t="s">
        <v>130</v>
      </c>
      <c r="X72" t="s">
        <v>199</v>
      </c>
      <c r="Y72" t="s">
        <v>1351</v>
      </c>
      <c r="Z72" t="s">
        <v>534</v>
      </c>
      <c r="AA72" t="s">
        <v>536</v>
      </c>
    </row>
    <row r="73" spans="1:28" ht="15" customHeight="1">
      <c r="A73">
        <v>72</v>
      </c>
      <c r="B73" s="115">
        <v>46175.820625</v>
      </c>
      <c r="C73" s="115">
        <v>46175.822673611103</v>
      </c>
      <c r="D73" t="s">
        <v>513</v>
      </c>
      <c r="E73" t="s">
        <v>514</v>
      </c>
      <c r="F73" t="s">
        <v>515</v>
      </c>
      <c r="G73">
        <v>1126472</v>
      </c>
      <c r="H73" s="115">
        <v>46163</v>
      </c>
      <c r="I73" t="s">
        <v>472</v>
      </c>
      <c r="J73" t="s">
        <v>161</v>
      </c>
      <c r="M73" t="s">
        <v>517</v>
      </c>
      <c r="N73" t="s">
        <v>518</v>
      </c>
      <c r="O73" s="123">
        <v>4.2361111111111099E-2</v>
      </c>
      <c r="P73" t="s">
        <v>221</v>
      </c>
      <c r="Q73" t="s">
        <v>109</v>
      </c>
      <c r="R73" t="s">
        <v>21</v>
      </c>
      <c r="S73" t="s">
        <v>143</v>
      </c>
      <c r="T73" t="s">
        <v>478</v>
      </c>
      <c r="U73" t="s">
        <v>541</v>
      </c>
      <c r="V73" t="s">
        <v>116</v>
      </c>
      <c r="W73" t="s">
        <v>117</v>
      </c>
      <c r="X73" t="s">
        <v>537</v>
      </c>
      <c r="AB73" t="s">
        <v>1359</v>
      </c>
    </row>
    <row r="74" spans="1:28" ht="15" customHeight="1">
      <c r="A74">
        <v>73</v>
      </c>
      <c r="B74" s="115">
        <v>46175.822708333297</v>
      </c>
      <c r="C74" s="115">
        <v>46175.824490740699</v>
      </c>
      <c r="D74" t="s">
        <v>513</v>
      </c>
      <c r="E74" t="s">
        <v>514</v>
      </c>
      <c r="F74" t="s">
        <v>515</v>
      </c>
      <c r="G74">
        <v>1126472</v>
      </c>
      <c r="H74" s="115">
        <v>46228</v>
      </c>
      <c r="I74" t="s">
        <v>472</v>
      </c>
      <c r="J74" t="s">
        <v>161</v>
      </c>
      <c r="M74" t="s">
        <v>517</v>
      </c>
      <c r="N74" t="s">
        <v>518</v>
      </c>
      <c r="O74" t="s">
        <v>135</v>
      </c>
      <c r="P74" t="s">
        <v>108</v>
      </c>
      <c r="Q74" t="s">
        <v>109</v>
      </c>
      <c r="R74" t="s">
        <v>24</v>
      </c>
      <c r="S74" t="s">
        <v>149</v>
      </c>
      <c r="T74" t="s">
        <v>181</v>
      </c>
      <c r="V74" t="s">
        <v>151</v>
      </c>
      <c r="W74" t="s">
        <v>130</v>
      </c>
      <c r="X74" t="s">
        <v>164</v>
      </c>
      <c r="Y74" t="s">
        <v>164</v>
      </c>
      <c r="Z74" t="s">
        <v>542</v>
      </c>
      <c r="AA74" t="s">
        <v>544</v>
      </c>
    </row>
    <row r="75" spans="1:28" ht="15" customHeight="1">
      <c r="A75">
        <v>74</v>
      </c>
      <c r="B75" s="115">
        <v>46175.824537036999</v>
      </c>
      <c r="C75" s="115">
        <v>46175.826157407399</v>
      </c>
      <c r="D75" t="s">
        <v>513</v>
      </c>
      <c r="E75" t="s">
        <v>514</v>
      </c>
      <c r="F75" t="s">
        <v>515</v>
      </c>
      <c r="G75">
        <v>1126472</v>
      </c>
      <c r="H75" s="115">
        <v>46168</v>
      </c>
      <c r="I75" t="s">
        <v>472</v>
      </c>
      <c r="J75" t="s">
        <v>161</v>
      </c>
      <c r="M75" t="s">
        <v>517</v>
      </c>
      <c r="N75" t="s">
        <v>518</v>
      </c>
      <c r="O75" t="s">
        <v>135</v>
      </c>
      <c r="P75" t="s">
        <v>108</v>
      </c>
      <c r="Q75" t="s">
        <v>109</v>
      </c>
      <c r="R75" t="s">
        <v>22</v>
      </c>
      <c r="S75" t="s">
        <v>546</v>
      </c>
      <c r="T75" t="s">
        <v>233</v>
      </c>
      <c r="U75" t="s">
        <v>547</v>
      </c>
      <c r="V75" t="s">
        <v>116</v>
      </c>
      <c r="W75" t="s">
        <v>117</v>
      </c>
      <c r="X75" t="s">
        <v>321</v>
      </c>
      <c r="Y75" t="s">
        <v>321</v>
      </c>
      <c r="Z75" t="s">
        <v>545</v>
      </c>
      <c r="AA75" t="s">
        <v>412</v>
      </c>
    </row>
    <row r="76" spans="1:28" ht="15" customHeight="1">
      <c r="A76">
        <v>75</v>
      </c>
      <c r="B76" s="115">
        <v>46175.8179282407</v>
      </c>
      <c r="C76" s="115">
        <v>46175.840092592603</v>
      </c>
      <c r="D76" t="s">
        <v>529</v>
      </c>
      <c r="E76" t="s">
        <v>530</v>
      </c>
      <c r="F76" t="s">
        <v>530</v>
      </c>
      <c r="G76">
        <v>1049220</v>
      </c>
      <c r="H76" s="115">
        <v>46149</v>
      </c>
      <c r="I76" t="s">
        <v>427</v>
      </c>
      <c r="J76" t="s">
        <v>174</v>
      </c>
      <c r="L76" t="s">
        <v>532</v>
      </c>
      <c r="N76" t="s">
        <v>548</v>
      </c>
      <c r="O76" t="s">
        <v>190</v>
      </c>
      <c r="P76" t="s">
        <v>196</v>
      </c>
      <c r="Q76" t="s">
        <v>109</v>
      </c>
      <c r="R76" t="s">
        <v>24</v>
      </c>
      <c r="S76" t="s">
        <v>149</v>
      </c>
      <c r="T76" t="s">
        <v>181</v>
      </c>
      <c r="V76" t="s">
        <v>116</v>
      </c>
      <c r="W76" t="s">
        <v>130</v>
      </c>
      <c r="X76" t="s">
        <v>190</v>
      </c>
      <c r="Y76" t="s">
        <v>190</v>
      </c>
      <c r="Z76" t="s">
        <v>141</v>
      </c>
      <c r="AA76" t="s">
        <v>141</v>
      </c>
    </row>
    <row r="77" spans="1:28" ht="15" customHeight="1">
      <c r="A77">
        <v>76</v>
      </c>
      <c r="B77" s="115">
        <v>46176.443553240701</v>
      </c>
      <c r="C77" s="115">
        <v>46176.447615740697</v>
      </c>
      <c r="D77" t="s">
        <v>549</v>
      </c>
      <c r="E77" t="s">
        <v>550</v>
      </c>
      <c r="F77" t="s">
        <v>551</v>
      </c>
      <c r="G77">
        <v>1086539</v>
      </c>
      <c r="H77" s="115">
        <v>46176</v>
      </c>
      <c r="I77" t="s">
        <v>553</v>
      </c>
      <c r="J77" t="s">
        <v>161</v>
      </c>
      <c r="M77" t="s">
        <v>554</v>
      </c>
      <c r="O77" s="123">
        <v>4.2361111111111099E-2</v>
      </c>
      <c r="P77" t="s">
        <v>196</v>
      </c>
      <c r="Q77" t="s">
        <v>123</v>
      </c>
      <c r="R77" t="s">
        <v>22</v>
      </c>
      <c r="S77" t="s">
        <v>143</v>
      </c>
      <c r="T77" t="s">
        <v>181</v>
      </c>
      <c r="V77" t="s">
        <v>129</v>
      </c>
      <c r="W77" t="s">
        <v>169</v>
      </c>
      <c r="X77" t="s">
        <v>124</v>
      </c>
      <c r="Y77" t="s">
        <v>124</v>
      </c>
      <c r="Z77" t="s">
        <v>332</v>
      </c>
      <c r="AA77" t="s">
        <v>334</v>
      </c>
    </row>
    <row r="78" spans="1:28" ht="15" customHeight="1">
      <c r="A78">
        <v>77</v>
      </c>
      <c r="B78" s="115">
        <v>46176.529421296298</v>
      </c>
      <c r="C78" s="115">
        <v>46176.5307060185</v>
      </c>
      <c r="D78" t="s">
        <v>556</v>
      </c>
      <c r="E78" t="s">
        <v>557</v>
      </c>
      <c r="F78" t="s">
        <v>557</v>
      </c>
      <c r="G78">
        <v>874976</v>
      </c>
      <c r="H78" s="115">
        <v>46176</v>
      </c>
      <c r="I78" t="s">
        <v>498</v>
      </c>
      <c r="J78" t="s">
        <v>161</v>
      </c>
      <c r="M78" t="s">
        <v>559</v>
      </c>
      <c r="O78" t="s">
        <v>122</v>
      </c>
      <c r="P78" t="s">
        <v>196</v>
      </c>
      <c r="Q78" t="s">
        <v>248</v>
      </c>
      <c r="R78" t="s">
        <v>25</v>
      </c>
      <c r="S78" t="s">
        <v>149</v>
      </c>
      <c r="T78" t="s">
        <v>563</v>
      </c>
      <c r="U78" t="s">
        <v>564</v>
      </c>
      <c r="V78" t="s">
        <v>116</v>
      </c>
      <c r="W78" t="s">
        <v>130</v>
      </c>
      <c r="X78" t="s">
        <v>451</v>
      </c>
      <c r="Y78" t="s">
        <v>982</v>
      </c>
      <c r="Z78" t="s">
        <v>560</v>
      </c>
      <c r="AA78" t="s">
        <v>562</v>
      </c>
    </row>
    <row r="79" spans="1:28" ht="15" customHeight="1">
      <c r="A79">
        <v>78</v>
      </c>
      <c r="B79" s="115">
        <v>46176.527696759302</v>
      </c>
      <c r="C79" s="115">
        <v>46176.5467824074</v>
      </c>
      <c r="D79" t="s">
        <v>565</v>
      </c>
      <c r="E79" t="s">
        <v>566</v>
      </c>
      <c r="F79" t="s">
        <v>567</v>
      </c>
      <c r="G79">
        <v>1060522</v>
      </c>
      <c r="H79" s="115">
        <v>46155</v>
      </c>
      <c r="I79" t="s">
        <v>498</v>
      </c>
      <c r="J79" t="s">
        <v>161</v>
      </c>
      <c r="M79" t="s">
        <v>569</v>
      </c>
      <c r="N79" t="s">
        <v>570</v>
      </c>
      <c r="O79" t="s">
        <v>436</v>
      </c>
      <c r="P79" t="s">
        <v>108</v>
      </c>
      <c r="Q79" t="s">
        <v>248</v>
      </c>
      <c r="R79" t="s">
        <v>22</v>
      </c>
      <c r="S79" t="s">
        <v>149</v>
      </c>
      <c r="T79" t="s">
        <v>144</v>
      </c>
      <c r="U79" t="s">
        <v>572</v>
      </c>
      <c r="V79" t="s">
        <v>151</v>
      </c>
      <c r="W79" t="s">
        <v>130</v>
      </c>
      <c r="X79" t="s">
        <v>124</v>
      </c>
      <c r="Y79" t="s">
        <v>124</v>
      </c>
      <c r="Z79" t="s">
        <v>571</v>
      </c>
      <c r="AA79" t="s">
        <v>571</v>
      </c>
    </row>
    <row r="80" spans="1:28" ht="15" customHeight="1">
      <c r="A80">
        <v>79</v>
      </c>
      <c r="B80" s="115">
        <v>46176.627997685202</v>
      </c>
      <c r="C80" s="115">
        <v>46176.636736111097</v>
      </c>
      <c r="D80" t="s">
        <v>468</v>
      </c>
      <c r="E80" t="s">
        <v>469</v>
      </c>
      <c r="F80" t="s">
        <v>469</v>
      </c>
      <c r="G80">
        <v>626914</v>
      </c>
      <c r="H80" s="115">
        <v>46150</v>
      </c>
      <c r="I80" t="s">
        <v>472</v>
      </c>
      <c r="J80" t="s">
        <v>161</v>
      </c>
      <c r="M80" t="s">
        <v>486</v>
      </c>
      <c r="N80" t="s">
        <v>486</v>
      </c>
      <c r="O80" t="s">
        <v>135</v>
      </c>
      <c r="P80" t="s">
        <v>108</v>
      </c>
      <c r="Q80" t="s">
        <v>109</v>
      </c>
      <c r="R80" t="s">
        <v>22</v>
      </c>
      <c r="S80" t="s">
        <v>149</v>
      </c>
      <c r="T80" t="s">
        <v>144</v>
      </c>
      <c r="U80" t="s">
        <v>576</v>
      </c>
      <c r="V80" t="s">
        <v>151</v>
      </c>
      <c r="W80" t="s">
        <v>117</v>
      </c>
      <c r="X80" t="s">
        <v>124</v>
      </c>
      <c r="Y80" t="s">
        <v>124</v>
      </c>
      <c r="Z80" t="s">
        <v>573</v>
      </c>
      <c r="AA80" t="s">
        <v>575</v>
      </c>
    </row>
    <row r="81" spans="1:27" ht="15" customHeight="1">
      <c r="A81">
        <v>80</v>
      </c>
      <c r="B81" s="115">
        <v>46176.636793981503</v>
      </c>
      <c r="C81" s="115">
        <v>46176.638032407398</v>
      </c>
      <c r="D81" t="s">
        <v>468</v>
      </c>
      <c r="E81" t="s">
        <v>469</v>
      </c>
      <c r="F81" t="s">
        <v>469</v>
      </c>
      <c r="G81">
        <v>626914</v>
      </c>
      <c r="H81" s="115">
        <v>46150</v>
      </c>
      <c r="I81" t="s">
        <v>472</v>
      </c>
      <c r="J81" t="s">
        <v>161</v>
      </c>
      <c r="M81" t="s">
        <v>577</v>
      </c>
      <c r="N81" t="s">
        <v>578</v>
      </c>
      <c r="O81" t="s">
        <v>135</v>
      </c>
      <c r="P81" t="s">
        <v>108</v>
      </c>
      <c r="Q81" t="s">
        <v>109</v>
      </c>
      <c r="R81" t="s">
        <v>25</v>
      </c>
      <c r="S81" t="s">
        <v>149</v>
      </c>
      <c r="T81" t="s">
        <v>181</v>
      </c>
      <c r="V81" t="s">
        <v>116</v>
      </c>
      <c r="W81" t="s">
        <v>117</v>
      </c>
      <c r="X81" t="s">
        <v>256</v>
      </c>
      <c r="Y81" t="s">
        <v>256</v>
      </c>
      <c r="Z81" t="s">
        <v>579</v>
      </c>
      <c r="AA81" t="s">
        <v>581</v>
      </c>
    </row>
    <row r="82" spans="1:27" ht="15" customHeight="1">
      <c r="A82">
        <v>81</v>
      </c>
      <c r="B82" s="115">
        <v>46176.662060185197</v>
      </c>
      <c r="C82" s="115">
        <v>46176.665578703702</v>
      </c>
      <c r="D82" t="s">
        <v>468</v>
      </c>
      <c r="E82" t="s">
        <v>469</v>
      </c>
      <c r="F82" t="s">
        <v>469</v>
      </c>
      <c r="G82">
        <v>626914</v>
      </c>
      <c r="H82" s="115">
        <v>46157</v>
      </c>
      <c r="I82" t="s">
        <v>472</v>
      </c>
      <c r="J82" t="s">
        <v>161</v>
      </c>
      <c r="M82" t="s">
        <v>486</v>
      </c>
      <c r="N82" t="s">
        <v>583</v>
      </c>
      <c r="O82" t="s">
        <v>582</v>
      </c>
      <c r="P82" t="s">
        <v>108</v>
      </c>
      <c r="Q82" t="s">
        <v>109</v>
      </c>
      <c r="R82" t="s">
        <v>22</v>
      </c>
      <c r="S82" t="s">
        <v>149</v>
      </c>
      <c r="T82" t="s">
        <v>478</v>
      </c>
      <c r="V82" t="s">
        <v>151</v>
      </c>
      <c r="W82" t="s">
        <v>117</v>
      </c>
      <c r="X82" t="s">
        <v>199</v>
      </c>
      <c r="Y82" t="s">
        <v>1351</v>
      </c>
      <c r="Z82" t="s">
        <v>584</v>
      </c>
      <c r="AA82" t="s">
        <v>295</v>
      </c>
    </row>
    <row r="83" spans="1:27" ht="15" customHeight="1">
      <c r="A83">
        <v>82</v>
      </c>
      <c r="B83" s="115">
        <v>46176.71875</v>
      </c>
      <c r="C83" s="115">
        <v>46176.733495370398</v>
      </c>
      <c r="D83" t="s">
        <v>238</v>
      </c>
      <c r="E83" t="s">
        <v>239</v>
      </c>
      <c r="F83" t="s">
        <v>239</v>
      </c>
      <c r="G83">
        <v>1060521</v>
      </c>
      <c r="H83" s="115">
        <v>46174</v>
      </c>
      <c r="I83" t="s">
        <v>241</v>
      </c>
      <c r="J83" t="s">
        <v>161</v>
      </c>
      <c r="M83" t="s">
        <v>585</v>
      </c>
      <c r="N83" t="s">
        <v>586</v>
      </c>
      <c r="O83" t="s">
        <v>107</v>
      </c>
      <c r="P83" t="s">
        <v>108</v>
      </c>
      <c r="Q83" t="s">
        <v>109</v>
      </c>
      <c r="R83" t="s">
        <v>22</v>
      </c>
      <c r="S83" t="s">
        <v>149</v>
      </c>
      <c r="T83" t="s">
        <v>181</v>
      </c>
      <c r="V83" t="s">
        <v>129</v>
      </c>
      <c r="W83" t="s">
        <v>130</v>
      </c>
      <c r="X83" t="s">
        <v>124</v>
      </c>
      <c r="Y83" t="s">
        <v>124</v>
      </c>
      <c r="Z83" t="s">
        <v>587</v>
      </c>
      <c r="AA83" t="s">
        <v>141</v>
      </c>
    </row>
    <row r="84" spans="1:27" ht="15" customHeight="1">
      <c r="A84">
        <v>83</v>
      </c>
      <c r="B84" s="115">
        <v>46176.733553240701</v>
      </c>
      <c r="C84" s="115">
        <v>46176.738553240699</v>
      </c>
      <c r="D84" t="s">
        <v>238</v>
      </c>
      <c r="E84" t="s">
        <v>239</v>
      </c>
      <c r="F84" t="s">
        <v>239</v>
      </c>
      <c r="G84">
        <v>1060521</v>
      </c>
      <c r="H84" s="115">
        <v>46175</v>
      </c>
      <c r="I84" t="s">
        <v>241</v>
      </c>
      <c r="J84" t="s">
        <v>161</v>
      </c>
      <c r="M84" t="s">
        <v>361</v>
      </c>
      <c r="N84" t="s">
        <v>242</v>
      </c>
      <c r="O84" t="s">
        <v>160</v>
      </c>
      <c r="P84" t="s">
        <v>108</v>
      </c>
      <c r="Q84" t="s">
        <v>123</v>
      </c>
      <c r="R84" t="s">
        <v>24</v>
      </c>
      <c r="S84" t="s">
        <v>143</v>
      </c>
      <c r="T84" t="s">
        <v>144</v>
      </c>
      <c r="V84" t="s">
        <v>151</v>
      </c>
      <c r="W84" t="s">
        <v>169</v>
      </c>
      <c r="X84" t="s">
        <v>164</v>
      </c>
      <c r="Y84" t="s">
        <v>164</v>
      </c>
      <c r="Z84" t="s">
        <v>589</v>
      </c>
      <c r="AA84" t="s">
        <v>591</v>
      </c>
    </row>
    <row r="85" spans="1:27" ht="15" customHeight="1">
      <c r="A85">
        <v>84</v>
      </c>
      <c r="B85" s="115">
        <v>46176.729988425897</v>
      </c>
      <c r="C85" s="115">
        <v>46176.739456018498</v>
      </c>
      <c r="D85" t="s">
        <v>592</v>
      </c>
      <c r="E85" t="s">
        <v>593</v>
      </c>
      <c r="F85" t="s">
        <v>594</v>
      </c>
      <c r="G85">
        <v>757470</v>
      </c>
      <c r="H85" s="115">
        <v>46148</v>
      </c>
      <c r="I85" t="s">
        <v>596</v>
      </c>
      <c r="J85" t="s">
        <v>161</v>
      </c>
      <c r="M85" t="s">
        <v>597</v>
      </c>
      <c r="N85" t="s">
        <v>598</v>
      </c>
      <c r="O85" t="s">
        <v>122</v>
      </c>
      <c r="P85" t="s">
        <v>108</v>
      </c>
      <c r="Q85" t="s">
        <v>123</v>
      </c>
      <c r="R85" t="s">
        <v>22</v>
      </c>
      <c r="S85" t="s">
        <v>143</v>
      </c>
      <c r="T85" t="s">
        <v>181</v>
      </c>
      <c r="U85" t="s">
        <v>602</v>
      </c>
      <c r="V85" t="s">
        <v>129</v>
      </c>
      <c r="W85" t="s">
        <v>130</v>
      </c>
      <c r="X85" t="s">
        <v>329</v>
      </c>
      <c r="Y85" t="s">
        <v>1353</v>
      </c>
      <c r="Z85" t="s">
        <v>599</v>
      </c>
      <c r="AA85" t="s">
        <v>601</v>
      </c>
    </row>
    <row r="86" spans="1:27" ht="15" customHeight="1">
      <c r="A86">
        <v>85</v>
      </c>
      <c r="B86" s="115">
        <v>46177.020347222198</v>
      </c>
      <c r="C86" s="115">
        <v>46177.022384259297</v>
      </c>
      <c r="D86" t="s">
        <v>468</v>
      </c>
      <c r="E86" t="s">
        <v>469</v>
      </c>
      <c r="F86" t="s">
        <v>469</v>
      </c>
      <c r="G86">
        <v>626914</v>
      </c>
      <c r="H86" s="115">
        <v>46157</v>
      </c>
      <c r="I86" t="s">
        <v>472</v>
      </c>
      <c r="J86" t="s">
        <v>161</v>
      </c>
      <c r="M86" t="s">
        <v>603</v>
      </c>
      <c r="N86" t="s">
        <v>603</v>
      </c>
      <c r="O86" t="s">
        <v>135</v>
      </c>
      <c r="P86" t="s">
        <v>108</v>
      </c>
      <c r="Q86" t="s">
        <v>109</v>
      </c>
      <c r="R86" t="s">
        <v>21</v>
      </c>
      <c r="S86" t="s">
        <v>143</v>
      </c>
      <c r="T86" t="s">
        <v>606</v>
      </c>
      <c r="V86" t="s">
        <v>116</v>
      </c>
      <c r="W86" t="s">
        <v>117</v>
      </c>
      <c r="X86" t="s">
        <v>177</v>
      </c>
      <c r="Y86" t="s">
        <v>177</v>
      </c>
      <c r="Z86" t="s">
        <v>604</v>
      </c>
      <c r="AA86" t="s">
        <v>180</v>
      </c>
    </row>
    <row r="87" spans="1:27" ht="15" customHeight="1">
      <c r="A87">
        <v>86</v>
      </c>
      <c r="B87" s="115">
        <v>46177.025972222204</v>
      </c>
      <c r="C87" s="115">
        <v>46177.027037036998</v>
      </c>
      <c r="D87" t="s">
        <v>468</v>
      </c>
      <c r="E87" t="s">
        <v>469</v>
      </c>
      <c r="F87" t="s">
        <v>469</v>
      </c>
      <c r="G87">
        <v>626914</v>
      </c>
      <c r="H87" s="115">
        <v>46162</v>
      </c>
      <c r="I87" t="s">
        <v>472</v>
      </c>
      <c r="J87" t="s">
        <v>161</v>
      </c>
      <c r="M87" t="s">
        <v>473</v>
      </c>
      <c r="N87" t="s">
        <v>607</v>
      </c>
      <c r="O87" t="s">
        <v>122</v>
      </c>
      <c r="P87" t="s">
        <v>108</v>
      </c>
      <c r="Q87" t="s">
        <v>123</v>
      </c>
      <c r="R87" t="s">
        <v>25</v>
      </c>
      <c r="S87" t="s">
        <v>149</v>
      </c>
      <c r="T87" t="s">
        <v>478</v>
      </c>
      <c r="V87" t="s">
        <v>151</v>
      </c>
      <c r="W87" t="s">
        <v>117</v>
      </c>
      <c r="X87" t="s">
        <v>256</v>
      </c>
      <c r="Y87" t="s">
        <v>256</v>
      </c>
      <c r="Z87" t="s">
        <v>608</v>
      </c>
      <c r="AA87" t="s">
        <v>610</v>
      </c>
    </row>
    <row r="88" spans="1:27" ht="15" customHeight="1">
      <c r="A88">
        <v>87</v>
      </c>
      <c r="B88" s="115">
        <v>46177.030810185199</v>
      </c>
      <c r="C88" s="115">
        <v>46177.032708333303</v>
      </c>
      <c r="D88" t="s">
        <v>468</v>
      </c>
      <c r="E88" t="s">
        <v>469</v>
      </c>
      <c r="F88" t="s">
        <v>469</v>
      </c>
      <c r="G88">
        <v>626914</v>
      </c>
      <c r="H88" s="115">
        <v>46164</v>
      </c>
      <c r="I88" t="s">
        <v>472</v>
      </c>
      <c r="J88" t="s">
        <v>161</v>
      </c>
      <c r="M88" t="s">
        <v>486</v>
      </c>
      <c r="N88" t="s">
        <v>611</v>
      </c>
      <c r="O88" t="s">
        <v>135</v>
      </c>
      <c r="P88" t="s">
        <v>108</v>
      </c>
      <c r="Q88" t="s">
        <v>109</v>
      </c>
      <c r="R88" t="s">
        <v>22</v>
      </c>
      <c r="S88" t="s">
        <v>149</v>
      </c>
      <c r="T88" t="s">
        <v>144</v>
      </c>
      <c r="V88" t="s">
        <v>151</v>
      </c>
      <c r="W88" t="s">
        <v>117</v>
      </c>
      <c r="X88" t="s">
        <v>124</v>
      </c>
      <c r="Y88" t="s">
        <v>124</v>
      </c>
      <c r="Z88" t="s">
        <v>612</v>
      </c>
      <c r="AA88" t="s">
        <v>127</v>
      </c>
    </row>
    <row r="89" spans="1:27" ht="15" customHeight="1">
      <c r="A89">
        <v>88</v>
      </c>
      <c r="B89" s="115">
        <v>46177.032881944499</v>
      </c>
      <c r="C89" s="115">
        <v>46177.034016203703</v>
      </c>
      <c r="D89" t="s">
        <v>468</v>
      </c>
      <c r="E89" t="s">
        <v>469</v>
      </c>
      <c r="F89" t="s">
        <v>469</v>
      </c>
      <c r="G89">
        <v>626914</v>
      </c>
      <c r="H89" s="115">
        <v>46168</v>
      </c>
      <c r="I89" t="s">
        <v>472</v>
      </c>
      <c r="J89" t="s">
        <v>187</v>
      </c>
      <c r="K89" t="s">
        <v>254</v>
      </c>
      <c r="N89" t="s">
        <v>614</v>
      </c>
      <c r="O89" t="s">
        <v>135</v>
      </c>
      <c r="P89" t="s">
        <v>108</v>
      </c>
      <c r="Q89" t="s">
        <v>123</v>
      </c>
      <c r="R89" t="s">
        <v>22</v>
      </c>
      <c r="S89" t="s">
        <v>149</v>
      </c>
      <c r="T89" t="s">
        <v>150</v>
      </c>
      <c r="V89" t="s">
        <v>151</v>
      </c>
      <c r="W89" t="s">
        <v>117</v>
      </c>
      <c r="X89" t="s">
        <v>302</v>
      </c>
      <c r="Y89" t="s">
        <v>302</v>
      </c>
      <c r="Z89" t="s">
        <v>615</v>
      </c>
      <c r="AA89" t="s">
        <v>617</v>
      </c>
    </row>
    <row r="90" spans="1:27" ht="30" customHeight="1">
      <c r="A90">
        <v>89</v>
      </c>
      <c r="B90" s="115">
        <v>46177.495000000003</v>
      </c>
      <c r="C90" s="115">
        <v>46177.4983796296</v>
      </c>
      <c r="D90" t="s">
        <v>227</v>
      </c>
      <c r="E90" t="s">
        <v>228</v>
      </c>
      <c r="F90" t="s">
        <v>228</v>
      </c>
      <c r="G90">
        <v>759427</v>
      </c>
      <c r="H90" s="115">
        <v>46167</v>
      </c>
      <c r="I90" t="s">
        <v>136</v>
      </c>
      <c r="J90" t="s">
        <v>161</v>
      </c>
      <c r="M90" t="s">
        <v>155</v>
      </c>
      <c r="N90" s="78" t="s">
        <v>618</v>
      </c>
      <c r="O90" t="s">
        <v>135</v>
      </c>
      <c r="P90" t="s">
        <v>108</v>
      </c>
      <c r="Q90" t="s">
        <v>109</v>
      </c>
      <c r="R90" t="s">
        <v>22</v>
      </c>
      <c r="S90" t="s">
        <v>149</v>
      </c>
      <c r="T90" t="s">
        <v>181</v>
      </c>
      <c r="V90" t="s">
        <v>151</v>
      </c>
      <c r="W90" t="s">
        <v>130</v>
      </c>
      <c r="X90" t="s">
        <v>329</v>
      </c>
      <c r="Y90" t="s">
        <v>1353</v>
      </c>
      <c r="Z90" t="s">
        <v>619</v>
      </c>
      <c r="AA90" t="s">
        <v>141</v>
      </c>
    </row>
    <row r="91" spans="1:27" ht="15" customHeight="1">
      <c r="A91">
        <v>90</v>
      </c>
      <c r="B91" s="115">
        <v>46178.503483796303</v>
      </c>
      <c r="C91" s="115">
        <v>46178.508368055598</v>
      </c>
      <c r="D91" t="s">
        <v>413</v>
      </c>
      <c r="E91" t="s">
        <v>414</v>
      </c>
      <c r="F91" t="s">
        <v>415</v>
      </c>
      <c r="G91">
        <v>1049279</v>
      </c>
      <c r="H91" s="115">
        <v>46161</v>
      </c>
      <c r="I91" t="s">
        <v>136</v>
      </c>
      <c r="J91" t="s">
        <v>161</v>
      </c>
      <c r="M91" t="s">
        <v>621</v>
      </c>
      <c r="N91" t="s">
        <v>622</v>
      </c>
      <c r="O91" t="s">
        <v>107</v>
      </c>
      <c r="P91" t="s">
        <v>108</v>
      </c>
      <c r="Q91" t="s">
        <v>109</v>
      </c>
      <c r="R91" t="s">
        <v>22</v>
      </c>
      <c r="S91" t="s">
        <v>143</v>
      </c>
      <c r="T91" t="s">
        <v>181</v>
      </c>
      <c r="U91" t="s">
        <v>626</v>
      </c>
      <c r="V91" t="s">
        <v>151</v>
      </c>
      <c r="W91" t="s">
        <v>130</v>
      </c>
      <c r="X91" t="s">
        <v>329</v>
      </c>
      <c r="Y91" t="s">
        <v>1353</v>
      </c>
      <c r="Z91" t="s">
        <v>623</v>
      </c>
      <c r="AA91" t="s">
        <v>625</v>
      </c>
    </row>
    <row r="92" spans="1:27" ht="15" customHeight="1">
      <c r="A92">
        <v>91</v>
      </c>
      <c r="B92" s="115">
        <v>46178.508472222202</v>
      </c>
      <c r="C92" s="115">
        <v>46178.511331018497</v>
      </c>
      <c r="D92" t="s">
        <v>413</v>
      </c>
      <c r="E92" t="s">
        <v>414</v>
      </c>
      <c r="F92" t="s">
        <v>415</v>
      </c>
      <c r="G92">
        <v>1049279</v>
      </c>
      <c r="H92" s="115">
        <v>46162</v>
      </c>
      <c r="I92" t="s">
        <v>136</v>
      </c>
      <c r="J92" t="s">
        <v>174</v>
      </c>
      <c r="L92" t="s">
        <v>627</v>
      </c>
      <c r="N92" t="s">
        <v>418</v>
      </c>
      <c r="O92" t="s">
        <v>160</v>
      </c>
      <c r="P92" t="s">
        <v>108</v>
      </c>
      <c r="Q92" t="s">
        <v>123</v>
      </c>
      <c r="R92" t="s">
        <v>24</v>
      </c>
      <c r="S92" t="s">
        <v>149</v>
      </c>
      <c r="T92" t="s">
        <v>226</v>
      </c>
      <c r="U92" t="s">
        <v>631</v>
      </c>
      <c r="V92" t="s">
        <v>116</v>
      </c>
      <c r="W92" t="s">
        <v>169</v>
      </c>
      <c r="X92" t="s">
        <v>419</v>
      </c>
      <c r="Y92" t="s">
        <v>419</v>
      </c>
      <c r="Z92" t="s">
        <v>628</v>
      </c>
      <c r="AA92" t="s">
        <v>630</v>
      </c>
    </row>
    <row r="93" spans="1:27" ht="15" customHeight="1">
      <c r="A93">
        <v>92</v>
      </c>
      <c r="B93" s="115">
        <v>46178.511377314797</v>
      </c>
      <c r="C93" s="115">
        <v>46178.513935185198</v>
      </c>
      <c r="D93" t="s">
        <v>413</v>
      </c>
      <c r="E93" t="s">
        <v>414</v>
      </c>
      <c r="F93" t="s">
        <v>415</v>
      </c>
      <c r="G93">
        <v>1049279</v>
      </c>
      <c r="H93" s="115">
        <v>46162</v>
      </c>
      <c r="I93" t="s">
        <v>136</v>
      </c>
      <c r="J93" t="s">
        <v>187</v>
      </c>
      <c r="K93" t="s">
        <v>188</v>
      </c>
      <c r="N93" t="s">
        <v>632</v>
      </c>
      <c r="O93" t="s">
        <v>135</v>
      </c>
      <c r="P93" t="s">
        <v>108</v>
      </c>
      <c r="Q93" t="s">
        <v>123</v>
      </c>
      <c r="R93" t="s">
        <v>24</v>
      </c>
      <c r="S93" t="s">
        <v>149</v>
      </c>
      <c r="T93" t="s">
        <v>181</v>
      </c>
      <c r="V93" t="s">
        <v>151</v>
      </c>
      <c r="W93" t="s">
        <v>130</v>
      </c>
      <c r="X93" t="s">
        <v>190</v>
      </c>
      <c r="Y93" t="s">
        <v>190</v>
      </c>
      <c r="Z93" t="s">
        <v>633</v>
      </c>
      <c r="AA93" t="s">
        <v>141</v>
      </c>
    </row>
    <row r="94" spans="1:27" ht="15" customHeight="1">
      <c r="A94">
        <v>93</v>
      </c>
      <c r="B94" s="115">
        <v>46178.513993055603</v>
      </c>
      <c r="C94" s="115">
        <v>46178.516863425903</v>
      </c>
      <c r="D94" t="s">
        <v>413</v>
      </c>
      <c r="E94" t="s">
        <v>414</v>
      </c>
      <c r="F94" t="s">
        <v>415</v>
      </c>
      <c r="G94">
        <v>1049279</v>
      </c>
      <c r="H94" s="115">
        <v>46163</v>
      </c>
      <c r="I94" t="s">
        <v>136</v>
      </c>
      <c r="J94" t="s">
        <v>187</v>
      </c>
      <c r="K94" t="s">
        <v>634</v>
      </c>
      <c r="N94" t="s">
        <v>418</v>
      </c>
      <c r="O94" t="s">
        <v>160</v>
      </c>
      <c r="P94" t="s">
        <v>108</v>
      </c>
      <c r="Q94" t="s">
        <v>123</v>
      </c>
      <c r="R94" t="s">
        <v>24</v>
      </c>
      <c r="S94" t="s">
        <v>149</v>
      </c>
      <c r="T94" t="s">
        <v>150</v>
      </c>
      <c r="U94" t="s">
        <v>638</v>
      </c>
      <c r="V94" t="s">
        <v>151</v>
      </c>
      <c r="W94" t="s">
        <v>130</v>
      </c>
      <c r="X94" t="s">
        <v>190</v>
      </c>
      <c r="Y94" t="s">
        <v>190</v>
      </c>
      <c r="Z94" t="s">
        <v>635</v>
      </c>
      <c r="AA94" t="s">
        <v>637</v>
      </c>
    </row>
    <row r="95" spans="1:27" ht="15" customHeight="1">
      <c r="A95">
        <v>94</v>
      </c>
      <c r="B95" s="115">
        <v>46178.516944444498</v>
      </c>
      <c r="C95" s="115">
        <v>46178.5190856482</v>
      </c>
      <c r="D95" t="s">
        <v>413</v>
      </c>
      <c r="E95" t="s">
        <v>414</v>
      </c>
      <c r="F95" t="s">
        <v>415</v>
      </c>
      <c r="G95">
        <v>1049279</v>
      </c>
      <c r="H95" s="115">
        <v>46163</v>
      </c>
      <c r="I95" t="s">
        <v>136</v>
      </c>
      <c r="J95" t="s">
        <v>187</v>
      </c>
      <c r="K95" t="s">
        <v>634</v>
      </c>
      <c r="N95" t="s">
        <v>639</v>
      </c>
      <c r="O95" t="s">
        <v>160</v>
      </c>
      <c r="P95" t="s">
        <v>108</v>
      </c>
      <c r="Q95" t="s">
        <v>248</v>
      </c>
      <c r="R95" t="s">
        <v>23</v>
      </c>
      <c r="S95" t="s">
        <v>149</v>
      </c>
      <c r="T95" t="s">
        <v>181</v>
      </c>
      <c r="U95" t="s">
        <v>641</v>
      </c>
      <c r="V95" t="s">
        <v>151</v>
      </c>
      <c r="W95" t="s">
        <v>130</v>
      </c>
      <c r="X95" t="s">
        <v>252</v>
      </c>
      <c r="Y95" t="s">
        <v>974</v>
      </c>
    </row>
    <row r="96" spans="1:27" ht="15" customHeight="1">
      <c r="A96">
        <v>95</v>
      </c>
      <c r="B96" s="115">
        <v>46178.519120370402</v>
      </c>
      <c r="C96" s="115">
        <v>46178.521377314799</v>
      </c>
      <c r="D96" t="s">
        <v>413</v>
      </c>
      <c r="E96" t="s">
        <v>414</v>
      </c>
      <c r="F96" t="s">
        <v>415</v>
      </c>
      <c r="G96">
        <v>1049279</v>
      </c>
      <c r="H96" s="115">
        <v>46167</v>
      </c>
      <c r="I96" t="s">
        <v>136</v>
      </c>
      <c r="J96" t="s">
        <v>174</v>
      </c>
      <c r="L96" t="s">
        <v>627</v>
      </c>
      <c r="N96" t="s">
        <v>418</v>
      </c>
      <c r="O96" t="s">
        <v>135</v>
      </c>
      <c r="P96" t="s">
        <v>108</v>
      </c>
      <c r="Q96" t="s">
        <v>109</v>
      </c>
      <c r="R96" t="s">
        <v>22</v>
      </c>
      <c r="S96" t="s">
        <v>149</v>
      </c>
      <c r="T96" t="s">
        <v>181</v>
      </c>
      <c r="U96" t="s">
        <v>645</v>
      </c>
      <c r="V96" t="s">
        <v>151</v>
      </c>
      <c r="W96" t="s">
        <v>130</v>
      </c>
      <c r="X96" t="s">
        <v>321</v>
      </c>
      <c r="Y96" t="s">
        <v>321</v>
      </c>
      <c r="Z96" t="s">
        <v>642</v>
      </c>
      <c r="AA96" t="s">
        <v>644</v>
      </c>
    </row>
    <row r="97" spans="1:28" ht="15" customHeight="1">
      <c r="A97">
        <v>96</v>
      </c>
      <c r="B97" s="115">
        <v>46178.521435185197</v>
      </c>
      <c r="C97" s="115">
        <v>46178.524097222202</v>
      </c>
      <c r="D97" t="s">
        <v>413</v>
      </c>
      <c r="E97" t="s">
        <v>414</v>
      </c>
      <c r="F97" t="s">
        <v>415</v>
      </c>
      <c r="G97">
        <v>1049279</v>
      </c>
      <c r="H97" s="115">
        <v>46168</v>
      </c>
      <c r="I97" t="s">
        <v>136</v>
      </c>
      <c r="J97" t="s">
        <v>161</v>
      </c>
      <c r="M97" t="s">
        <v>621</v>
      </c>
      <c r="N97" t="s">
        <v>646</v>
      </c>
      <c r="O97" s="123">
        <v>4.2361111111111099E-2</v>
      </c>
      <c r="P97" t="s">
        <v>196</v>
      </c>
      <c r="Q97" t="s">
        <v>109</v>
      </c>
      <c r="R97" t="s">
        <v>21</v>
      </c>
      <c r="S97" t="s">
        <v>143</v>
      </c>
      <c r="T97" t="s">
        <v>181</v>
      </c>
      <c r="U97" t="s">
        <v>650</v>
      </c>
      <c r="V97" t="s">
        <v>151</v>
      </c>
      <c r="W97" t="s">
        <v>130</v>
      </c>
      <c r="X97" t="s">
        <v>177</v>
      </c>
      <c r="Y97" t="s">
        <v>177</v>
      </c>
      <c r="Z97" t="s">
        <v>647</v>
      </c>
      <c r="AA97" t="s">
        <v>649</v>
      </c>
    </row>
    <row r="98" spans="1:28" ht="30" customHeight="1">
      <c r="A98">
        <v>97</v>
      </c>
      <c r="B98" s="115">
        <v>46178.524143518502</v>
      </c>
      <c r="C98" s="115">
        <v>46178.525381944499</v>
      </c>
      <c r="D98" t="s">
        <v>413</v>
      </c>
      <c r="E98" t="s">
        <v>414</v>
      </c>
      <c r="F98" t="s">
        <v>415</v>
      </c>
      <c r="G98">
        <v>1049279</v>
      </c>
      <c r="H98" s="115">
        <v>46168</v>
      </c>
      <c r="I98" t="s">
        <v>136</v>
      </c>
      <c r="J98" t="s">
        <v>161</v>
      </c>
      <c r="M98" t="s">
        <v>621</v>
      </c>
      <c r="N98" t="s">
        <v>646</v>
      </c>
      <c r="O98" s="123">
        <v>4.2361111111111099E-2</v>
      </c>
      <c r="P98" t="s">
        <v>196</v>
      </c>
      <c r="Q98" t="s">
        <v>109</v>
      </c>
      <c r="R98" t="s">
        <v>21</v>
      </c>
      <c r="S98" t="s">
        <v>143</v>
      </c>
      <c r="T98" t="s">
        <v>181</v>
      </c>
      <c r="U98" s="78" t="s">
        <v>653</v>
      </c>
      <c r="V98" t="s">
        <v>151</v>
      </c>
      <c r="W98" t="s">
        <v>130</v>
      </c>
      <c r="X98" t="s">
        <v>177</v>
      </c>
      <c r="Y98" t="s">
        <v>177</v>
      </c>
      <c r="Z98" t="s">
        <v>651</v>
      </c>
      <c r="AA98" t="s">
        <v>181</v>
      </c>
    </row>
    <row r="99" spans="1:28" ht="15" customHeight="1">
      <c r="A99">
        <v>98</v>
      </c>
      <c r="B99" s="115">
        <v>46178.525428240697</v>
      </c>
      <c r="C99" s="115">
        <v>46178.527037036998</v>
      </c>
      <c r="D99" t="s">
        <v>413</v>
      </c>
      <c r="E99" t="s">
        <v>414</v>
      </c>
      <c r="F99" t="s">
        <v>415</v>
      </c>
      <c r="G99">
        <v>1049279</v>
      </c>
      <c r="H99" s="115">
        <v>46169</v>
      </c>
      <c r="I99" t="s">
        <v>136</v>
      </c>
      <c r="J99" t="s">
        <v>174</v>
      </c>
      <c r="L99" t="s">
        <v>627</v>
      </c>
      <c r="N99" t="s">
        <v>655</v>
      </c>
      <c r="O99" t="s">
        <v>654</v>
      </c>
      <c r="P99" t="s">
        <v>108</v>
      </c>
      <c r="Q99" t="s">
        <v>109</v>
      </c>
      <c r="R99" t="s">
        <v>24</v>
      </c>
      <c r="S99" t="s">
        <v>149</v>
      </c>
      <c r="T99" t="s">
        <v>226</v>
      </c>
      <c r="U99" t="s">
        <v>657</v>
      </c>
      <c r="V99" t="s">
        <v>116</v>
      </c>
      <c r="W99" t="s">
        <v>169</v>
      </c>
      <c r="X99" t="s">
        <v>656</v>
      </c>
      <c r="AB99" t="s">
        <v>1359</v>
      </c>
    </row>
    <row r="100" spans="1:28" ht="15" customHeight="1">
      <c r="A100">
        <v>99</v>
      </c>
      <c r="B100" s="115">
        <v>46178.527083333298</v>
      </c>
      <c r="C100" s="115">
        <v>46178.53</v>
      </c>
      <c r="D100" t="s">
        <v>413</v>
      </c>
      <c r="E100" t="s">
        <v>414</v>
      </c>
      <c r="F100" t="s">
        <v>415</v>
      </c>
      <c r="G100">
        <v>1049279</v>
      </c>
      <c r="H100" s="115">
        <v>46171</v>
      </c>
      <c r="I100" t="s">
        <v>136</v>
      </c>
      <c r="J100" t="s">
        <v>174</v>
      </c>
      <c r="L100" t="s">
        <v>627</v>
      </c>
      <c r="N100" t="s">
        <v>655</v>
      </c>
      <c r="O100" t="s">
        <v>135</v>
      </c>
      <c r="P100" t="s">
        <v>108</v>
      </c>
      <c r="Q100" t="s">
        <v>109</v>
      </c>
      <c r="R100" t="s">
        <v>24</v>
      </c>
      <c r="S100" t="s">
        <v>143</v>
      </c>
      <c r="T100" t="s">
        <v>661</v>
      </c>
      <c r="U100" t="s">
        <v>662</v>
      </c>
      <c r="V100" t="s">
        <v>151</v>
      </c>
      <c r="W100" t="s">
        <v>169</v>
      </c>
      <c r="X100" t="s">
        <v>524</v>
      </c>
      <c r="Y100" t="s">
        <v>1358</v>
      </c>
      <c r="Z100" t="s">
        <v>658</v>
      </c>
      <c r="AA100" t="s">
        <v>660</v>
      </c>
    </row>
    <row r="101" spans="1:28" ht="15" customHeight="1">
      <c r="A101">
        <v>100</v>
      </c>
      <c r="B101" s="115">
        <v>46178.530046296299</v>
      </c>
      <c r="C101" s="115">
        <v>46178.531759259298</v>
      </c>
      <c r="D101" t="s">
        <v>413</v>
      </c>
      <c r="E101" t="s">
        <v>414</v>
      </c>
      <c r="F101" t="s">
        <v>415</v>
      </c>
      <c r="G101">
        <v>1049279</v>
      </c>
      <c r="H101" s="115">
        <v>46171</v>
      </c>
      <c r="I101" t="s">
        <v>136</v>
      </c>
      <c r="J101" t="s">
        <v>174</v>
      </c>
      <c r="L101" t="s">
        <v>627</v>
      </c>
      <c r="N101" t="s">
        <v>418</v>
      </c>
      <c r="O101" t="s">
        <v>107</v>
      </c>
      <c r="P101" t="s">
        <v>108</v>
      </c>
      <c r="Q101" t="s">
        <v>109</v>
      </c>
      <c r="R101" t="s">
        <v>21</v>
      </c>
      <c r="S101" t="s">
        <v>149</v>
      </c>
      <c r="T101" t="s">
        <v>233</v>
      </c>
      <c r="U101" t="s">
        <v>666</v>
      </c>
      <c r="V101" t="s">
        <v>151</v>
      </c>
      <c r="W101" t="s">
        <v>169</v>
      </c>
      <c r="X101" t="s">
        <v>177</v>
      </c>
      <c r="Y101" t="s">
        <v>177</v>
      </c>
      <c r="Z101" t="s">
        <v>663</v>
      </c>
      <c r="AA101" t="s">
        <v>665</v>
      </c>
    </row>
    <row r="102" spans="1:28" ht="15" customHeight="1">
      <c r="A102">
        <v>101</v>
      </c>
      <c r="B102" s="115">
        <v>46178.531828703701</v>
      </c>
      <c r="C102" s="115">
        <v>46178.533344907402</v>
      </c>
      <c r="D102" t="s">
        <v>413</v>
      </c>
      <c r="E102" t="s">
        <v>414</v>
      </c>
      <c r="F102" t="s">
        <v>415</v>
      </c>
      <c r="G102">
        <v>1049279</v>
      </c>
      <c r="H102" s="115">
        <v>46171</v>
      </c>
      <c r="I102" t="s">
        <v>136</v>
      </c>
      <c r="J102" t="s">
        <v>174</v>
      </c>
      <c r="L102" t="s">
        <v>627</v>
      </c>
      <c r="N102" t="s">
        <v>418</v>
      </c>
      <c r="O102" t="s">
        <v>107</v>
      </c>
      <c r="P102" t="s">
        <v>108</v>
      </c>
      <c r="Q102" t="s">
        <v>109</v>
      </c>
      <c r="R102" t="s">
        <v>22</v>
      </c>
      <c r="S102" t="s">
        <v>149</v>
      </c>
      <c r="T102" t="s">
        <v>150</v>
      </c>
      <c r="U102" t="s">
        <v>668</v>
      </c>
      <c r="V102" t="s">
        <v>151</v>
      </c>
      <c r="W102" t="s">
        <v>130</v>
      </c>
      <c r="X102" t="s">
        <v>146</v>
      </c>
      <c r="Y102" t="s">
        <v>146</v>
      </c>
      <c r="Z102" t="s">
        <v>316</v>
      </c>
      <c r="AA102" t="s">
        <v>318</v>
      </c>
    </row>
    <row r="103" spans="1:28" ht="30" customHeight="1">
      <c r="A103">
        <v>102</v>
      </c>
      <c r="B103" s="115">
        <v>46178.533449074101</v>
      </c>
      <c r="C103" s="115">
        <v>46178.535092592603</v>
      </c>
      <c r="D103" t="s">
        <v>413</v>
      </c>
      <c r="E103" t="s">
        <v>414</v>
      </c>
      <c r="F103" t="s">
        <v>415</v>
      </c>
      <c r="G103">
        <v>1049279</v>
      </c>
      <c r="H103" s="115">
        <v>46171</v>
      </c>
      <c r="I103" t="s">
        <v>136</v>
      </c>
      <c r="J103" t="s">
        <v>174</v>
      </c>
      <c r="L103" t="s">
        <v>627</v>
      </c>
      <c r="N103" t="s">
        <v>418</v>
      </c>
      <c r="O103" t="s">
        <v>107</v>
      </c>
      <c r="P103" t="s">
        <v>108</v>
      </c>
      <c r="Q103" t="s">
        <v>109</v>
      </c>
      <c r="R103" t="s">
        <v>22</v>
      </c>
      <c r="S103" t="s">
        <v>143</v>
      </c>
      <c r="T103" t="s">
        <v>150</v>
      </c>
      <c r="U103" s="78" t="s">
        <v>670</v>
      </c>
      <c r="V103" t="s">
        <v>151</v>
      </c>
      <c r="W103" t="s">
        <v>130</v>
      </c>
      <c r="X103" t="s">
        <v>110</v>
      </c>
      <c r="Y103" t="s">
        <v>110</v>
      </c>
      <c r="Z103" t="s">
        <v>402</v>
      </c>
      <c r="AA103" t="s">
        <v>669</v>
      </c>
    </row>
    <row r="104" spans="1:28" ht="15" customHeight="1">
      <c r="A104">
        <v>103</v>
      </c>
      <c r="B104" s="115">
        <v>46178.598564814798</v>
      </c>
      <c r="C104" s="115">
        <v>46178.598912037</v>
      </c>
      <c r="D104" t="s">
        <v>152</v>
      </c>
      <c r="E104" t="s">
        <v>153</v>
      </c>
      <c r="F104" t="s">
        <v>216</v>
      </c>
      <c r="G104">
        <v>869991</v>
      </c>
      <c r="H104" s="115">
        <v>46171</v>
      </c>
      <c r="I104" t="s">
        <v>136</v>
      </c>
      <c r="J104" t="s">
        <v>174</v>
      </c>
      <c r="L104" t="s">
        <v>671</v>
      </c>
      <c r="N104" t="s">
        <v>672</v>
      </c>
      <c r="O104" t="s">
        <v>107</v>
      </c>
      <c r="P104" t="s">
        <v>108</v>
      </c>
      <c r="Q104" t="s">
        <v>109</v>
      </c>
      <c r="R104" t="s">
        <v>22</v>
      </c>
      <c r="S104" t="s">
        <v>143</v>
      </c>
      <c r="T104" t="s">
        <v>150</v>
      </c>
      <c r="U104" t="s">
        <v>675</v>
      </c>
      <c r="V104" t="s">
        <v>151</v>
      </c>
      <c r="W104" t="s">
        <v>130</v>
      </c>
      <c r="X104" t="s">
        <v>329</v>
      </c>
      <c r="Y104" t="s">
        <v>1353</v>
      </c>
      <c r="Z104" t="s">
        <v>673</v>
      </c>
      <c r="AA104" t="s">
        <v>477</v>
      </c>
    </row>
    <row r="105" spans="1:28" ht="15" customHeight="1">
      <c r="A105">
        <v>104</v>
      </c>
      <c r="B105" s="115">
        <v>46178.598946759303</v>
      </c>
      <c r="C105" s="115">
        <v>46178.601261574098</v>
      </c>
      <c r="D105" t="s">
        <v>152</v>
      </c>
      <c r="E105" t="s">
        <v>153</v>
      </c>
      <c r="F105" t="s">
        <v>153</v>
      </c>
      <c r="G105">
        <v>869991</v>
      </c>
      <c r="H105" s="115">
        <v>46170</v>
      </c>
      <c r="I105" t="s">
        <v>136</v>
      </c>
      <c r="J105" t="s">
        <v>161</v>
      </c>
      <c r="M105" t="s">
        <v>676</v>
      </c>
      <c r="O105" s="123">
        <v>4.2361111111111099E-2</v>
      </c>
      <c r="P105" t="s">
        <v>305</v>
      </c>
      <c r="Q105" t="s">
        <v>109</v>
      </c>
      <c r="R105" t="s">
        <v>24</v>
      </c>
      <c r="S105" t="s">
        <v>149</v>
      </c>
      <c r="T105" t="s">
        <v>150</v>
      </c>
      <c r="V105" t="s">
        <v>116</v>
      </c>
      <c r="W105" t="s">
        <v>169</v>
      </c>
      <c r="X105" t="s">
        <v>656</v>
      </c>
      <c r="AB105" t="s">
        <v>1359</v>
      </c>
    </row>
    <row r="106" spans="1:28" ht="15" customHeight="1">
      <c r="A106">
        <v>105</v>
      </c>
      <c r="B106" s="115">
        <v>46178.603240740696</v>
      </c>
      <c r="C106" s="115">
        <v>46178.604953703703</v>
      </c>
      <c r="D106" t="s">
        <v>152</v>
      </c>
      <c r="E106" t="s">
        <v>153</v>
      </c>
      <c r="F106" t="s">
        <v>153</v>
      </c>
      <c r="G106">
        <v>869991</v>
      </c>
      <c r="H106" s="115">
        <v>46199</v>
      </c>
      <c r="I106" t="s">
        <v>136</v>
      </c>
      <c r="J106" t="s">
        <v>161</v>
      </c>
      <c r="M106" t="s">
        <v>678</v>
      </c>
      <c r="N106" t="s">
        <v>679</v>
      </c>
      <c r="O106" s="123">
        <v>4.2361111111111099E-2</v>
      </c>
      <c r="P106" t="s">
        <v>305</v>
      </c>
      <c r="Q106" t="s">
        <v>109</v>
      </c>
      <c r="R106" t="s">
        <v>24</v>
      </c>
      <c r="S106" t="s">
        <v>149</v>
      </c>
      <c r="T106" t="s">
        <v>150</v>
      </c>
      <c r="U106" t="s">
        <v>680</v>
      </c>
      <c r="V106" t="s">
        <v>116</v>
      </c>
      <c r="W106" t="s">
        <v>169</v>
      </c>
      <c r="X106" t="s">
        <v>656</v>
      </c>
      <c r="AB106" t="s">
        <v>1359</v>
      </c>
    </row>
    <row r="107" spans="1:28" ht="15" customHeight="1">
      <c r="A107">
        <v>106</v>
      </c>
      <c r="B107" s="115">
        <v>46178.615474537</v>
      </c>
      <c r="C107" s="115">
        <v>46178.621481481503</v>
      </c>
      <c r="D107" t="s">
        <v>131</v>
      </c>
      <c r="E107" t="s">
        <v>132</v>
      </c>
      <c r="F107" t="s">
        <v>133</v>
      </c>
      <c r="G107">
        <v>938882</v>
      </c>
      <c r="H107" s="115">
        <v>46149</v>
      </c>
      <c r="I107" t="s">
        <v>136</v>
      </c>
      <c r="J107" t="s">
        <v>161</v>
      </c>
      <c r="M107" t="s">
        <v>682</v>
      </c>
      <c r="N107" t="s">
        <v>683</v>
      </c>
      <c r="O107" t="s">
        <v>160</v>
      </c>
      <c r="P107" t="s">
        <v>108</v>
      </c>
      <c r="Q107" t="s">
        <v>109</v>
      </c>
      <c r="R107" t="s">
        <v>22</v>
      </c>
      <c r="S107" t="s">
        <v>149</v>
      </c>
      <c r="T107" t="s">
        <v>181</v>
      </c>
      <c r="V107" t="s">
        <v>129</v>
      </c>
      <c r="W107" t="s">
        <v>130</v>
      </c>
      <c r="X107" t="s">
        <v>146</v>
      </c>
      <c r="Y107" t="s">
        <v>146</v>
      </c>
      <c r="Z107" t="s">
        <v>147</v>
      </c>
      <c r="AA107" t="s">
        <v>141</v>
      </c>
    </row>
    <row r="108" spans="1:28" ht="15" customHeight="1">
      <c r="A108">
        <v>107</v>
      </c>
      <c r="B108" s="115">
        <v>46178.621608796297</v>
      </c>
      <c r="C108" s="115">
        <v>46178.638298611098</v>
      </c>
      <c r="D108" t="s">
        <v>131</v>
      </c>
      <c r="E108" t="s">
        <v>132</v>
      </c>
      <c r="F108" t="s">
        <v>133</v>
      </c>
      <c r="G108">
        <v>938882</v>
      </c>
      <c r="H108" s="115">
        <v>46185</v>
      </c>
      <c r="I108" t="s">
        <v>136</v>
      </c>
      <c r="J108" t="s">
        <v>161</v>
      </c>
      <c r="M108" t="s">
        <v>685</v>
      </c>
      <c r="N108" t="s">
        <v>686</v>
      </c>
      <c r="O108" s="123">
        <v>4.2361111111111099E-2</v>
      </c>
      <c r="P108" t="s">
        <v>196</v>
      </c>
      <c r="Q108" t="s">
        <v>109</v>
      </c>
      <c r="R108" t="s">
        <v>22</v>
      </c>
      <c r="S108" t="s">
        <v>143</v>
      </c>
      <c r="T108" t="s">
        <v>150</v>
      </c>
      <c r="U108" t="s">
        <v>689</v>
      </c>
      <c r="V108" t="s">
        <v>129</v>
      </c>
      <c r="W108" t="s">
        <v>130</v>
      </c>
      <c r="X108" t="s">
        <v>124</v>
      </c>
      <c r="Y108" t="s">
        <v>124</v>
      </c>
      <c r="Z108" t="s">
        <v>687</v>
      </c>
      <c r="AA108" t="s">
        <v>688</v>
      </c>
    </row>
    <row r="109" spans="1:28" ht="15" customHeight="1">
      <c r="A109">
        <v>108</v>
      </c>
      <c r="B109" s="115">
        <v>46178.638576388897</v>
      </c>
      <c r="C109" s="115">
        <v>46178.641828703701</v>
      </c>
      <c r="D109" t="s">
        <v>131</v>
      </c>
      <c r="E109" t="s">
        <v>132</v>
      </c>
      <c r="F109" t="s">
        <v>133</v>
      </c>
      <c r="G109">
        <v>938882</v>
      </c>
      <c r="H109" s="115">
        <v>46155</v>
      </c>
      <c r="I109" t="s">
        <v>136</v>
      </c>
      <c r="J109" t="s">
        <v>161</v>
      </c>
      <c r="M109" t="s">
        <v>690</v>
      </c>
      <c r="N109" t="s">
        <v>686</v>
      </c>
      <c r="O109" s="123">
        <v>4.2361111111111099E-2</v>
      </c>
      <c r="P109" t="s">
        <v>221</v>
      </c>
      <c r="Q109" t="s">
        <v>109</v>
      </c>
      <c r="R109" t="s">
        <v>22</v>
      </c>
      <c r="S109" t="s">
        <v>546</v>
      </c>
      <c r="T109" t="s">
        <v>150</v>
      </c>
      <c r="U109" t="s">
        <v>692</v>
      </c>
      <c r="V109" t="s">
        <v>129</v>
      </c>
      <c r="W109" t="s">
        <v>169</v>
      </c>
      <c r="X109" t="s">
        <v>124</v>
      </c>
      <c r="Y109" t="s">
        <v>124</v>
      </c>
      <c r="Z109" t="s">
        <v>691</v>
      </c>
      <c r="AA109" t="s">
        <v>141</v>
      </c>
    </row>
    <row r="110" spans="1:28" ht="15" customHeight="1">
      <c r="A110">
        <v>109</v>
      </c>
      <c r="B110" s="115">
        <v>46178.6421527778</v>
      </c>
      <c r="C110" s="115">
        <v>46178.643263888902</v>
      </c>
      <c r="D110" t="s">
        <v>131</v>
      </c>
      <c r="E110" t="s">
        <v>132</v>
      </c>
      <c r="F110" t="s">
        <v>133</v>
      </c>
      <c r="G110">
        <v>938882</v>
      </c>
      <c r="H110" s="115">
        <v>46195</v>
      </c>
      <c r="I110" t="s">
        <v>136</v>
      </c>
      <c r="J110" t="s">
        <v>161</v>
      </c>
      <c r="M110" t="s">
        <v>693</v>
      </c>
      <c r="N110" t="s">
        <v>694</v>
      </c>
      <c r="O110" t="s">
        <v>135</v>
      </c>
      <c r="P110" t="s">
        <v>108</v>
      </c>
      <c r="Q110" t="s">
        <v>109</v>
      </c>
      <c r="R110" t="s">
        <v>22</v>
      </c>
      <c r="S110" t="s">
        <v>149</v>
      </c>
      <c r="T110" t="s">
        <v>181</v>
      </c>
      <c r="U110" t="s">
        <v>696</v>
      </c>
      <c r="V110" t="s">
        <v>129</v>
      </c>
      <c r="W110" t="s">
        <v>130</v>
      </c>
      <c r="X110" t="s">
        <v>199</v>
      </c>
      <c r="Y110" t="s">
        <v>1351</v>
      </c>
      <c r="Z110" t="s">
        <v>695</v>
      </c>
      <c r="AA110" t="s">
        <v>278</v>
      </c>
    </row>
    <row r="111" spans="1:28" ht="15" customHeight="1">
      <c r="A111">
        <v>110</v>
      </c>
      <c r="B111" s="115">
        <v>46178.6511805556</v>
      </c>
      <c r="C111" s="115">
        <v>46178.652743055602</v>
      </c>
      <c r="D111" t="s">
        <v>152</v>
      </c>
      <c r="E111" t="s">
        <v>153</v>
      </c>
      <c r="F111" t="s">
        <v>216</v>
      </c>
      <c r="G111">
        <v>869991</v>
      </c>
      <c r="H111" s="115">
        <v>46162</v>
      </c>
      <c r="I111" t="s">
        <v>136</v>
      </c>
      <c r="J111" t="s">
        <v>174</v>
      </c>
      <c r="L111" t="s">
        <v>697</v>
      </c>
      <c r="N111" t="s">
        <v>698</v>
      </c>
      <c r="O111" t="s">
        <v>135</v>
      </c>
      <c r="P111" t="s">
        <v>196</v>
      </c>
      <c r="Q111" t="s">
        <v>109</v>
      </c>
      <c r="R111" t="s">
        <v>22</v>
      </c>
      <c r="S111" t="s">
        <v>149</v>
      </c>
      <c r="T111" t="s">
        <v>181</v>
      </c>
      <c r="U111" t="s">
        <v>702</v>
      </c>
      <c r="V111" t="s">
        <v>151</v>
      </c>
      <c r="W111" t="s">
        <v>130</v>
      </c>
      <c r="X111" t="s">
        <v>124</v>
      </c>
      <c r="Y111" t="s">
        <v>124</v>
      </c>
      <c r="Z111" t="s">
        <v>699</v>
      </c>
      <c r="AA111" t="s">
        <v>701</v>
      </c>
    </row>
    <row r="112" spans="1:28" ht="15" customHeight="1">
      <c r="A112">
        <v>111</v>
      </c>
      <c r="B112" s="115">
        <v>46178.669571759303</v>
      </c>
      <c r="C112" s="115">
        <v>46178.6713773148</v>
      </c>
      <c r="D112" t="s">
        <v>296</v>
      </c>
      <c r="E112" t="s">
        <v>297</v>
      </c>
      <c r="F112" t="s">
        <v>297</v>
      </c>
      <c r="G112">
        <v>759440</v>
      </c>
      <c r="H112" s="115">
        <v>46171</v>
      </c>
      <c r="I112" t="s">
        <v>136</v>
      </c>
      <c r="J112" t="s">
        <v>174</v>
      </c>
      <c r="L112" t="s">
        <v>349</v>
      </c>
      <c r="N112" t="s">
        <v>114</v>
      </c>
      <c r="O112" t="s">
        <v>135</v>
      </c>
      <c r="P112" t="s">
        <v>108</v>
      </c>
      <c r="Q112" t="s">
        <v>109</v>
      </c>
      <c r="R112" t="s">
        <v>21</v>
      </c>
      <c r="S112" t="s">
        <v>143</v>
      </c>
      <c r="T112" t="s">
        <v>181</v>
      </c>
      <c r="V112" t="s">
        <v>151</v>
      </c>
      <c r="W112" t="s">
        <v>130</v>
      </c>
      <c r="X112" t="s">
        <v>177</v>
      </c>
      <c r="Y112" t="s">
        <v>177</v>
      </c>
      <c r="Z112" t="s">
        <v>444</v>
      </c>
      <c r="AA112" t="s">
        <v>704</v>
      </c>
    </row>
    <row r="113" spans="1:28" ht="15" customHeight="1">
      <c r="A113">
        <v>112</v>
      </c>
      <c r="B113" s="115">
        <v>46178.671412037002</v>
      </c>
      <c r="C113" s="115">
        <v>46178.675196759301</v>
      </c>
      <c r="D113" t="s">
        <v>296</v>
      </c>
      <c r="E113" t="s">
        <v>297</v>
      </c>
      <c r="F113" t="s">
        <v>297</v>
      </c>
      <c r="G113">
        <v>759440</v>
      </c>
      <c r="H113" s="115">
        <v>46154</v>
      </c>
      <c r="I113" t="s">
        <v>136</v>
      </c>
      <c r="J113" t="s">
        <v>161</v>
      </c>
      <c r="M113" t="s">
        <v>327</v>
      </c>
      <c r="O113" t="s">
        <v>107</v>
      </c>
      <c r="P113" t="s">
        <v>108</v>
      </c>
      <c r="Q113" t="s">
        <v>109</v>
      </c>
      <c r="R113" t="s">
        <v>24</v>
      </c>
      <c r="S113" t="s">
        <v>143</v>
      </c>
      <c r="T113" t="s">
        <v>709</v>
      </c>
      <c r="U113" t="s">
        <v>710</v>
      </c>
      <c r="V113" t="s">
        <v>151</v>
      </c>
      <c r="W113" t="s">
        <v>130</v>
      </c>
      <c r="X113" t="s">
        <v>705</v>
      </c>
      <c r="Y113" t="s">
        <v>705</v>
      </c>
      <c r="Z113" t="s">
        <v>706</v>
      </c>
      <c r="AA113" t="s">
        <v>708</v>
      </c>
    </row>
    <row r="114" spans="1:28" ht="15" customHeight="1">
      <c r="A114">
        <v>113</v>
      </c>
      <c r="B114" s="115">
        <v>46178.678194444401</v>
      </c>
      <c r="C114" s="115">
        <v>46178.680347222202</v>
      </c>
      <c r="D114" t="s">
        <v>296</v>
      </c>
      <c r="E114" t="s">
        <v>297</v>
      </c>
      <c r="F114" t="s">
        <v>297</v>
      </c>
      <c r="G114">
        <v>759440</v>
      </c>
      <c r="H114" s="115">
        <v>46167</v>
      </c>
      <c r="I114" t="s">
        <v>136</v>
      </c>
      <c r="J114" t="s">
        <v>161</v>
      </c>
      <c r="M114" t="s">
        <v>711</v>
      </c>
      <c r="N114" t="s">
        <v>712</v>
      </c>
      <c r="O114" s="123">
        <v>4.2361111111111099E-2</v>
      </c>
      <c r="P114" t="s">
        <v>196</v>
      </c>
      <c r="Q114" t="s">
        <v>109</v>
      </c>
      <c r="R114" t="s">
        <v>22</v>
      </c>
      <c r="S114" t="s">
        <v>149</v>
      </c>
      <c r="T114" t="s">
        <v>181</v>
      </c>
      <c r="U114" t="s">
        <v>715</v>
      </c>
      <c r="V114" t="s">
        <v>129</v>
      </c>
      <c r="W114" t="s">
        <v>130</v>
      </c>
      <c r="X114" t="s">
        <v>199</v>
      </c>
      <c r="Y114" t="s">
        <v>1351</v>
      </c>
      <c r="Z114" t="s">
        <v>713</v>
      </c>
      <c r="AA114" t="s">
        <v>714</v>
      </c>
    </row>
    <row r="115" spans="1:28" ht="15" customHeight="1">
      <c r="A115">
        <v>114</v>
      </c>
      <c r="B115" s="115">
        <v>46178.682905092603</v>
      </c>
      <c r="C115" s="115">
        <v>46178.685150463003</v>
      </c>
      <c r="D115" t="s">
        <v>296</v>
      </c>
      <c r="E115" t="s">
        <v>297</v>
      </c>
      <c r="F115" t="s">
        <v>297</v>
      </c>
      <c r="G115">
        <v>759440</v>
      </c>
      <c r="H115" s="115">
        <v>46148</v>
      </c>
      <c r="I115" t="s">
        <v>136</v>
      </c>
      <c r="J115" t="s">
        <v>174</v>
      </c>
      <c r="L115" t="s">
        <v>711</v>
      </c>
      <c r="N115" t="s">
        <v>712</v>
      </c>
      <c r="O115" s="123">
        <v>4.2361111111111099E-2</v>
      </c>
      <c r="P115" t="s">
        <v>196</v>
      </c>
      <c r="Q115" t="s">
        <v>109</v>
      </c>
      <c r="R115" t="s">
        <v>22</v>
      </c>
      <c r="S115" t="s">
        <v>149</v>
      </c>
      <c r="T115" t="s">
        <v>181</v>
      </c>
      <c r="V115" t="s">
        <v>129</v>
      </c>
      <c r="W115" t="s">
        <v>130</v>
      </c>
      <c r="X115" t="s">
        <v>199</v>
      </c>
      <c r="Y115" t="s">
        <v>1351</v>
      </c>
      <c r="Z115" t="s">
        <v>716</v>
      </c>
      <c r="AA115" t="s">
        <v>714</v>
      </c>
    </row>
    <row r="116" spans="1:28" ht="15" customHeight="1">
      <c r="A116">
        <v>115</v>
      </c>
      <c r="B116" s="115">
        <v>46178.687650462998</v>
      </c>
      <c r="C116" s="115">
        <v>46178.690486111103</v>
      </c>
      <c r="D116" t="s">
        <v>296</v>
      </c>
      <c r="E116" t="s">
        <v>297</v>
      </c>
      <c r="F116" t="s">
        <v>297</v>
      </c>
      <c r="G116">
        <v>759440</v>
      </c>
      <c r="H116" s="115">
        <v>46157</v>
      </c>
      <c r="I116" t="s">
        <v>136</v>
      </c>
      <c r="J116" t="s">
        <v>161</v>
      </c>
      <c r="M116" t="s">
        <v>711</v>
      </c>
      <c r="N116" t="s">
        <v>712</v>
      </c>
      <c r="O116" s="123">
        <v>4.2361111111111099E-2</v>
      </c>
      <c r="P116" t="s">
        <v>196</v>
      </c>
      <c r="Q116" t="s">
        <v>109</v>
      </c>
      <c r="R116" t="s">
        <v>22</v>
      </c>
      <c r="S116" t="s">
        <v>143</v>
      </c>
      <c r="T116" t="s">
        <v>181</v>
      </c>
      <c r="V116" t="s">
        <v>129</v>
      </c>
      <c r="W116" t="s">
        <v>130</v>
      </c>
      <c r="X116" t="s">
        <v>199</v>
      </c>
      <c r="Y116" t="s">
        <v>1351</v>
      </c>
      <c r="Z116" t="s">
        <v>534</v>
      </c>
      <c r="AA116" t="s">
        <v>717</v>
      </c>
    </row>
    <row r="117" spans="1:28" ht="15" customHeight="1">
      <c r="A117">
        <v>116</v>
      </c>
      <c r="B117" s="115">
        <v>46178.696342592601</v>
      </c>
      <c r="C117" s="115">
        <v>46178.6984606482</v>
      </c>
      <c r="D117" t="s">
        <v>351</v>
      </c>
      <c r="E117" t="s">
        <v>352</v>
      </c>
      <c r="F117" t="s">
        <v>718</v>
      </c>
      <c r="G117">
        <v>775720</v>
      </c>
      <c r="H117" s="115">
        <v>46168</v>
      </c>
      <c r="I117" t="s">
        <v>136</v>
      </c>
      <c r="J117" t="s">
        <v>161</v>
      </c>
      <c r="M117" t="s">
        <v>366</v>
      </c>
      <c r="N117" t="s">
        <v>719</v>
      </c>
      <c r="O117" t="s">
        <v>107</v>
      </c>
      <c r="P117" t="s">
        <v>108</v>
      </c>
      <c r="Q117" t="s">
        <v>109</v>
      </c>
      <c r="R117" t="s">
        <v>21</v>
      </c>
      <c r="S117" t="s">
        <v>149</v>
      </c>
      <c r="T117" t="s">
        <v>181</v>
      </c>
      <c r="U117" t="s">
        <v>723</v>
      </c>
      <c r="V117" t="s">
        <v>116</v>
      </c>
      <c r="W117" t="s">
        <v>130</v>
      </c>
      <c r="X117" t="s">
        <v>177</v>
      </c>
      <c r="Y117" t="s">
        <v>177</v>
      </c>
      <c r="Z117" t="s">
        <v>720</v>
      </c>
      <c r="AA117" t="s">
        <v>722</v>
      </c>
    </row>
    <row r="118" spans="1:28" ht="15" customHeight="1">
      <c r="A118">
        <v>117</v>
      </c>
      <c r="B118" s="115">
        <v>46178.828252314801</v>
      </c>
      <c r="C118" s="115">
        <v>46178.829965277801</v>
      </c>
      <c r="D118" t="s">
        <v>270</v>
      </c>
      <c r="E118" t="s">
        <v>271</v>
      </c>
      <c r="F118" t="s">
        <v>271</v>
      </c>
      <c r="G118">
        <v>1109810</v>
      </c>
      <c r="H118" s="115">
        <v>46155</v>
      </c>
      <c r="I118" t="s">
        <v>136</v>
      </c>
      <c r="J118" t="s">
        <v>161</v>
      </c>
      <c r="M118" t="s">
        <v>724</v>
      </c>
      <c r="N118" t="s">
        <v>725</v>
      </c>
      <c r="O118" s="123">
        <v>4.2361111111111099E-2</v>
      </c>
      <c r="P118" t="s">
        <v>305</v>
      </c>
      <c r="Q118" t="s">
        <v>109</v>
      </c>
      <c r="R118" t="s">
        <v>22</v>
      </c>
      <c r="S118" t="s">
        <v>149</v>
      </c>
      <c r="T118" t="s">
        <v>181</v>
      </c>
      <c r="U118" t="s">
        <v>728</v>
      </c>
      <c r="V118" t="s">
        <v>129</v>
      </c>
      <c r="W118" t="s">
        <v>130</v>
      </c>
      <c r="X118" t="s">
        <v>124</v>
      </c>
      <c r="Y118" t="s">
        <v>124</v>
      </c>
      <c r="Z118" t="s">
        <v>726</v>
      </c>
      <c r="AA118" t="s">
        <v>127</v>
      </c>
    </row>
    <row r="119" spans="1:28" ht="15" customHeight="1">
      <c r="A119">
        <v>118</v>
      </c>
      <c r="B119" s="115">
        <v>46178.83</v>
      </c>
      <c r="C119" s="115">
        <v>46178.833275463003</v>
      </c>
      <c r="D119" t="s">
        <v>270</v>
      </c>
      <c r="E119" t="s">
        <v>271</v>
      </c>
      <c r="F119" t="s">
        <v>272</v>
      </c>
      <c r="G119">
        <v>1109810</v>
      </c>
      <c r="H119" s="115">
        <v>46184</v>
      </c>
      <c r="I119" t="s">
        <v>136</v>
      </c>
      <c r="J119" t="s">
        <v>174</v>
      </c>
      <c r="L119" t="s">
        <v>274</v>
      </c>
      <c r="N119" t="s">
        <v>729</v>
      </c>
      <c r="O119" t="s">
        <v>135</v>
      </c>
      <c r="P119" t="s">
        <v>108</v>
      </c>
      <c r="Q119" t="s">
        <v>109</v>
      </c>
      <c r="R119" t="s">
        <v>22</v>
      </c>
      <c r="S119" t="s">
        <v>149</v>
      </c>
      <c r="T119" t="s">
        <v>181</v>
      </c>
      <c r="U119" t="s">
        <v>732</v>
      </c>
      <c r="V119" t="s">
        <v>129</v>
      </c>
      <c r="W119" t="s">
        <v>130</v>
      </c>
      <c r="X119" t="s">
        <v>139</v>
      </c>
      <c r="Y119" t="s">
        <v>139</v>
      </c>
      <c r="Z119" t="s">
        <v>730</v>
      </c>
      <c r="AA119" t="s">
        <v>141</v>
      </c>
    </row>
    <row r="120" spans="1:28" ht="15" customHeight="1">
      <c r="A120">
        <v>119</v>
      </c>
      <c r="B120" s="115">
        <v>46178.8336921296</v>
      </c>
      <c r="C120" s="115">
        <v>46178.835416666698</v>
      </c>
      <c r="D120" t="s">
        <v>270</v>
      </c>
      <c r="E120" t="s">
        <v>271</v>
      </c>
      <c r="F120" t="s">
        <v>272</v>
      </c>
      <c r="G120">
        <v>1109810</v>
      </c>
      <c r="H120" s="115">
        <v>46157</v>
      </c>
      <c r="I120" t="s">
        <v>136</v>
      </c>
      <c r="J120" t="s">
        <v>161</v>
      </c>
      <c r="M120" t="s">
        <v>733</v>
      </c>
      <c r="N120" t="s">
        <v>211</v>
      </c>
      <c r="O120" t="s">
        <v>135</v>
      </c>
      <c r="P120" t="s">
        <v>108</v>
      </c>
      <c r="Q120" t="s">
        <v>109</v>
      </c>
      <c r="R120" t="s">
        <v>21</v>
      </c>
      <c r="S120" t="s">
        <v>149</v>
      </c>
      <c r="T120" t="s">
        <v>181</v>
      </c>
      <c r="U120" t="s">
        <v>737</v>
      </c>
      <c r="V120" t="s">
        <v>129</v>
      </c>
      <c r="W120" t="s">
        <v>130</v>
      </c>
      <c r="X120" t="s">
        <v>177</v>
      </c>
      <c r="Y120" t="s">
        <v>177</v>
      </c>
      <c r="Z120" t="s">
        <v>734</v>
      </c>
      <c r="AA120" t="s">
        <v>736</v>
      </c>
    </row>
    <row r="121" spans="1:28" ht="15" customHeight="1">
      <c r="A121">
        <v>120</v>
      </c>
      <c r="B121" s="115">
        <v>46178.835462962998</v>
      </c>
      <c r="C121" s="115">
        <v>46178.84</v>
      </c>
      <c r="D121" t="s">
        <v>270</v>
      </c>
      <c r="E121" t="s">
        <v>271</v>
      </c>
      <c r="F121" t="s">
        <v>272</v>
      </c>
      <c r="G121">
        <v>1109810</v>
      </c>
      <c r="H121" s="115">
        <v>46153</v>
      </c>
      <c r="I121" t="s">
        <v>136</v>
      </c>
      <c r="J121" t="s">
        <v>187</v>
      </c>
      <c r="K121" t="s">
        <v>188</v>
      </c>
      <c r="N121" t="s">
        <v>738</v>
      </c>
      <c r="O121" t="s">
        <v>107</v>
      </c>
      <c r="P121" t="s">
        <v>108</v>
      </c>
      <c r="Q121" t="s">
        <v>248</v>
      </c>
      <c r="R121" t="s">
        <v>23</v>
      </c>
      <c r="S121" t="s">
        <v>149</v>
      </c>
      <c r="T121" t="s">
        <v>181</v>
      </c>
      <c r="V121" t="s">
        <v>129</v>
      </c>
      <c r="W121" t="s">
        <v>130</v>
      </c>
      <c r="X121" t="s">
        <v>252</v>
      </c>
      <c r="Y121" t="s">
        <v>974</v>
      </c>
    </row>
    <row r="122" spans="1:28" ht="15" customHeight="1">
      <c r="A122">
        <v>121</v>
      </c>
      <c r="B122" s="115">
        <v>46178.840034722198</v>
      </c>
      <c r="C122" s="115">
        <v>46178.841412037</v>
      </c>
      <c r="D122" t="s">
        <v>270</v>
      </c>
      <c r="E122" t="s">
        <v>271</v>
      </c>
      <c r="F122" t="s">
        <v>272</v>
      </c>
      <c r="G122">
        <v>1109810</v>
      </c>
      <c r="H122" s="115">
        <v>46149</v>
      </c>
      <c r="I122" t="s">
        <v>136</v>
      </c>
      <c r="J122" t="s">
        <v>187</v>
      </c>
      <c r="K122" t="s">
        <v>188</v>
      </c>
      <c r="N122" t="s">
        <v>740</v>
      </c>
      <c r="O122" t="s">
        <v>122</v>
      </c>
      <c r="P122" t="s">
        <v>108</v>
      </c>
      <c r="Q122" t="s">
        <v>123</v>
      </c>
      <c r="R122" t="s">
        <v>22</v>
      </c>
      <c r="S122" t="s">
        <v>149</v>
      </c>
      <c r="T122" t="s">
        <v>181</v>
      </c>
      <c r="U122" t="s">
        <v>743</v>
      </c>
      <c r="V122" t="s">
        <v>129</v>
      </c>
      <c r="W122" t="s">
        <v>130</v>
      </c>
      <c r="X122" t="s">
        <v>329</v>
      </c>
      <c r="Y122" t="s">
        <v>1353</v>
      </c>
      <c r="Z122" t="s">
        <v>741</v>
      </c>
      <c r="AA122" t="s">
        <v>477</v>
      </c>
    </row>
    <row r="123" spans="1:28" ht="15" customHeight="1">
      <c r="A123">
        <v>122</v>
      </c>
      <c r="B123" s="115">
        <v>46178.841435185197</v>
      </c>
      <c r="C123" s="115">
        <v>46178.842511574097</v>
      </c>
      <c r="D123" t="s">
        <v>270</v>
      </c>
      <c r="E123" t="s">
        <v>271</v>
      </c>
      <c r="F123" t="s">
        <v>271</v>
      </c>
      <c r="G123">
        <v>1109810</v>
      </c>
      <c r="H123" s="115">
        <v>46156</v>
      </c>
      <c r="I123" t="s">
        <v>136</v>
      </c>
      <c r="J123" t="s">
        <v>187</v>
      </c>
      <c r="K123" t="s">
        <v>744</v>
      </c>
      <c r="N123" t="s">
        <v>745</v>
      </c>
      <c r="O123" t="s">
        <v>122</v>
      </c>
      <c r="P123" t="s">
        <v>108</v>
      </c>
      <c r="Q123" t="s">
        <v>123</v>
      </c>
      <c r="R123" t="s">
        <v>22</v>
      </c>
      <c r="S123" t="s">
        <v>149</v>
      </c>
      <c r="T123" t="s">
        <v>181</v>
      </c>
      <c r="V123" t="s">
        <v>129</v>
      </c>
      <c r="W123" t="s">
        <v>130</v>
      </c>
      <c r="X123" t="s">
        <v>329</v>
      </c>
      <c r="Y123" t="s">
        <v>1353</v>
      </c>
      <c r="Z123" t="s">
        <v>741</v>
      </c>
      <c r="AA123" t="s">
        <v>747</v>
      </c>
    </row>
    <row r="124" spans="1:28" ht="15" customHeight="1">
      <c r="A124">
        <v>123</v>
      </c>
      <c r="B124" s="115">
        <v>46178.8425347222</v>
      </c>
      <c r="C124" s="115">
        <v>46178.843506944497</v>
      </c>
      <c r="D124" t="s">
        <v>270</v>
      </c>
      <c r="E124" t="s">
        <v>271</v>
      </c>
      <c r="F124" t="s">
        <v>271</v>
      </c>
      <c r="G124">
        <v>1109810</v>
      </c>
      <c r="H124" s="115">
        <v>46163</v>
      </c>
      <c r="I124" t="s">
        <v>136</v>
      </c>
      <c r="J124" t="s">
        <v>187</v>
      </c>
      <c r="K124" t="s">
        <v>188</v>
      </c>
      <c r="N124" t="s">
        <v>745</v>
      </c>
      <c r="O124" t="s">
        <v>122</v>
      </c>
      <c r="P124" t="s">
        <v>108</v>
      </c>
      <c r="Q124" t="s">
        <v>123</v>
      </c>
      <c r="R124" t="s">
        <v>22</v>
      </c>
      <c r="S124" t="s">
        <v>149</v>
      </c>
      <c r="T124" t="s">
        <v>181</v>
      </c>
      <c r="U124" t="s">
        <v>291</v>
      </c>
      <c r="V124" t="s">
        <v>129</v>
      </c>
      <c r="W124" t="s">
        <v>130</v>
      </c>
      <c r="X124" t="s">
        <v>329</v>
      </c>
      <c r="Y124" t="s">
        <v>1353</v>
      </c>
      <c r="Z124" t="s">
        <v>741</v>
      </c>
      <c r="AA124" t="s">
        <v>748</v>
      </c>
    </row>
    <row r="125" spans="1:28" ht="15" customHeight="1">
      <c r="A125">
        <v>124</v>
      </c>
      <c r="B125" s="115">
        <v>46178.843541666698</v>
      </c>
      <c r="C125" s="115">
        <v>46178.844849537003</v>
      </c>
      <c r="D125" t="s">
        <v>270</v>
      </c>
      <c r="E125" t="s">
        <v>271</v>
      </c>
      <c r="F125" t="s">
        <v>272</v>
      </c>
      <c r="G125">
        <v>1109810</v>
      </c>
      <c r="H125" s="115">
        <v>46169</v>
      </c>
      <c r="I125" t="s">
        <v>136</v>
      </c>
      <c r="J125" t="s">
        <v>161</v>
      </c>
      <c r="M125" t="s">
        <v>376</v>
      </c>
      <c r="N125" t="s">
        <v>749</v>
      </c>
      <c r="O125" t="s">
        <v>122</v>
      </c>
      <c r="P125" t="s">
        <v>108</v>
      </c>
      <c r="Q125" t="s">
        <v>299</v>
      </c>
      <c r="R125" t="s">
        <v>24</v>
      </c>
      <c r="S125" t="s">
        <v>149</v>
      </c>
      <c r="T125" t="s">
        <v>181</v>
      </c>
      <c r="V125" t="s">
        <v>129</v>
      </c>
      <c r="W125" t="s">
        <v>130</v>
      </c>
      <c r="X125" t="s">
        <v>419</v>
      </c>
      <c r="Y125" t="s">
        <v>419</v>
      </c>
      <c r="Z125" t="s">
        <v>750</v>
      </c>
      <c r="AA125" t="s">
        <v>752</v>
      </c>
    </row>
    <row r="126" spans="1:28" ht="15" customHeight="1">
      <c r="A126">
        <v>125</v>
      </c>
      <c r="B126" s="115">
        <v>46178.844884259299</v>
      </c>
      <c r="C126" s="115">
        <v>46178.849606481497</v>
      </c>
      <c r="D126" t="s">
        <v>270</v>
      </c>
      <c r="E126" t="s">
        <v>271</v>
      </c>
      <c r="F126" t="s">
        <v>272</v>
      </c>
      <c r="G126">
        <v>1109810</v>
      </c>
      <c r="H126" s="115">
        <v>46169</v>
      </c>
      <c r="I126" t="s">
        <v>136</v>
      </c>
      <c r="J126" t="s">
        <v>161</v>
      </c>
      <c r="M126" t="s">
        <v>376</v>
      </c>
      <c r="N126" t="s">
        <v>753</v>
      </c>
      <c r="O126" t="s">
        <v>122</v>
      </c>
      <c r="P126" t="s">
        <v>108</v>
      </c>
      <c r="Q126" t="s">
        <v>299</v>
      </c>
      <c r="R126" t="s">
        <v>21</v>
      </c>
      <c r="S126" t="s">
        <v>114</v>
      </c>
      <c r="T126" t="s">
        <v>181</v>
      </c>
      <c r="U126" t="s">
        <v>756</v>
      </c>
      <c r="V126" t="s">
        <v>151</v>
      </c>
      <c r="W126" t="s">
        <v>130</v>
      </c>
      <c r="X126" t="s">
        <v>537</v>
      </c>
      <c r="AB126" t="s">
        <v>1359</v>
      </c>
    </row>
    <row r="127" spans="1:28" ht="15" customHeight="1">
      <c r="A127">
        <v>126</v>
      </c>
      <c r="B127" s="115">
        <v>46178.849652777797</v>
      </c>
      <c r="C127" s="115">
        <v>46178.850543981498</v>
      </c>
      <c r="D127" t="s">
        <v>270</v>
      </c>
      <c r="E127" t="s">
        <v>271</v>
      </c>
      <c r="F127" t="s">
        <v>271</v>
      </c>
      <c r="G127">
        <v>1109810</v>
      </c>
      <c r="H127" s="115">
        <v>46169</v>
      </c>
      <c r="I127" t="s">
        <v>136</v>
      </c>
      <c r="J127" t="s">
        <v>161</v>
      </c>
      <c r="M127" t="s">
        <v>376</v>
      </c>
      <c r="N127" t="s">
        <v>749</v>
      </c>
      <c r="O127" t="s">
        <v>122</v>
      </c>
      <c r="P127" t="s">
        <v>108</v>
      </c>
      <c r="Q127" t="s">
        <v>299</v>
      </c>
      <c r="R127" t="s">
        <v>22</v>
      </c>
      <c r="S127" t="s">
        <v>149</v>
      </c>
      <c r="T127" t="s">
        <v>181</v>
      </c>
      <c r="V127" t="s">
        <v>129</v>
      </c>
      <c r="W127" t="s">
        <v>130</v>
      </c>
      <c r="X127" t="s">
        <v>329</v>
      </c>
      <c r="Y127" t="s">
        <v>1353</v>
      </c>
      <c r="Z127" t="s">
        <v>741</v>
      </c>
      <c r="AA127" t="s">
        <v>758</v>
      </c>
    </row>
    <row r="128" spans="1:28" ht="15" customHeight="1">
      <c r="A128">
        <v>127</v>
      </c>
      <c r="B128" s="115">
        <v>46180.790254629603</v>
      </c>
      <c r="C128" s="115">
        <v>46180.803506944401</v>
      </c>
      <c r="D128" t="s">
        <v>759</v>
      </c>
      <c r="E128" t="s">
        <v>760</v>
      </c>
      <c r="F128" t="s">
        <v>760</v>
      </c>
      <c r="G128">
        <v>586392</v>
      </c>
      <c r="H128" s="115">
        <v>46169</v>
      </c>
      <c r="I128" t="s">
        <v>427</v>
      </c>
      <c r="J128" t="s">
        <v>161</v>
      </c>
      <c r="M128" t="s">
        <v>762</v>
      </c>
      <c r="O128" t="s">
        <v>135</v>
      </c>
      <c r="P128" t="s">
        <v>108</v>
      </c>
      <c r="Q128" t="s">
        <v>109</v>
      </c>
      <c r="R128" t="s">
        <v>22</v>
      </c>
      <c r="S128" t="s">
        <v>149</v>
      </c>
      <c r="T128" t="s">
        <v>150</v>
      </c>
      <c r="U128" t="s">
        <v>766</v>
      </c>
      <c r="V128" t="s">
        <v>129</v>
      </c>
      <c r="W128" t="s">
        <v>130</v>
      </c>
      <c r="X128" t="s">
        <v>302</v>
      </c>
      <c r="Y128" t="s">
        <v>302</v>
      </c>
      <c r="Z128" t="s">
        <v>763</v>
      </c>
      <c r="AA128" t="s">
        <v>765</v>
      </c>
    </row>
    <row r="129" spans="1:38" ht="15" customHeight="1">
      <c r="A129">
        <v>128</v>
      </c>
      <c r="B129" s="115">
        <v>46181.416886574072</v>
      </c>
      <c r="C129" s="115">
        <v>46181.428900462961</v>
      </c>
      <c r="D129" t="s">
        <v>767</v>
      </c>
      <c r="E129" t="s">
        <v>768</v>
      </c>
      <c r="F129" t="s">
        <v>769</v>
      </c>
      <c r="G129">
        <v>466599</v>
      </c>
      <c r="H129" s="115">
        <v>46175</v>
      </c>
      <c r="I129" t="s">
        <v>772</v>
      </c>
      <c r="J129" t="s">
        <v>174</v>
      </c>
      <c r="L129" t="s">
        <v>771</v>
      </c>
      <c r="N129" t="s">
        <v>773</v>
      </c>
      <c r="O129" t="s">
        <v>135</v>
      </c>
      <c r="P129" t="s">
        <v>108</v>
      </c>
      <c r="Q129" t="s">
        <v>109</v>
      </c>
      <c r="R129" t="s">
        <v>24</v>
      </c>
      <c r="S129" t="s">
        <v>149</v>
      </c>
      <c r="T129" t="s">
        <v>1360</v>
      </c>
      <c r="U129" t="s">
        <v>774</v>
      </c>
      <c r="V129" t="s">
        <v>116</v>
      </c>
      <c r="W129" t="s">
        <v>169</v>
      </c>
      <c r="X129" t="s">
        <v>190</v>
      </c>
      <c r="Y129" t="s">
        <v>190</v>
      </c>
      <c r="Z129" t="s">
        <v>1063</v>
      </c>
      <c r="AH129" t="s">
        <v>1221</v>
      </c>
    </row>
    <row r="130" spans="1:38" ht="15" customHeight="1">
      <c r="A130">
        <v>129</v>
      </c>
      <c r="B130" s="115">
        <v>46181.408854166657</v>
      </c>
      <c r="C130" s="115">
        <v>46181.431574074071</v>
      </c>
      <c r="D130" t="s">
        <v>775</v>
      </c>
      <c r="E130" t="s">
        <v>776</v>
      </c>
      <c r="F130" t="s">
        <v>776</v>
      </c>
      <c r="G130">
        <v>1049196</v>
      </c>
      <c r="H130" s="115">
        <v>46178</v>
      </c>
      <c r="I130" t="s">
        <v>772</v>
      </c>
      <c r="J130" t="s">
        <v>187</v>
      </c>
      <c r="K130" t="s">
        <v>254</v>
      </c>
      <c r="N130" t="s">
        <v>778</v>
      </c>
      <c r="O130" t="s">
        <v>436</v>
      </c>
      <c r="P130" t="s">
        <v>108</v>
      </c>
      <c r="Q130" t="s">
        <v>248</v>
      </c>
      <c r="R130" t="s">
        <v>22</v>
      </c>
      <c r="S130" t="s">
        <v>149</v>
      </c>
      <c r="T130" t="s">
        <v>1360</v>
      </c>
      <c r="V130" t="s">
        <v>129</v>
      </c>
      <c r="W130" t="s">
        <v>130</v>
      </c>
      <c r="X130" t="s">
        <v>329</v>
      </c>
      <c r="Y130" t="s">
        <v>1353</v>
      </c>
      <c r="Z130" t="s">
        <v>1329</v>
      </c>
      <c r="AH130" t="s">
        <v>1196</v>
      </c>
    </row>
    <row r="131" spans="1:38" ht="15" customHeight="1">
      <c r="A131">
        <v>130</v>
      </c>
      <c r="B131" s="115">
        <v>46181.42900462963</v>
      </c>
      <c r="C131" s="115">
        <v>46181.435127314813</v>
      </c>
      <c r="D131" t="s">
        <v>767</v>
      </c>
      <c r="E131" t="s">
        <v>768</v>
      </c>
      <c r="F131" t="s">
        <v>769</v>
      </c>
      <c r="G131">
        <v>466599</v>
      </c>
      <c r="H131" s="115">
        <v>46170</v>
      </c>
      <c r="I131" t="s">
        <v>772</v>
      </c>
      <c r="J131" t="s">
        <v>161</v>
      </c>
      <c r="M131" t="s">
        <v>782</v>
      </c>
      <c r="N131" t="s">
        <v>783</v>
      </c>
      <c r="O131" t="s">
        <v>781</v>
      </c>
      <c r="P131" t="s">
        <v>108</v>
      </c>
      <c r="Q131" t="s">
        <v>109</v>
      </c>
      <c r="R131" t="s">
        <v>21</v>
      </c>
      <c r="S131" t="s">
        <v>143</v>
      </c>
      <c r="T131" t="s">
        <v>1361</v>
      </c>
      <c r="V131" t="s">
        <v>151</v>
      </c>
      <c r="W131" t="s">
        <v>169</v>
      </c>
      <c r="X131" t="s">
        <v>177</v>
      </c>
      <c r="Y131" t="s">
        <v>177</v>
      </c>
      <c r="Z131" t="s">
        <v>1104</v>
      </c>
      <c r="AA131" t="s">
        <v>1105</v>
      </c>
      <c r="AB131" t="s">
        <v>1107</v>
      </c>
      <c r="AC131" t="s">
        <v>1173</v>
      </c>
      <c r="AH131" t="s">
        <v>1100</v>
      </c>
      <c r="AI131" t="s">
        <v>1291</v>
      </c>
    </row>
    <row r="132" spans="1:38" ht="15" customHeight="1">
      <c r="A132">
        <v>131</v>
      </c>
      <c r="B132" s="115">
        <v>46181.435706018521</v>
      </c>
      <c r="C132" s="115">
        <v>46181.43922453704</v>
      </c>
      <c r="D132" t="s">
        <v>351</v>
      </c>
      <c r="E132" t="s">
        <v>352</v>
      </c>
      <c r="F132" t="s">
        <v>787</v>
      </c>
      <c r="G132">
        <v>775720</v>
      </c>
      <c r="H132" s="115">
        <v>46161</v>
      </c>
      <c r="I132" t="s">
        <v>136</v>
      </c>
      <c r="J132" t="s">
        <v>161</v>
      </c>
      <c r="M132" t="s">
        <v>788</v>
      </c>
      <c r="N132" t="s">
        <v>789</v>
      </c>
      <c r="O132" t="s">
        <v>195</v>
      </c>
      <c r="P132" t="s">
        <v>196</v>
      </c>
      <c r="Q132" t="s">
        <v>109</v>
      </c>
      <c r="R132" t="s">
        <v>21</v>
      </c>
      <c r="S132" t="s">
        <v>143</v>
      </c>
      <c r="T132" t="s">
        <v>650</v>
      </c>
      <c r="U132" t="s">
        <v>792</v>
      </c>
      <c r="V132" t="s">
        <v>129</v>
      </c>
      <c r="W132" t="s">
        <v>130</v>
      </c>
      <c r="X132" t="s">
        <v>537</v>
      </c>
      <c r="AL132" t="s">
        <v>1359</v>
      </c>
    </row>
    <row r="133" spans="1:38" ht="15" customHeight="1">
      <c r="A133">
        <v>132</v>
      </c>
      <c r="B133" s="115">
        <v>46181.439270833333</v>
      </c>
      <c r="C133" s="115">
        <v>46181.445775462962</v>
      </c>
      <c r="D133" t="s">
        <v>351</v>
      </c>
      <c r="E133" t="s">
        <v>352</v>
      </c>
      <c r="F133" t="s">
        <v>353</v>
      </c>
      <c r="G133">
        <v>775720</v>
      </c>
      <c r="H133" s="115">
        <v>46160</v>
      </c>
      <c r="I133" t="s">
        <v>136</v>
      </c>
      <c r="J133" t="s">
        <v>187</v>
      </c>
      <c r="K133" t="s">
        <v>793</v>
      </c>
      <c r="N133" t="s">
        <v>794</v>
      </c>
      <c r="O133" t="s">
        <v>436</v>
      </c>
      <c r="P133" t="s">
        <v>108</v>
      </c>
      <c r="Q133" t="s">
        <v>123</v>
      </c>
      <c r="R133" t="s">
        <v>23</v>
      </c>
      <c r="S133" t="s">
        <v>149</v>
      </c>
      <c r="T133" t="s">
        <v>650</v>
      </c>
      <c r="U133" t="s">
        <v>796</v>
      </c>
      <c r="V133" t="s">
        <v>129</v>
      </c>
      <c r="W133" t="s">
        <v>130</v>
      </c>
      <c r="X133" t="s">
        <v>252</v>
      </c>
      <c r="Y133" t="s">
        <v>974</v>
      </c>
    </row>
    <row r="134" spans="1:38" ht="15" customHeight="1">
      <c r="A134">
        <v>133</v>
      </c>
      <c r="B134" s="115">
        <v>46181.439803240741</v>
      </c>
      <c r="C134" s="115">
        <v>46181.445914351847</v>
      </c>
      <c r="D134" t="s">
        <v>797</v>
      </c>
      <c r="E134" t="s">
        <v>798</v>
      </c>
      <c r="F134" t="s">
        <v>799</v>
      </c>
      <c r="G134">
        <v>549059</v>
      </c>
      <c r="H134" s="115">
        <v>46176</v>
      </c>
      <c r="I134" t="s">
        <v>772</v>
      </c>
      <c r="J134" t="s">
        <v>174</v>
      </c>
      <c r="L134" t="s">
        <v>801</v>
      </c>
      <c r="N134" t="s">
        <v>802</v>
      </c>
      <c r="O134" t="s">
        <v>135</v>
      </c>
      <c r="P134" t="s">
        <v>221</v>
      </c>
      <c r="Q134" t="s">
        <v>109</v>
      </c>
      <c r="R134" t="s">
        <v>22</v>
      </c>
      <c r="S134" t="s">
        <v>149</v>
      </c>
      <c r="T134" t="s">
        <v>1362</v>
      </c>
      <c r="U134" t="s">
        <v>802</v>
      </c>
      <c r="V134" t="s">
        <v>151</v>
      </c>
      <c r="W134" t="s">
        <v>117</v>
      </c>
      <c r="X134" t="s">
        <v>302</v>
      </c>
      <c r="Y134" t="s">
        <v>302</v>
      </c>
      <c r="Z134" t="s">
        <v>1092</v>
      </c>
      <c r="AA134" t="s">
        <v>1328</v>
      </c>
      <c r="AH134" t="s">
        <v>1290</v>
      </c>
      <c r="AI134" t="s">
        <v>1327</v>
      </c>
    </row>
    <row r="135" spans="1:38" ht="15" customHeight="1">
      <c r="A135">
        <v>134</v>
      </c>
      <c r="B135" s="115">
        <v>46181.445891203701</v>
      </c>
      <c r="C135" s="115">
        <v>46181.449618055558</v>
      </c>
      <c r="D135" t="s">
        <v>351</v>
      </c>
      <c r="E135" t="s">
        <v>352</v>
      </c>
      <c r="F135" t="s">
        <v>353</v>
      </c>
      <c r="G135">
        <v>775720</v>
      </c>
      <c r="H135" s="115">
        <v>46167</v>
      </c>
      <c r="I135" t="s">
        <v>136</v>
      </c>
      <c r="J135" t="s">
        <v>161</v>
      </c>
      <c r="M135" t="s">
        <v>805</v>
      </c>
      <c r="N135" t="s">
        <v>390</v>
      </c>
      <c r="O135" t="s">
        <v>195</v>
      </c>
      <c r="P135" t="s">
        <v>108</v>
      </c>
      <c r="Q135" t="s">
        <v>123</v>
      </c>
      <c r="R135" t="s">
        <v>21</v>
      </c>
      <c r="S135" t="s">
        <v>149</v>
      </c>
      <c r="T135" t="s">
        <v>650</v>
      </c>
      <c r="U135" t="s">
        <v>809</v>
      </c>
      <c r="V135" t="s">
        <v>129</v>
      </c>
      <c r="W135" t="s">
        <v>130</v>
      </c>
      <c r="X135" t="s">
        <v>177</v>
      </c>
      <c r="Y135" t="s">
        <v>177</v>
      </c>
      <c r="Z135" t="s">
        <v>1104</v>
      </c>
      <c r="AA135" t="s">
        <v>1173</v>
      </c>
      <c r="AB135" t="s">
        <v>1106</v>
      </c>
      <c r="AH135" t="s">
        <v>1215</v>
      </c>
      <c r="AI135" t="s">
        <v>1100</v>
      </c>
    </row>
    <row r="136" spans="1:38" ht="15" customHeight="1">
      <c r="A136">
        <v>135</v>
      </c>
      <c r="B136" s="115">
        <v>46181.449652777781</v>
      </c>
      <c r="C136" s="115">
        <v>46181.452604166669</v>
      </c>
      <c r="D136" t="s">
        <v>351</v>
      </c>
      <c r="E136" t="s">
        <v>352</v>
      </c>
      <c r="F136" t="s">
        <v>353</v>
      </c>
      <c r="G136">
        <v>775720</v>
      </c>
      <c r="H136" s="115">
        <v>46196</v>
      </c>
      <c r="I136" t="s">
        <v>136</v>
      </c>
      <c r="J136" t="s">
        <v>161</v>
      </c>
      <c r="M136" t="s">
        <v>810</v>
      </c>
      <c r="N136" t="s">
        <v>810</v>
      </c>
      <c r="O136" t="s">
        <v>107</v>
      </c>
      <c r="P136" t="s">
        <v>108</v>
      </c>
      <c r="Q136" t="s">
        <v>109</v>
      </c>
      <c r="R136" t="s">
        <v>22</v>
      </c>
      <c r="S136" t="s">
        <v>149</v>
      </c>
      <c r="T136" t="s">
        <v>650</v>
      </c>
      <c r="U136" t="s">
        <v>813</v>
      </c>
      <c r="V136" t="s">
        <v>129</v>
      </c>
      <c r="W136" t="s">
        <v>130</v>
      </c>
      <c r="X136" t="s">
        <v>329</v>
      </c>
      <c r="Y136" t="s">
        <v>1353</v>
      </c>
      <c r="Z136" t="s">
        <v>1047</v>
      </c>
      <c r="AA136" t="s">
        <v>1267</v>
      </c>
      <c r="AH136" t="s">
        <v>1046</v>
      </c>
    </row>
    <row r="137" spans="1:38" ht="15" customHeight="1">
      <c r="A137">
        <v>136</v>
      </c>
      <c r="B137" s="115">
        <v>46181.452731481477</v>
      </c>
      <c r="C137" s="115">
        <v>46181.456597222219</v>
      </c>
      <c r="D137" t="s">
        <v>351</v>
      </c>
      <c r="E137" t="s">
        <v>352</v>
      </c>
      <c r="F137" t="s">
        <v>353</v>
      </c>
      <c r="G137">
        <v>775720</v>
      </c>
      <c r="H137" s="115">
        <v>46161</v>
      </c>
      <c r="I137" t="s">
        <v>136</v>
      </c>
      <c r="J137" t="s">
        <v>161</v>
      </c>
      <c r="M137" t="s">
        <v>366</v>
      </c>
      <c r="N137" t="s">
        <v>390</v>
      </c>
      <c r="O137" t="s">
        <v>107</v>
      </c>
      <c r="P137" t="s">
        <v>108</v>
      </c>
      <c r="Q137" t="s">
        <v>109</v>
      </c>
      <c r="R137" t="s">
        <v>22</v>
      </c>
      <c r="S137" t="s">
        <v>114</v>
      </c>
      <c r="T137" t="s">
        <v>650</v>
      </c>
      <c r="U137" t="s">
        <v>816</v>
      </c>
      <c r="V137" t="s">
        <v>129</v>
      </c>
      <c r="W137" t="s">
        <v>130</v>
      </c>
      <c r="X137" t="s">
        <v>124</v>
      </c>
      <c r="Y137" t="s">
        <v>124</v>
      </c>
      <c r="Z137" t="s">
        <v>1125</v>
      </c>
      <c r="AA137" t="s">
        <v>1127</v>
      </c>
      <c r="AH137" t="s">
        <v>1177</v>
      </c>
    </row>
    <row r="138" spans="1:38" ht="15" customHeight="1">
      <c r="A138">
        <v>137</v>
      </c>
      <c r="B138" s="115">
        <v>46181.40896990741</v>
      </c>
      <c r="C138" s="115">
        <v>46181.49386574074</v>
      </c>
      <c r="D138" t="s">
        <v>817</v>
      </c>
      <c r="E138" t="s">
        <v>818</v>
      </c>
      <c r="F138" t="s">
        <v>818</v>
      </c>
      <c r="G138">
        <v>1126494</v>
      </c>
      <c r="H138" s="115">
        <v>46154</v>
      </c>
      <c r="I138" t="s">
        <v>772</v>
      </c>
      <c r="J138" t="s">
        <v>161</v>
      </c>
      <c r="M138" t="s">
        <v>820</v>
      </c>
      <c r="N138" t="s">
        <v>821</v>
      </c>
      <c r="O138" t="s">
        <v>122</v>
      </c>
      <c r="P138" t="s">
        <v>196</v>
      </c>
      <c r="Q138" t="s">
        <v>123</v>
      </c>
      <c r="R138" t="s">
        <v>22</v>
      </c>
      <c r="S138" t="s">
        <v>143</v>
      </c>
      <c r="T138" t="s">
        <v>128</v>
      </c>
      <c r="V138" t="s">
        <v>151</v>
      </c>
      <c r="W138" t="s">
        <v>169</v>
      </c>
      <c r="X138" t="s">
        <v>302</v>
      </c>
      <c r="Y138" t="s">
        <v>302</v>
      </c>
      <c r="Z138" t="s">
        <v>1093</v>
      </c>
      <c r="AH138" t="s">
        <v>1164</v>
      </c>
    </row>
    <row r="139" spans="1:38" ht="15" customHeight="1">
      <c r="A139">
        <v>138</v>
      </c>
      <c r="B139" s="115">
        <v>46181.409050925933</v>
      </c>
      <c r="C139" s="115">
        <v>46181.533449074072</v>
      </c>
      <c r="D139" t="s">
        <v>825</v>
      </c>
      <c r="E139" t="s">
        <v>826</v>
      </c>
      <c r="F139" t="s">
        <v>827</v>
      </c>
      <c r="G139">
        <v>956912</v>
      </c>
      <c r="H139" s="115">
        <v>46156</v>
      </c>
      <c r="I139" t="s">
        <v>772</v>
      </c>
      <c r="J139" t="s">
        <v>161</v>
      </c>
      <c r="M139" t="s">
        <v>829</v>
      </c>
      <c r="N139" t="s">
        <v>830</v>
      </c>
      <c r="O139" t="s">
        <v>122</v>
      </c>
      <c r="P139" t="s">
        <v>108</v>
      </c>
      <c r="Q139" t="s">
        <v>123</v>
      </c>
      <c r="R139" t="s">
        <v>22</v>
      </c>
      <c r="S139" t="s">
        <v>149</v>
      </c>
      <c r="T139" t="s">
        <v>128</v>
      </c>
      <c r="U139" t="s">
        <v>834</v>
      </c>
      <c r="V139" t="s">
        <v>151</v>
      </c>
      <c r="W139" t="s">
        <v>117</v>
      </c>
      <c r="X139" t="s">
        <v>329</v>
      </c>
      <c r="Y139" t="s">
        <v>1353</v>
      </c>
      <c r="Z139" t="s">
        <v>1047</v>
      </c>
      <c r="AA139" t="s">
        <v>1197</v>
      </c>
      <c r="AB139" t="s">
        <v>1048</v>
      </c>
      <c r="AC139" t="s">
        <v>1085</v>
      </c>
      <c r="AH139" t="s">
        <v>1046</v>
      </c>
      <c r="AI139" t="s">
        <v>1196</v>
      </c>
      <c r="AJ139" t="s">
        <v>1066</v>
      </c>
    </row>
    <row r="140" spans="1:38" ht="15" customHeight="1">
      <c r="A140">
        <v>139</v>
      </c>
      <c r="B140" s="115">
        <v>46181.533564814818</v>
      </c>
      <c r="C140" s="115">
        <v>46181.536064814813</v>
      </c>
      <c r="D140" t="s">
        <v>825</v>
      </c>
      <c r="E140" t="s">
        <v>826</v>
      </c>
      <c r="F140" t="s">
        <v>827</v>
      </c>
      <c r="G140">
        <v>956912</v>
      </c>
      <c r="H140" s="115">
        <v>46163</v>
      </c>
      <c r="I140" t="s">
        <v>772</v>
      </c>
      <c r="J140" t="s">
        <v>187</v>
      </c>
      <c r="K140" t="s">
        <v>835</v>
      </c>
      <c r="N140" t="s">
        <v>836</v>
      </c>
      <c r="O140" t="s">
        <v>135</v>
      </c>
      <c r="P140" t="s">
        <v>108</v>
      </c>
      <c r="Q140" t="s">
        <v>123</v>
      </c>
      <c r="R140" t="s">
        <v>25</v>
      </c>
      <c r="S140" t="s">
        <v>149</v>
      </c>
      <c r="T140" t="s">
        <v>128</v>
      </c>
      <c r="U140" t="s">
        <v>710</v>
      </c>
      <c r="V140" t="s">
        <v>129</v>
      </c>
      <c r="W140" t="s">
        <v>169</v>
      </c>
      <c r="X140" t="s">
        <v>837</v>
      </c>
      <c r="Y140" t="s">
        <v>837</v>
      </c>
      <c r="Z140" t="s">
        <v>1251</v>
      </c>
      <c r="AA140" t="s">
        <v>1252</v>
      </c>
      <c r="AB140" t="s">
        <v>1253</v>
      </c>
      <c r="AH140" t="s">
        <v>1249</v>
      </c>
      <c r="AI140" t="s">
        <v>1250</v>
      </c>
    </row>
    <row r="141" spans="1:38" ht="15" customHeight="1">
      <c r="A141">
        <v>140</v>
      </c>
      <c r="B141" s="115">
        <v>46182.495150462957</v>
      </c>
      <c r="C141" s="115">
        <v>46182.515960648147</v>
      </c>
      <c r="D141" t="s">
        <v>103</v>
      </c>
      <c r="E141" t="s">
        <v>104</v>
      </c>
      <c r="F141" t="s">
        <v>375</v>
      </c>
      <c r="G141">
        <v>1126529</v>
      </c>
      <c r="H141" s="115">
        <v>46171</v>
      </c>
      <c r="I141" t="s">
        <v>136</v>
      </c>
      <c r="J141" t="s">
        <v>174</v>
      </c>
      <c r="L141" t="s">
        <v>376</v>
      </c>
      <c r="N141" t="s">
        <v>293</v>
      </c>
      <c r="O141" t="s">
        <v>107</v>
      </c>
      <c r="P141" t="s">
        <v>196</v>
      </c>
      <c r="Q141" t="s">
        <v>109</v>
      </c>
      <c r="R141" t="s">
        <v>24</v>
      </c>
      <c r="S141" t="s">
        <v>149</v>
      </c>
      <c r="T141" t="s">
        <v>650</v>
      </c>
      <c r="U141" t="s">
        <v>843</v>
      </c>
      <c r="V141" t="s">
        <v>129</v>
      </c>
      <c r="W141" t="s">
        <v>130</v>
      </c>
      <c r="X141" t="s">
        <v>705</v>
      </c>
      <c r="Y141" t="s">
        <v>705</v>
      </c>
      <c r="Z141" t="s">
        <v>1363</v>
      </c>
      <c r="AA141" t="s">
        <v>1312</v>
      </c>
      <c r="AB141" t="s">
        <v>1313</v>
      </c>
      <c r="AH141" t="s">
        <v>1160</v>
      </c>
    </row>
    <row r="142" spans="1:38" ht="15" customHeight="1">
      <c r="A142">
        <v>141</v>
      </c>
      <c r="B142" s="115">
        <v>46182.51599537037</v>
      </c>
      <c r="C142" s="115">
        <v>46182.517685185187</v>
      </c>
      <c r="D142" t="s">
        <v>103</v>
      </c>
      <c r="E142" t="s">
        <v>104</v>
      </c>
      <c r="F142" t="s">
        <v>375</v>
      </c>
      <c r="G142">
        <v>1126529</v>
      </c>
      <c r="H142" s="115">
        <v>46181</v>
      </c>
      <c r="I142" t="s">
        <v>136</v>
      </c>
      <c r="J142" t="s">
        <v>174</v>
      </c>
      <c r="L142" t="s">
        <v>376</v>
      </c>
      <c r="N142" t="s">
        <v>293</v>
      </c>
      <c r="O142" t="s">
        <v>107</v>
      </c>
      <c r="P142" t="s">
        <v>108</v>
      </c>
      <c r="Q142" t="s">
        <v>109</v>
      </c>
      <c r="R142" t="s">
        <v>22</v>
      </c>
      <c r="S142" t="s">
        <v>149</v>
      </c>
      <c r="T142" t="s">
        <v>650</v>
      </c>
      <c r="U142" t="s">
        <v>846</v>
      </c>
      <c r="V142" t="s">
        <v>151</v>
      </c>
      <c r="W142" t="s">
        <v>130</v>
      </c>
      <c r="X142" t="s">
        <v>199</v>
      </c>
      <c r="Y142" t="s">
        <v>1351</v>
      </c>
      <c r="Z142" t="s">
        <v>1120</v>
      </c>
      <c r="AA142" t="s">
        <v>1204</v>
      </c>
      <c r="AB142" t="s">
        <v>1091</v>
      </c>
      <c r="AC142" t="s">
        <v>1089</v>
      </c>
      <c r="AH142" t="s">
        <v>1119</v>
      </c>
    </row>
    <row r="143" spans="1:38" ht="15" customHeight="1">
      <c r="A143">
        <v>142</v>
      </c>
      <c r="B143" s="115">
        <v>46182.51771990741</v>
      </c>
      <c r="C143" s="115">
        <v>46182.519247685188</v>
      </c>
      <c r="D143" t="s">
        <v>103</v>
      </c>
      <c r="E143" t="s">
        <v>104</v>
      </c>
      <c r="F143" t="s">
        <v>375</v>
      </c>
      <c r="G143">
        <v>1126529</v>
      </c>
      <c r="H143" s="115">
        <v>46181</v>
      </c>
      <c r="I143" t="s">
        <v>136</v>
      </c>
      <c r="J143" t="s">
        <v>174</v>
      </c>
      <c r="L143" t="s">
        <v>847</v>
      </c>
      <c r="N143" t="s">
        <v>293</v>
      </c>
      <c r="O143" t="s">
        <v>107</v>
      </c>
      <c r="P143" t="s">
        <v>108</v>
      </c>
      <c r="Q143" t="s">
        <v>123</v>
      </c>
      <c r="R143" t="s">
        <v>23</v>
      </c>
      <c r="S143" t="s">
        <v>149</v>
      </c>
      <c r="T143" t="s">
        <v>650</v>
      </c>
      <c r="V143" t="s">
        <v>129</v>
      </c>
      <c r="W143" t="s">
        <v>130</v>
      </c>
      <c r="X143" t="s">
        <v>252</v>
      </c>
      <c r="Y143" t="s">
        <v>974</v>
      </c>
    </row>
    <row r="144" spans="1:38">
      <c r="A144">
        <v>143</v>
      </c>
      <c r="B144" s="139">
        <v>46184.490844907406</v>
      </c>
      <c r="C144" s="139">
        <v>46184.494120370371</v>
      </c>
      <c r="D144" t="s">
        <v>103</v>
      </c>
      <c r="E144" t="s">
        <v>104</v>
      </c>
      <c r="F144" t="s">
        <v>105</v>
      </c>
      <c r="G144" t="s">
        <v>106</v>
      </c>
      <c r="H144" s="139">
        <v>46157</v>
      </c>
      <c r="I144" t="s">
        <v>136</v>
      </c>
      <c r="J144" t="s">
        <v>174</v>
      </c>
      <c r="L144" t="s">
        <v>175</v>
      </c>
      <c r="N144" t="s">
        <v>176</v>
      </c>
      <c r="O144" t="s">
        <v>107</v>
      </c>
      <c r="P144" t="s">
        <v>108</v>
      </c>
      <c r="Q144" t="s">
        <v>109</v>
      </c>
      <c r="R144" t="s">
        <v>21</v>
      </c>
      <c r="S144" t="s">
        <v>143</v>
      </c>
      <c r="T144" t="s">
        <v>181</v>
      </c>
      <c r="V144" t="s">
        <v>151</v>
      </c>
      <c r="W144" t="s">
        <v>130</v>
      </c>
      <c r="X144" t="s">
        <v>177</v>
      </c>
      <c r="Y144" t="s">
        <v>177</v>
      </c>
      <c r="Z144" t="s">
        <v>849</v>
      </c>
      <c r="AA144" t="s">
        <v>851</v>
      </c>
    </row>
    <row r="145" spans="1:28">
      <c r="A145">
        <v>144</v>
      </c>
      <c r="B145" s="139">
        <v>46184.612881944442</v>
      </c>
      <c r="C145" s="139">
        <v>46184.623437499999</v>
      </c>
      <c r="D145" t="s">
        <v>118</v>
      </c>
      <c r="E145" t="s">
        <v>119</v>
      </c>
      <c r="F145" t="s">
        <v>247</v>
      </c>
      <c r="G145" t="s">
        <v>121</v>
      </c>
      <c r="H145" s="139">
        <v>46184</v>
      </c>
      <c r="I145" t="s">
        <v>136</v>
      </c>
      <c r="J145" t="s">
        <v>187</v>
      </c>
      <c r="K145" t="s">
        <v>254</v>
      </c>
      <c r="N145" t="s">
        <v>852</v>
      </c>
      <c r="O145" t="s">
        <v>122</v>
      </c>
      <c r="P145" t="s">
        <v>108</v>
      </c>
      <c r="Q145" t="s">
        <v>123</v>
      </c>
      <c r="R145" t="s">
        <v>22</v>
      </c>
      <c r="S145" t="s">
        <v>114</v>
      </c>
      <c r="T145" t="s">
        <v>144</v>
      </c>
      <c r="U145" t="s">
        <v>855</v>
      </c>
      <c r="V145" t="s">
        <v>116</v>
      </c>
      <c r="W145" t="s">
        <v>169</v>
      </c>
      <c r="X145" t="s">
        <v>329</v>
      </c>
      <c r="Y145" t="s">
        <v>1353</v>
      </c>
      <c r="Z145" t="s">
        <v>853</v>
      </c>
      <c r="AA145" t="s">
        <v>477</v>
      </c>
    </row>
    <row r="146" spans="1:28">
      <c r="A146">
        <v>145</v>
      </c>
      <c r="B146" s="139">
        <v>46184.628553240742</v>
      </c>
      <c r="C146" s="139">
        <v>46184.62976851852</v>
      </c>
      <c r="D146" t="s">
        <v>118</v>
      </c>
      <c r="E146" t="s">
        <v>119</v>
      </c>
      <c r="F146" t="s">
        <v>856</v>
      </c>
      <c r="G146" t="s">
        <v>121</v>
      </c>
      <c r="H146" s="139">
        <v>46184</v>
      </c>
      <c r="I146" t="s">
        <v>136</v>
      </c>
      <c r="J146" t="s">
        <v>187</v>
      </c>
      <c r="K146" t="s">
        <v>254</v>
      </c>
      <c r="N146" t="s">
        <v>857</v>
      </c>
      <c r="O146" t="s">
        <v>122</v>
      </c>
      <c r="P146" t="s">
        <v>108</v>
      </c>
      <c r="Q146" t="s">
        <v>123</v>
      </c>
      <c r="R146" t="s">
        <v>22</v>
      </c>
      <c r="S146" t="s">
        <v>149</v>
      </c>
      <c r="T146" t="s">
        <v>181</v>
      </c>
      <c r="U146" t="s">
        <v>858</v>
      </c>
      <c r="V146" t="s">
        <v>129</v>
      </c>
      <c r="W146" t="s">
        <v>130</v>
      </c>
      <c r="X146" t="s">
        <v>124</v>
      </c>
      <c r="Y146" t="s">
        <v>124</v>
      </c>
      <c r="Z146" t="s">
        <v>396</v>
      </c>
      <c r="AA146" t="s">
        <v>127</v>
      </c>
    </row>
    <row r="147" spans="1:28">
      <c r="A147">
        <v>146</v>
      </c>
      <c r="B147" s="139">
        <v>46184.630949074082</v>
      </c>
      <c r="C147" s="139">
        <v>46184.63349537037</v>
      </c>
      <c r="D147" t="s">
        <v>118</v>
      </c>
      <c r="E147" t="s">
        <v>119</v>
      </c>
      <c r="F147" t="s">
        <v>247</v>
      </c>
      <c r="G147" t="s">
        <v>121</v>
      </c>
      <c r="H147" s="139">
        <v>46182</v>
      </c>
      <c r="I147" t="s">
        <v>136</v>
      </c>
      <c r="J147" t="s">
        <v>161</v>
      </c>
      <c r="M147" t="s">
        <v>260</v>
      </c>
      <c r="N147" t="s">
        <v>859</v>
      </c>
      <c r="O147" t="s">
        <v>195</v>
      </c>
      <c r="P147" t="s">
        <v>221</v>
      </c>
      <c r="Q147" t="s">
        <v>109</v>
      </c>
      <c r="R147" t="s">
        <v>24</v>
      </c>
      <c r="S147" t="s">
        <v>143</v>
      </c>
      <c r="T147" t="s">
        <v>181</v>
      </c>
      <c r="V147" t="s">
        <v>129</v>
      </c>
      <c r="W147" t="s">
        <v>130</v>
      </c>
      <c r="X147" t="s">
        <v>19</v>
      </c>
      <c r="Y147" t="s">
        <v>252</v>
      </c>
    </row>
    <row r="148" spans="1:28">
      <c r="A148">
        <v>147</v>
      </c>
      <c r="B148" s="139">
        <v>46185.566574074073</v>
      </c>
      <c r="C148" s="139">
        <v>46185.567696759259</v>
      </c>
      <c r="D148" t="s">
        <v>118</v>
      </c>
      <c r="E148" t="s">
        <v>119</v>
      </c>
      <c r="F148" t="s">
        <v>856</v>
      </c>
      <c r="G148" t="s">
        <v>121</v>
      </c>
      <c r="H148" s="139">
        <v>46184</v>
      </c>
      <c r="I148" t="s">
        <v>136</v>
      </c>
      <c r="J148" t="s">
        <v>187</v>
      </c>
      <c r="K148" t="s">
        <v>254</v>
      </c>
      <c r="N148" t="s">
        <v>260</v>
      </c>
      <c r="O148" t="s">
        <v>122</v>
      </c>
      <c r="P148" t="s">
        <v>108</v>
      </c>
      <c r="Q148" t="s">
        <v>123</v>
      </c>
      <c r="R148" t="s">
        <v>22</v>
      </c>
      <c r="S148" t="s">
        <v>143</v>
      </c>
      <c r="T148" t="s">
        <v>181</v>
      </c>
      <c r="U148" t="s">
        <v>863</v>
      </c>
      <c r="V148" t="s">
        <v>129</v>
      </c>
      <c r="W148" t="s">
        <v>130</v>
      </c>
      <c r="X148" t="s">
        <v>329</v>
      </c>
      <c r="Y148" t="s">
        <v>1353</v>
      </c>
      <c r="Z148" t="s">
        <v>811</v>
      </c>
      <c r="AA148" t="s">
        <v>780</v>
      </c>
    </row>
    <row r="149" spans="1:28">
      <c r="A149">
        <v>148</v>
      </c>
      <c r="B149" s="139">
        <v>46185.815474537027</v>
      </c>
      <c r="C149" s="139">
        <v>46185.817650462966</v>
      </c>
      <c r="D149" t="s">
        <v>170</v>
      </c>
      <c r="E149" t="s">
        <v>171</v>
      </c>
      <c r="F149" t="s">
        <v>171</v>
      </c>
      <c r="G149" t="s">
        <v>172</v>
      </c>
      <c r="H149" s="139">
        <v>46170</v>
      </c>
      <c r="I149" t="s">
        <v>136</v>
      </c>
      <c r="J149" t="s">
        <v>161</v>
      </c>
      <c r="M149" t="s">
        <v>197</v>
      </c>
      <c r="N149" t="s">
        <v>864</v>
      </c>
      <c r="O149" t="s">
        <v>195</v>
      </c>
      <c r="P149" t="s">
        <v>305</v>
      </c>
      <c r="Q149" t="s">
        <v>109</v>
      </c>
      <c r="R149" t="s">
        <v>24</v>
      </c>
      <c r="S149" t="s">
        <v>149</v>
      </c>
      <c r="T149" t="s">
        <v>181</v>
      </c>
      <c r="V149" t="s">
        <v>129</v>
      </c>
      <c r="W149" t="s">
        <v>130</v>
      </c>
      <c r="X149" t="s">
        <v>19</v>
      </c>
      <c r="Y149" t="s">
        <v>252</v>
      </c>
    </row>
    <row r="150" spans="1:28">
      <c r="A150">
        <v>149</v>
      </c>
      <c r="B150" s="139">
        <v>46185.817685185182</v>
      </c>
      <c r="C150" s="139">
        <v>46185.818958333337</v>
      </c>
      <c r="D150" t="s">
        <v>170</v>
      </c>
      <c r="E150" t="s">
        <v>171</v>
      </c>
      <c r="F150" t="s">
        <v>171</v>
      </c>
      <c r="G150" t="s">
        <v>172</v>
      </c>
      <c r="H150" s="139">
        <v>46171</v>
      </c>
      <c r="I150" t="s">
        <v>136</v>
      </c>
      <c r="J150" t="s">
        <v>161</v>
      </c>
      <c r="M150" t="s">
        <v>205</v>
      </c>
      <c r="N150" t="s">
        <v>866</v>
      </c>
      <c r="O150" t="s">
        <v>195</v>
      </c>
      <c r="P150" t="s">
        <v>305</v>
      </c>
      <c r="Q150" t="s">
        <v>109</v>
      </c>
      <c r="R150" t="s">
        <v>24</v>
      </c>
      <c r="S150" t="s">
        <v>149</v>
      </c>
      <c r="T150" t="s">
        <v>181</v>
      </c>
      <c r="V150" t="s">
        <v>129</v>
      </c>
      <c r="W150" t="s">
        <v>130</v>
      </c>
      <c r="X150" t="s">
        <v>19</v>
      </c>
      <c r="Y150" t="s">
        <v>252</v>
      </c>
    </row>
    <row r="151" spans="1:28">
      <c r="A151">
        <v>150</v>
      </c>
      <c r="B151" s="139">
        <v>46185.819120370368</v>
      </c>
      <c r="C151" s="139">
        <v>46185.821446759262</v>
      </c>
      <c r="D151" t="s">
        <v>170</v>
      </c>
      <c r="E151" t="s">
        <v>171</v>
      </c>
      <c r="F151" t="s">
        <v>171</v>
      </c>
      <c r="G151" t="s">
        <v>172</v>
      </c>
      <c r="H151" s="139">
        <v>46160</v>
      </c>
      <c r="I151" t="s">
        <v>136</v>
      </c>
      <c r="J151" t="s">
        <v>187</v>
      </c>
      <c r="K151" t="s">
        <v>188</v>
      </c>
      <c r="N151" t="s">
        <v>868</v>
      </c>
      <c r="O151" t="s">
        <v>173</v>
      </c>
      <c r="P151" t="s">
        <v>108</v>
      </c>
      <c r="Q151" t="s">
        <v>123</v>
      </c>
      <c r="R151" t="s">
        <v>24</v>
      </c>
      <c r="S151" t="s">
        <v>143</v>
      </c>
      <c r="T151" t="s">
        <v>181</v>
      </c>
      <c r="V151" t="s">
        <v>151</v>
      </c>
      <c r="W151" t="s">
        <v>130</v>
      </c>
      <c r="X151" t="s">
        <v>190</v>
      </c>
      <c r="Y151" t="s">
        <v>190</v>
      </c>
      <c r="Z151" t="s">
        <v>869</v>
      </c>
      <c r="AA151" t="s">
        <v>870</v>
      </c>
    </row>
    <row r="152" spans="1:28">
      <c r="A152">
        <v>151</v>
      </c>
      <c r="B152" s="139">
        <v>46185.821585648147</v>
      </c>
      <c r="C152" s="139">
        <v>46185.823159722233</v>
      </c>
      <c r="D152" t="s">
        <v>170</v>
      </c>
      <c r="E152" t="s">
        <v>171</v>
      </c>
      <c r="F152" t="s">
        <v>171</v>
      </c>
      <c r="G152" t="s">
        <v>172</v>
      </c>
      <c r="H152" s="139">
        <v>46171</v>
      </c>
      <c r="I152" t="s">
        <v>136</v>
      </c>
      <c r="J152" t="s">
        <v>161</v>
      </c>
      <c r="M152" t="s">
        <v>197</v>
      </c>
      <c r="N152" t="s">
        <v>871</v>
      </c>
      <c r="O152" t="s">
        <v>107</v>
      </c>
      <c r="P152" t="s">
        <v>108</v>
      </c>
      <c r="Q152" t="s">
        <v>109</v>
      </c>
      <c r="R152" t="s">
        <v>22</v>
      </c>
      <c r="S152" t="s">
        <v>143</v>
      </c>
      <c r="T152" t="s">
        <v>150</v>
      </c>
      <c r="V152" t="s">
        <v>151</v>
      </c>
      <c r="W152" t="s">
        <v>130</v>
      </c>
      <c r="X152" t="s">
        <v>146</v>
      </c>
      <c r="Y152" t="s">
        <v>146</v>
      </c>
      <c r="Z152" t="s">
        <v>872</v>
      </c>
      <c r="AA152" t="s">
        <v>1364</v>
      </c>
    </row>
    <row r="153" spans="1:28">
      <c r="A153">
        <v>152</v>
      </c>
      <c r="B153" s="139">
        <v>46185.823194444441</v>
      </c>
      <c r="C153" s="139">
        <v>46185.82439814815</v>
      </c>
      <c r="D153" t="s">
        <v>170</v>
      </c>
      <c r="E153" t="s">
        <v>171</v>
      </c>
      <c r="F153" t="s">
        <v>171</v>
      </c>
      <c r="G153" t="s">
        <v>172</v>
      </c>
      <c r="H153" s="139">
        <v>46171</v>
      </c>
      <c r="I153" t="s">
        <v>136</v>
      </c>
      <c r="J153" t="s">
        <v>161</v>
      </c>
      <c r="M153" t="s">
        <v>205</v>
      </c>
      <c r="N153" t="s">
        <v>873</v>
      </c>
      <c r="O153" t="s">
        <v>107</v>
      </c>
      <c r="P153" t="s">
        <v>108</v>
      </c>
      <c r="Q153" t="s">
        <v>109</v>
      </c>
      <c r="R153" t="s">
        <v>22</v>
      </c>
      <c r="S153" t="s">
        <v>143</v>
      </c>
      <c r="T153" t="s">
        <v>150</v>
      </c>
      <c r="U153" t="s">
        <v>875</v>
      </c>
      <c r="V153" t="s">
        <v>151</v>
      </c>
      <c r="W153" t="s">
        <v>130</v>
      </c>
      <c r="X153" t="s">
        <v>146</v>
      </c>
      <c r="Y153" t="s">
        <v>146</v>
      </c>
      <c r="Z153" t="s">
        <v>874</v>
      </c>
      <c r="AA153" t="s">
        <v>1365</v>
      </c>
    </row>
    <row r="154" spans="1:28">
      <c r="A154">
        <v>153</v>
      </c>
      <c r="B154" s="139">
        <v>46185.824432870373</v>
      </c>
      <c r="C154" s="139">
        <v>46185.826053240737</v>
      </c>
      <c r="D154" t="s">
        <v>170</v>
      </c>
      <c r="E154" t="s">
        <v>171</v>
      </c>
      <c r="F154" t="s">
        <v>171</v>
      </c>
      <c r="G154" t="s">
        <v>172</v>
      </c>
      <c r="H154" s="139">
        <v>46170</v>
      </c>
      <c r="I154" t="s">
        <v>136</v>
      </c>
      <c r="J154" t="s">
        <v>161</v>
      </c>
      <c r="M154" t="s">
        <v>197</v>
      </c>
      <c r="N154" t="s">
        <v>876</v>
      </c>
      <c r="O154" t="s">
        <v>107</v>
      </c>
      <c r="P154" t="s">
        <v>108</v>
      </c>
      <c r="Q154" t="s">
        <v>109</v>
      </c>
      <c r="R154" t="s">
        <v>22</v>
      </c>
      <c r="S154" t="s">
        <v>114</v>
      </c>
      <c r="T154" t="s">
        <v>181</v>
      </c>
      <c r="V154" t="s">
        <v>151</v>
      </c>
      <c r="W154" t="s">
        <v>130</v>
      </c>
      <c r="X154" t="s">
        <v>110</v>
      </c>
      <c r="Y154" t="s">
        <v>110</v>
      </c>
      <c r="Z154" t="s">
        <v>877</v>
      </c>
      <c r="AA154" t="s">
        <v>879</v>
      </c>
    </row>
    <row r="155" spans="1:28">
      <c r="A155">
        <v>154</v>
      </c>
      <c r="B155" s="139">
        <v>46185.826099537036</v>
      </c>
      <c r="C155" s="139">
        <v>46185.827418981477</v>
      </c>
      <c r="D155" t="s">
        <v>170</v>
      </c>
      <c r="E155" t="s">
        <v>171</v>
      </c>
      <c r="F155" t="s">
        <v>171</v>
      </c>
      <c r="G155" t="s">
        <v>172</v>
      </c>
      <c r="H155" s="139">
        <v>46170</v>
      </c>
      <c r="I155" t="s">
        <v>136</v>
      </c>
      <c r="J155" t="s">
        <v>161</v>
      </c>
      <c r="M155" t="s">
        <v>205</v>
      </c>
      <c r="N155" t="s">
        <v>880</v>
      </c>
      <c r="O155" t="s">
        <v>107</v>
      </c>
      <c r="P155" t="s">
        <v>108</v>
      </c>
      <c r="Q155" t="s">
        <v>109</v>
      </c>
      <c r="R155" t="s">
        <v>22</v>
      </c>
      <c r="S155" t="s">
        <v>114</v>
      </c>
      <c r="T155" t="s">
        <v>181</v>
      </c>
      <c r="V155" t="s">
        <v>151</v>
      </c>
      <c r="W155" t="s">
        <v>130</v>
      </c>
      <c r="X155" t="s">
        <v>110</v>
      </c>
      <c r="Y155" t="s">
        <v>110</v>
      </c>
      <c r="Z155" t="s">
        <v>881</v>
      </c>
      <c r="AA155" t="s">
        <v>883</v>
      </c>
    </row>
    <row r="156" spans="1:28">
      <c r="A156">
        <v>155</v>
      </c>
      <c r="B156" s="139">
        <v>46185.827696759261</v>
      </c>
      <c r="C156" s="139">
        <v>46185.82912037037</v>
      </c>
      <c r="D156" t="s">
        <v>170</v>
      </c>
      <c r="E156" t="s">
        <v>171</v>
      </c>
      <c r="F156" t="s">
        <v>171</v>
      </c>
      <c r="G156" t="s">
        <v>172</v>
      </c>
      <c r="H156" s="139">
        <v>46164</v>
      </c>
      <c r="I156" t="s">
        <v>136</v>
      </c>
      <c r="J156" t="s">
        <v>161</v>
      </c>
      <c r="M156" t="s">
        <v>197</v>
      </c>
      <c r="N156" t="s">
        <v>884</v>
      </c>
      <c r="O156" t="s">
        <v>195</v>
      </c>
      <c r="P156" t="s">
        <v>305</v>
      </c>
      <c r="Q156" t="s">
        <v>109</v>
      </c>
      <c r="R156" t="s">
        <v>24</v>
      </c>
      <c r="S156" t="s">
        <v>149</v>
      </c>
      <c r="T156" t="s">
        <v>181</v>
      </c>
      <c r="V156" t="s">
        <v>116</v>
      </c>
      <c r="W156" t="s">
        <v>130</v>
      </c>
      <c r="X156" t="s">
        <v>190</v>
      </c>
      <c r="Y156" t="s">
        <v>190</v>
      </c>
      <c r="Z156" t="s">
        <v>885</v>
      </c>
      <c r="AA156" t="s">
        <v>885</v>
      </c>
    </row>
    <row r="157" spans="1:28">
      <c r="A157">
        <v>156</v>
      </c>
      <c r="B157" s="139">
        <v>46185.829143518517</v>
      </c>
      <c r="C157" s="139">
        <v>46185.830127314817</v>
      </c>
      <c r="D157" t="s">
        <v>170</v>
      </c>
      <c r="E157" t="s">
        <v>171</v>
      </c>
      <c r="F157" t="s">
        <v>171</v>
      </c>
      <c r="G157" t="s">
        <v>172</v>
      </c>
      <c r="H157" s="139">
        <v>46164</v>
      </c>
      <c r="I157" t="s">
        <v>136</v>
      </c>
      <c r="J157" t="s">
        <v>161</v>
      </c>
      <c r="M157" t="s">
        <v>205</v>
      </c>
      <c r="N157" t="s">
        <v>886</v>
      </c>
      <c r="O157" t="s">
        <v>195</v>
      </c>
      <c r="P157" t="s">
        <v>305</v>
      </c>
      <c r="Q157" t="s">
        <v>109</v>
      </c>
      <c r="R157" t="s">
        <v>24</v>
      </c>
      <c r="S157" t="s">
        <v>149</v>
      </c>
      <c r="T157" t="s">
        <v>181</v>
      </c>
      <c r="V157" t="s">
        <v>116</v>
      </c>
      <c r="W157" t="s">
        <v>130</v>
      </c>
      <c r="X157" t="s">
        <v>190</v>
      </c>
      <c r="Y157" t="s">
        <v>190</v>
      </c>
      <c r="Z157" t="s">
        <v>885</v>
      </c>
      <c r="AA157" t="s">
        <v>885</v>
      </c>
    </row>
    <row r="158" spans="1:28">
      <c r="A158">
        <v>157</v>
      </c>
      <c r="B158" s="139">
        <v>46189.449560185189</v>
      </c>
      <c r="C158" s="139">
        <v>46189.451157407413</v>
      </c>
      <c r="D158" t="s">
        <v>887</v>
      </c>
      <c r="E158" t="s">
        <v>888</v>
      </c>
      <c r="F158" t="s">
        <v>889</v>
      </c>
      <c r="G158" t="s">
        <v>890</v>
      </c>
      <c r="H158" s="139">
        <v>46148</v>
      </c>
      <c r="I158" t="s">
        <v>498</v>
      </c>
      <c r="J158" t="s">
        <v>161</v>
      </c>
      <c r="M158" t="s">
        <v>892</v>
      </c>
      <c r="O158" t="s">
        <v>891</v>
      </c>
      <c r="P158" t="s">
        <v>108</v>
      </c>
      <c r="Q158" t="s">
        <v>109</v>
      </c>
      <c r="R158" t="s">
        <v>23</v>
      </c>
      <c r="S158" t="s">
        <v>149</v>
      </c>
      <c r="T158" t="s">
        <v>144</v>
      </c>
      <c r="V158" t="s">
        <v>151</v>
      </c>
      <c r="W158" t="s">
        <v>130</v>
      </c>
      <c r="X158" t="s">
        <v>252</v>
      </c>
      <c r="Y158" t="s">
        <v>252</v>
      </c>
      <c r="AB158" t="s">
        <v>893</v>
      </c>
    </row>
    <row r="159" spans="1:28">
      <c r="A159">
        <v>158</v>
      </c>
      <c r="B159" s="139">
        <v>46189.451203703713</v>
      </c>
      <c r="C159" s="139">
        <v>46189.454861111109</v>
      </c>
      <c r="D159" t="s">
        <v>887</v>
      </c>
      <c r="E159" t="s">
        <v>888</v>
      </c>
      <c r="F159" t="s">
        <v>894</v>
      </c>
      <c r="G159" t="s">
        <v>890</v>
      </c>
      <c r="H159" s="139">
        <v>46160</v>
      </c>
      <c r="I159" t="s">
        <v>498</v>
      </c>
      <c r="J159" t="s">
        <v>161</v>
      </c>
      <c r="M159" t="s">
        <v>895</v>
      </c>
      <c r="O159" t="s">
        <v>107</v>
      </c>
      <c r="P159" t="s">
        <v>108</v>
      </c>
      <c r="Q159" t="s">
        <v>109</v>
      </c>
      <c r="R159" t="s">
        <v>21</v>
      </c>
      <c r="S159" t="s">
        <v>143</v>
      </c>
      <c r="T159" t="s">
        <v>233</v>
      </c>
      <c r="U159" t="s">
        <v>898</v>
      </c>
      <c r="V159" t="s">
        <v>116</v>
      </c>
      <c r="W159" t="s">
        <v>169</v>
      </c>
      <c r="X159" t="s">
        <v>177</v>
      </c>
      <c r="Y159" t="s">
        <v>177</v>
      </c>
      <c r="Z159" t="s">
        <v>896</v>
      </c>
      <c r="AA159" t="s">
        <v>897</v>
      </c>
    </row>
    <row r="160" spans="1:28">
      <c r="A160">
        <v>159</v>
      </c>
      <c r="B160" s="139">
        <v>46189.45517361111</v>
      </c>
      <c r="C160" s="139">
        <v>46189.456435185188</v>
      </c>
      <c r="D160" t="s">
        <v>887</v>
      </c>
      <c r="E160" t="s">
        <v>888</v>
      </c>
      <c r="F160" t="s">
        <v>889</v>
      </c>
      <c r="G160" t="s">
        <v>890</v>
      </c>
      <c r="H160" s="139">
        <v>46168</v>
      </c>
      <c r="I160" t="s">
        <v>498</v>
      </c>
      <c r="J160" t="s">
        <v>161</v>
      </c>
      <c r="M160" t="s">
        <v>892</v>
      </c>
      <c r="O160" t="s">
        <v>436</v>
      </c>
      <c r="P160" t="s">
        <v>108</v>
      </c>
      <c r="Q160" t="s">
        <v>109</v>
      </c>
      <c r="R160" t="s">
        <v>23</v>
      </c>
      <c r="S160" t="s">
        <v>149</v>
      </c>
      <c r="T160" t="s">
        <v>144</v>
      </c>
      <c r="V160" t="s">
        <v>151</v>
      </c>
      <c r="W160" t="s">
        <v>130</v>
      </c>
      <c r="X160" t="s">
        <v>252</v>
      </c>
      <c r="Y160" t="s">
        <v>252</v>
      </c>
      <c r="AB160" t="s">
        <v>1281</v>
      </c>
    </row>
    <row r="161" spans="1:27">
      <c r="A161">
        <v>160</v>
      </c>
      <c r="B161" s="139">
        <v>46189.458032407398</v>
      </c>
      <c r="C161" s="139">
        <v>46189.460729166669</v>
      </c>
      <c r="D161" t="s">
        <v>887</v>
      </c>
      <c r="E161" t="s">
        <v>888</v>
      </c>
      <c r="F161" t="s">
        <v>889</v>
      </c>
      <c r="G161" t="s">
        <v>890</v>
      </c>
      <c r="H161" s="139">
        <v>46168</v>
      </c>
      <c r="I161" t="s">
        <v>498</v>
      </c>
      <c r="J161" t="s">
        <v>161</v>
      </c>
      <c r="M161" t="s">
        <v>901</v>
      </c>
      <c r="O161" t="s">
        <v>900</v>
      </c>
      <c r="P161" t="s">
        <v>108</v>
      </c>
      <c r="Q161" t="s">
        <v>109</v>
      </c>
      <c r="R161" t="s">
        <v>24</v>
      </c>
      <c r="S161" t="s">
        <v>143</v>
      </c>
      <c r="T161" t="s">
        <v>144</v>
      </c>
      <c r="U161" t="s">
        <v>904</v>
      </c>
      <c r="V161" t="s">
        <v>151</v>
      </c>
      <c r="W161" t="s">
        <v>130</v>
      </c>
      <c r="X161" t="s">
        <v>190</v>
      </c>
      <c r="Y161" t="s">
        <v>190</v>
      </c>
      <c r="Z161" t="s">
        <v>377</v>
      </c>
      <c r="AA161" t="s">
        <v>903</v>
      </c>
    </row>
    <row r="162" spans="1:27">
      <c r="A162">
        <v>161</v>
      </c>
      <c r="B162" s="139">
        <v>46189.460775462961</v>
      </c>
      <c r="C162" s="139">
        <v>46189.462546296287</v>
      </c>
      <c r="D162" t="s">
        <v>887</v>
      </c>
      <c r="E162" t="s">
        <v>888</v>
      </c>
      <c r="F162" t="s">
        <v>889</v>
      </c>
      <c r="G162" t="s">
        <v>890</v>
      </c>
      <c r="H162" s="139">
        <v>46169</v>
      </c>
      <c r="I162" t="s">
        <v>498</v>
      </c>
      <c r="J162" t="s">
        <v>161</v>
      </c>
      <c r="M162" t="s">
        <v>901</v>
      </c>
      <c r="O162" t="s">
        <v>905</v>
      </c>
      <c r="P162" t="s">
        <v>108</v>
      </c>
      <c r="Q162" t="s">
        <v>109</v>
      </c>
      <c r="R162" t="s">
        <v>21</v>
      </c>
      <c r="S162" t="s">
        <v>143</v>
      </c>
      <c r="T162" t="s">
        <v>233</v>
      </c>
      <c r="U162" t="s">
        <v>909</v>
      </c>
      <c r="V162" t="s">
        <v>151</v>
      </c>
      <c r="W162" t="s">
        <v>130</v>
      </c>
      <c r="X162" t="s">
        <v>177</v>
      </c>
      <c r="Y162" t="s">
        <v>177</v>
      </c>
      <c r="Z162" t="s">
        <v>906</v>
      </c>
      <c r="AA162" t="s">
        <v>908</v>
      </c>
    </row>
    <row r="163" spans="1:27">
      <c r="A163">
        <v>162</v>
      </c>
      <c r="B163" s="139">
        <v>46189.462581018517</v>
      </c>
      <c r="C163" s="139">
        <v>46189.465844907398</v>
      </c>
      <c r="D163" t="s">
        <v>887</v>
      </c>
      <c r="E163" t="s">
        <v>888</v>
      </c>
      <c r="F163" t="s">
        <v>894</v>
      </c>
      <c r="G163" t="s">
        <v>890</v>
      </c>
      <c r="H163" s="139">
        <v>46171</v>
      </c>
      <c r="I163" t="s">
        <v>498</v>
      </c>
      <c r="J163" t="s">
        <v>161</v>
      </c>
      <c r="M163" t="s">
        <v>910</v>
      </c>
      <c r="O163" t="s">
        <v>107</v>
      </c>
      <c r="P163" t="s">
        <v>196</v>
      </c>
      <c r="Q163" t="s">
        <v>109</v>
      </c>
      <c r="R163" t="s">
        <v>24</v>
      </c>
      <c r="S163" t="s">
        <v>143</v>
      </c>
      <c r="T163" t="s">
        <v>915</v>
      </c>
      <c r="U163" t="s">
        <v>916</v>
      </c>
      <c r="V163" t="s">
        <v>151</v>
      </c>
      <c r="W163" t="s">
        <v>169</v>
      </c>
      <c r="X163" t="s">
        <v>911</v>
      </c>
      <c r="Y163" t="s">
        <v>911</v>
      </c>
      <c r="Z163" t="s">
        <v>912</v>
      </c>
      <c r="AA163" t="s">
        <v>914</v>
      </c>
    </row>
    <row r="164" spans="1:27">
      <c r="A164">
        <v>163</v>
      </c>
      <c r="B164" s="139">
        <v>46189.465868055559</v>
      </c>
      <c r="C164" s="139">
        <v>46189.468692129631</v>
      </c>
      <c r="D164" t="s">
        <v>887</v>
      </c>
      <c r="E164" t="s">
        <v>888</v>
      </c>
      <c r="F164" t="s">
        <v>894</v>
      </c>
      <c r="G164" t="s">
        <v>890</v>
      </c>
      <c r="H164" s="139">
        <v>46171</v>
      </c>
      <c r="I164" t="s">
        <v>498</v>
      </c>
      <c r="J164" t="s">
        <v>161</v>
      </c>
      <c r="M164" t="s">
        <v>917</v>
      </c>
      <c r="O164" t="s">
        <v>135</v>
      </c>
      <c r="P164" t="s">
        <v>108</v>
      </c>
      <c r="Q164" t="s">
        <v>109</v>
      </c>
      <c r="R164" t="s">
        <v>22</v>
      </c>
      <c r="S164" t="s">
        <v>149</v>
      </c>
      <c r="T164" t="s">
        <v>661</v>
      </c>
      <c r="U164" t="s">
        <v>919</v>
      </c>
      <c r="V164" t="s">
        <v>151</v>
      </c>
      <c r="W164" t="s">
        <v>130</v>
      </c>
      <c r="X164" t="s">
        <v>146</v>
      </c>
      <c r="Y164" t="s">
        <v>146</v>
      </c>
      <c r="Z164" t="s">
        <v>918</v>
      </c>
      <c r="AA164" t="s">
        <v>1364</v>
      </c>
    </row>
    <row r="165" spans="1:27">
      <c r="A165">
        <v>164</v>
      </c>
      <c r="B165" s="139">
        <v>46197.348460648151</v>
      </c>
      <c r="C165" s="139">
        <v>46197.352986111109</v>
      </c>
      <c r="D165" t="s">
        <v>775</v>
      </c>
      <c r="E165" t="s">
        <v>776</v>
      </c>
      <c r="F165" t="s">
        <v>776</v>
      </c>
      <c r="G165" t="s">
        <v>777</v>
      </c>
      <c r="H165" s="139">
        <v>46189</v>
      </c>
      <c r="I165" t="s">
        <v>772</v>
      </c>
      <c r="J165" t="s">
        <v>161</v>
      </c>
      <c r="M165" t="s">
        <v>920</v>
      </c>
      <c r="N165" t="s">
        <v>921</v>
      </c>
      <c r="O165" t="s">
        <v>436</v>
      </c>
      <c r="P165" t="s">
        <v>108</v>
      </c>
      <c r="Q165" t="s">
        <v>248</v>
      </c>
      <c r="R165" t="s">
        <v>22</v>
      </c>
      <c r="S165" t="s">
        <v>149</v>
      </c>
      <c r="T165" t="s">
        <v>478</v>
      </c>
      <c r="U165" t="s">
        <v>924</v>
      </c>
      <c r="V165" t="s">
        <v>151</v>
      </c>
      <c r="W165" t="s">
        <v>130</v>
      </c>
      <c r="X165" t="s">
        <v>302</v>
      </c>
      <c r="Y165" t="s">
        <v>302</v>
      </c>
      <c r="Z165" t="s">
        <v>922</v>
      </c>
      <c r="AA165" t="s">
        <v>923</v>
      </c>
    </row>
    <row r="166" spans="1:27">
      <c r="A166">
        <v>165</v>
      </c>
      <c r="B166" s="139">
        <v>46197.353067129632</v>
      </c>
      <c r="C166" s="139">
        <v>46197.355312500003</v>
      </c>
      <c r="D166" t="s">
        <v>775</v>
      </c>
      <c r="E166" t="s">
        <v>776</v>
      </c>
      <c r="F166" t="s">
        <v>776</v>
      </c>
      <c r="G166" t="s">
        <v>777</v>
      </c>
      <c r="H166" s="139">
        <v>46185</v>
      </c>
      <c r="I166" t="s">
        <v>772</v>
      </c>
      <c r="J166" t="s">
        <v>187</v>
      </c>
      <c r="K166" t="s">
        <v>925</v>
      </c>
      <c r="N166" t="s">
        <v>926</v>
      </c>
      <c r="O166" t="s">
        <v>135</v>
      </c>
      <c r="P166" t="s">
        <v>108</v>
      </c>
      <c r="Q166" t="s">
        <v>123</v>
      </c>
      <c r="R166" t="s">
        <v>22</v>
      </c>
      <c r="S166" t="s">
        <v>149</v>
      </c>
      <c r="T166" t="s">
        <v>478</v>
      </c>
      <c r="U166" t="s">
        <v>929</v>
      </c>
      <c r="V166" t="s">
        <v>151</v>
      </c>
      <c r="W166" t="s">
        <v>130</v>
      </c>
      <c r="X166" t="s">
        <v>302</v>
      </c>
      <c r="Y166" t="s">
        <v>302</v>
      </c>
      <c r="Z166" t="s">
        <v>927</v>
      </c>
      <c r="AA166" t="s">
        <v>928</v>
      </c>
    </row>
    <row r="167" spans="1:27" ht="15" customHeight="1"/>
    <row r="168" spans="1:27" ht="15" customHeight="1"/>
    <row r="169" spans="1:27" ht="15" customHeight="1"/>
    <row r="170" spans="1:27" ht="15" customHeight="1"/>
    <row r="171" spans="1:27" ht="15" customHeight="1"/>
    <row r="172" spans="1:27" ht="15" customHeight="1"/>
    <row r="173" spans="1:27" ht="15" customHeight="1"/>
    <row r="174" spans="1:27" ht="15" customHeight="1"/>
    <row r="175" spans="1:27" ht="15" customHeight="1"/>
    <row r="176" spans="1:27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  <row r="3454" ht="15" customHeight="1"/>
    <row r="3455" ht="15" customHeight="1"/>
    <row r="3456" ht="15" customHeight="1"/>
    <row r="3457" ht="15" customHeight="1"/>
    <row r="3458" ht="15" customHeight="1"/>
    <row r="3459" ht="15" customHeight="1"/>
    <row r="3460" ht="15" customHeight="1"/>
    <row r="3461" ht="15" customHeight="1"/>
    <row r="3462" ht="15" customHeight="1"/>
    <row r="3463" ht="15" customHeight="1"/>
    <row r="3464" ht="15" customHeight="1"/>
    <row r="3465" ht="15" customHeight="1"/>
    <row r="3466" ht="15" customHeight="1"/>
    <row r="3467" ht="15" customHeight="1"/>
    <row r="3468" ht="15" customHeight="1"/>
    <row r="3469" ht="15" customHeight="1"/>
    <row r="3470" ht="15" customHeight="1"/>
    <row r="3471" ht="15" customHeight="1"/>
    <row r="3472" ht="15" customHeight="1"/>
    <row r="3473" ht="15" customHeight="1"/>
    <row r="3474" ht="15" customHeight="1"/>
    <row r="3475" ht="15" customHeight="1"/>
    <row r="3476" ht="15" customHeight="1"/>
    <row r="3477" ht="15" customHeight="1"/>
    <row r="3478" ht="15" customHeight="1"/>
    <row r="3479" ht="15" customHeight="1"/>
    <row r="3480" ht="15" customHeight="1"/>
    <row r="3481" ht="15" customHeight="1"/>
    <row r="3482" ht="15" customHeight="1"/>
    <row r="3483" ht="15" customHeight="1"/>
    <row r="3484" ht="15" customHeight="1"/>
    <row r="3485" ht="15" customHeight="1"/>
    <row r="3486" ht="15" customHeight="1"/>
    <row r="3487" ht="15" customHeight="1"/>
    <row r="3488" ht="15" customHeight="1"/>
    <row r="3489" ht="15" customHeight="1"/>
    <row r="3490" ht="15" customHeight="1"/>
    <row r="3491" ht="15" customHeight="1"/>
    <row r="3492" ht="15" customHeight="1"/>
    <row r="3493" ht="15" customHeight="1"/>
    <row r="3494" ht="15" customHeight="1"/>
    <row r="3495" ht="15" customHeight="1"/>
    <row r="3496" ht="15" customHeight="1"/>
    <row r="3497" ht="15" customHeight="1"/>
    <row r="3498" ht="15" customHeight="1"/>
    <row r="3499" ht="15" customHeight="1"/>
    <row r="3500" ht="15" customHeight="1"/>
    <row r="3501" ht="15" customHeight="1"/>
    <row r="3502" ht="15" customHeight="1"/>
    <row r="3503" ht="15" customHeight="1"/>
    <row r="3504" ht="15" customHeight="1"/>
    <row r="3505" ht="15" customHeight="1"/>
    <row r="3506" ht="15" customHeight="1"/>
    <row r="3507" ht="15" customHeight="1"/>
    <row r="3508" ht="15" customHeight="1"/>
    <row r="3509" ht="15" customHeight="1"/>
    <row r="3510" ht="15" customHeight="1"/>
    <row r="3511" ht="15" customHeight="1"/>
    <row r="3512" ht="15" customHeight="1"/>
    <row r="3513" ht="15" customHeight="1"/>
    <row r="3514" ht="15" customHeight="1"/>
    <row r="3515" ht="15" customHeight="1"/>
    <row r="3516" ht="15" customHeight="1"/>
    <row r="3517" ht="15" customHeight="1"/>
    <row r="3518" ht="15" customHeight="1"/>
    <row r="3519" ht="15" customHeight="1"/>
    <row r="3520" ht="15" customHeight="1"/>
    <row r="3521" ht="15" customHeight="1"/>
    <row r="3522" ht="15" customHeight="1"/>
    <row r="3523" ht="15" customHeight="1"/>
    <row r="3524" ht="15" customHeight="1"/>
    <row r="3525" ht="15" customHeight="1"/>
    <row r="3526" ht="15" customHeight="1"/>
    <row r="3527" ht="15" customHeight="1"/>
    <row r="3528" ht="15" customHeight="1"/>
    <row r="3529" ht="15" customHeight="1"/>
    <row r="3530" ht="15" customHeight="1"/>
    <row r="3531" ht="15" customHeight="1"/>
    <row r="3532" ht="15" customHeight="1"/>
    <row r="3533" ht="15" customHeight="1"/>
    <row r="3534" ht="15" customHeight="1"/>
    <row r="3535" ht="15" customHeight="1"/>
    <row r="3536" ht="15" customHeight="1"/>
    <row r="3537" ht="15" customHeight="1"/>
    <row r="3538" ht="15" customHeight="1"/>
    <row r="3539" ht="15" customHeight="1"/>
    <row r="3540" ht="15" customHeight="1"/>
    <row r="3541" ht="15" customHeight="1"/>
    <row r="3542" ht="15" customHeight="1"/>
    <row r="3543" ht="15" customHeight="1"/>
    <row r="3544" ht="15" customHeight="1"/>
    <row r="3545" ht="15" customHeight="1"/>
    <row r="3546" ht="15" customHeight="1"/>
    <row r="3547" ht="15" customHeight="1"/>
    <row r="3548" ht="15" customHeight="1"/>
    <row r="3549" ht="15" customHeight="1"/>
    <row r="3550" ht="15" customHeight="1"/>
    <row r="3551" ht="15" customHeight="1"/>
    <row r="3552" ht="15" customHeight="1"/>
    <row r="3553" ht="15" customHeight="1"/>
    <row r="3554" ht="15" customHeight="1"/>
    <row r="3555" ht="15" customHeight="1"/>
    <row r="3556" ht="15" customHeight="1"/>
    <row r="3557" ht="15" customHeight="1"/>
    <row r="3558" ht="15" customHeight="1"/>
    <row r="3559" ht="15" customHeight="1"/>
    <row r="3560" ht="15" customHeight="1"/>
    <row r="3561" ht="15" customHeight="1"/>
    <row r="3562" ht="15" customHeight="1"/>
    <row r="3563" ht="15" customHeight="1"/>
    <row r="3564" ht="15" customHeight="1"/>
    <row r="3565" ht="15" customHeight="1"/>
    <row r="3566" ht="15" customHeight="1"/>
    <row r="3567" ht="15" customHeight="1"/>
    <row r="3568" ht="15" customHeight="1"/>
    <row r="3569" ht="15" customHeight="1"/>
    <row r="3570" ht="15" customHeight="1"/>
    <row r="3571" ht="15" customHeight="1"/>
    <row r="3572" ht="15" customHeight="1"/>
    <row r="3573" ht="15" customHeight="1"/>
    <row r="3574" ht="15" customHeight="1"/>
    <row r="3575" ht="15" customHeight="1"/>
    <row r="3576" ht="15" customHeight="1"/>
    <row r="3577" ht="15" customHeight="1"/>
    <row r="3578" ht="15" customHeight="1"/>
    <row r="3579" ht="15" customHeight="1"/>
    <row r="3580" ht="15" customHeight="1"/>
    <row r="3581" ht="15" customHeight="1"/>
    <row r="3582" ht="15" customHeight="1"/>
    <row r="3583" ht="15" customHeight="1"/>
    <row r="3584" ht="15" customHeight="1"/>
    <row r="3585" ht="15" customHeight="1"/>
    <row r="3586" ht="15" customHeight="1"/>
    <row r="3587" ht="15" customHeight="1"/>
    <row r="3588" ht="15" customHeight="1"/>
    <row r="3589" ht="15" customHeight="1"/>
    <row r="3590" ht="15" customHeight="1"/>
    <row r="3591" ht="15" customHeight="1"/>
    <row r="3592" ht="15" customHeight="1"/>
    <row r="3593" ht="15" customHeight="1"/>
    <row r="3594" ht="15" customHeight="1"/>
    <row r="3595" ht="15" customHeight="1"/>
    <row r="3596" ht="15" customHeight="1"/>
    <row r="3597" ht="15" customHeight="1"/>
    <row r="3598" ht="15" customHeight="1"/>
    <row r="3599" ht="15" customHeight="1"/>
    <row r="3600" ht="15" customHeight="1"/>
    <row r="3601" ht="15" customHeight="1"/>
    <row r="3602" ht="15" customHeight="1"/>
    <row r="3603" ht="15" customHeight="1"/>
    <row r="3604" ht="15" customHeight="1"/>
    <row r="3605" ht="15" customHeight="1"/>
    <row r="3606" ht="15" customHeight="1"/>
    <row r="3607" ht="15" customHeight="1"/>
    <row r="3608" ht="15" customHeight="1"/>
    <row r="3609" ht="15" customHeight="1"/>
    <row r="3610" ht="15" customHeight="1"/>
    <row r="3611" ht="15" customHeight="1"/>
    <row r="3612" ht="15" customHeight="1"/>
    <row r="3613" ht="15" customHeight="1"/>
    <row r="3614" ht="15" customHeight="1"/>
    <row r="3615" ht="15" customHeight="1"/>
    <row r="3616" ht="15" customHeight="1"/>
    <row r="3617" ht="15" customHeight="1"/>
    <row r="3618" ht="15" customHeight="1"/>
    <row r="3619" ht="15" customHeight="1"/>
    <row r="3620" ht="15" customHeight="1"/>
    <row r="3621" ht="15" customHeight="1"/>
    <row r="3622" ht="15" customHeight="1"/>
    <row r="3623" ht="15" customHeight="1"/>
    <row r="3624" ht="15" customHeight="1"/>
    <row r="3625" ht="15" customHeight="1"/>
    <row r="3626" ht="15" customHeight="1"/>
    <row r="3627" ht="15" customHeight="1"/>
    <row r="3628" ht="15" customHeight="1"/>
    <row r="3629" ht="15" customHeight="1"/>
    <row r="3630" ht="15" customHeight="1"/>
    <row r="3631" ht="15" customHeight="1"/>
    <row r="3632" ht="15" customHeight="1"/>
    <row r="3633" ht="15" customHeight="1"/>
    <row r="3634" ht="15" customHeight="1"/>
    <row r="3635" ht="15" customHeight="1"/>
    <row r="3636" ht="15" customHeight="1"/>
    <row r="3637" ht="15" customHeight="1"/>
    <row r="3638" ht="15" customHeight="1"/>
    <row r="3639" ht="15" customHeight="1"/>
    <row r="3640" ht="15" customHeight="1"/>
    <row r="3641" ht="15" customHeight="1"/>
    <row r="3642" ht="15" customHeight="1"/>
    <row r="3643" ht="15" customHeight="1"/>
    <row r="3644" ht="15" customHeight="1"/>
    <row r="3645" ht="15" customHeight="1"/>
    <row r="3646" ht="15" customHeight="1"/>
    <row r="3647" ht="15" customHeight="1"/>
    <row r="3648" ht="15" customHeight="1"/>
    <row r="3649" ht="15" customHeight="1"/>
    <row r="3650" ht="15" customHeight="1"/>
    <row r="3651" ht="15" customHeight="1"/>
    <row r="3652" ht="15" customHeight="1"/>
    <row r="3653" ht="15" customHeight="1"/>
    <row r="3654" ht="15" customHeight="1"/>
    <row r="3655" ht="15" customHeight="1"/>
    <row r="3656" ht="15" customHeight="1"/>
    <row r="3657" ht="15" customHeight="1"/>
    <row r="3658" ht="15" customHeight="1"/>
    <row r="3659" ht="15" customHeight="1"/>
    <row r="3660" ht="15" customHeight="1"/>
    <row r="3661" ht="15" customHeight="1"/>
    <row r="3662" ht="15" customHeight="1"/>
    <row r="3663" ht="15" customHeight="1"/>
    <row r="3664" ht="15" customHeight="1"/>
    <row r="3665" ht="15" customHeight="1"/>
    <row r="3666" ht="15" customHeight="1"/>
    <row r="3667" ht="15" customHeight="1"/>
    <row r="3668" ht="15" customHeight="1"/>
    <row r="3669" ht="15" customHeight="1"/>
    <row r="3670" ht="15" customHeight="1"/>
    <row r="3671" ht="15" customHeight="1"/>
    <row r="3672" ht="15" customHeight="1"/>
    <row r="3673" ht="15" customHeight="1"/>
    <row r="3674" ht="15" customHeight="1"/>
    <row r="3675" ht="15" customHeight="1"/>
    <row r="3676" ht="15" customHeight="1"/>
    <row r="3677" ht="15" customHeight="1"/>
    <row r="3678" ht="15" customHeight="1"/>
    <row r="3679" ht="15" customHeight="1"/>
    <row r="3680" ht="15" customHeight="1"/>
    <row r="3681" ht="15" customHeight="1"/>
    <row r="3682" ht="15" customHeight="1"/>
    <row r="3683" ht="15" customHeight="1"/>
    <row r="3684" ht="15" customHeight="1"/>
    <row r="3685" ht="15" customHeight="1"/>
    <row r="3686" ht="15" customHeight="1"/>
    <row r="3687" ht="15" customHeight="1"/>
    <row r="3688" ht="15" customHeight="1"/>
    <row r="3689" ht="15" customHeight="1"/>
    <row r="3690" ht="15" customHeight="1"/>
    <row r="3691" ht="15" customHeight="1"/>
    <row r="3692" ht="15" customHeight="1"/>
    <row r="3693" ht="15" customHeight="1"/>
    <row r="3694" ht="15" customHeight="1"/>
    <row r="3695" ht="15" customHeight="1"/>
    <row r="3696" ht="15" customHeight="1"/>
    <row r="3697" ht="15" customHeight="1"/>
    <row r="3698" ht="15" customHeight="1"/>
    <row r="3699" ht="15" customHeight="1"/>
    <row r="3700" ht="15" customHeight="1"/>
    <row r="3701" ht="15" customHeight="1"/>
    <row r="3702" ht="15" customHeight="1"/>
    <row r="3703" ht="15" customHeight="1"/>
    <row r="3704" ht="15" customHeight="1"/>
    <row r="3705" ht="15" customHeight="1"/>
    <row r="3706" ht="15" customHeight="1"/>
    <row r="3707" ht="15" customHeight="1"/>
    <row r="3708" ht="15" customHeight="1"/>
    <row r="3709" ht="15" customHeight="1"/>
    <row r="3710" ht="15" customHeight="1"/>
    <row r="3711" ht="15" customHeight="1"/>
    <row r="3712" ht="15" customHeight="1"/>
    <row r="3713" ht="15" customHeight="1"/>
    <row r="3714" ht="15" customHeight="1"/>
    <row r="3715" ht="15" customHeight="1"/>
    <row r="3716" ht="15" customHeight="1"/>
    <row r="3717" ht="15" customHeight="1"/>
    <row r="3718" ht="15" customHeight="1"/>
    <row r="3719" ht="15" customHeight="1"/>
    <row r="3720" ht="15" customHeight="1"/>
    <row r="3721" ht="15" customHeight="1"/>
    <row r="3722" ht="15" customHeight="1"/>
    <row r="3723" ht="15" customHeight="1"/>
    <row r="3724" ht="15" customHeight="1"/>
    <row r="3725" ht="15" customHeight="1"/>
    <row r="3726" ht="15" customHeight="1"/>
    <row r="3727" ht="15" customHeight="1"/>
    <row r="3728" ht="15" customHeight="1"/>
    <row r="3729" ht="15" customHeight="1"/>
    <row r="3730" ht="15" customHeight="1"/>
    <row r="3731" ht="15" customHeight="1"/>
    <row r="3732" ht="15" customHeight="1"/>
    <row r="3733" ht="15" customHeight="1"/>
    <row r="3734" ht="15" customHeight="1"/>
    <row r="3735" ht="15" customHeight="1"/>
    <row r="3736" ht="15" customHeight="1"/>
    <row r="3737" ht="15" customHeight="1"/>
    <row r="3738" ht="15" customHeight="1"/>
    <row r="3739" ht="15" customHeight="1"/>
    <row r="3740" ht="15" customHeight="1"/>
    <row r="3741" ht="15" customHeight="1"/>
    <row r="3742" ht="15" customHeight="1"/>
    <row r="3743" ht="15" customHeight="1"/>
    <row r="3744" ht="15" customHeight="1"/>
    <row r="3745" ht="15" customHeight="1"/>
    <row r="3746" ht="15" customHeight="1"/>
    <row r="3747" ht="15" customHeight="1"/>
    <row r="3748" ht="15" customHeight="1"/>
    <row r="3749" ht="15" customHeight="1"/>
    <row r="3750" ht="15" customHeight="1"/>
    <row r="3751" ht="15" customHeight="1"/>
    <row r="3752" ht="15" customHeight="1"/>
    <row r="3753" ht="15" customHeight="1"/>
    <row r="3754" ht="15" customHeight="1"/>
    <row r="3755" ht="15" customHeight="1"/>
    <row r="3756" ht="15" customHeight="1"/>
    <row r="3757" ht="15" customHeight="1"/>
    <row r="3758" ht="15" customHeight="1"/>
    <row r="3759" ht="15" customHeight="1"/>
    <row r="3760" ht="15" customHeight="1"/>
    <row r="3761" ht="15" customHeight="1"/>
    <row r="3762" ht="15" customHeight="1"/>
    <row r="3763" ht="15" customHeight="1"/>
    <row r="3764" ht="15" customHeight="1"/>
    <row r="3765" ht="15" customHeight="1"/>
    <row r="3766" ht="15" customHeight="1"/>
    <row r="3767" ht="15" customHeight="1"/>
    <row r="3768" ht="15" customHeight="1"/>
    <row r="3769" ht="15" customHeight="1"/>
    <row r="3770" ht="15" customHeight="1"/>
    <row r="3771" ht="15" customHeight="1"/>
    <row r="3772" ht="15" customHeight="1"/>
    <row r="3773" ht="15" customHeight="1"/>
    <row r="3774" ht="15" customHeight="1"/>
    <row r="3775" ht="15" customHeight="1"/>
    <row r="3776" ht="15" customHeight="1"/>
    <row r="3777" ht="15" customHeight="1"/>
    <row r="3778" ht="15" customHeight="1"/>
    <row r="3779" ht="15" customHeight="1"/>
    <row r="3780" ht="15" customHeight="1"/>
    <row r="3781" ht="15" customHeight="1"/>
    <row r="3782" ht="15" customHeight="1"/>
    <row r="3783" ht="15" customHeight="1"/>
    <row r="3784" ht="15" customHeight="1"/>
    <row r="3785" ht="15" customHeight="1"/>
    <row r="3786" ht="15" customHeight="1"/>
    <row r="3787" ht="15" customHeight="1"/>
    <row r="3788" ht="15" customHeight="1"/>
    <row r="3789" ht="15" customHeight="1"/>
    <row r="3790" ht="15" customHeight="1"/>
    <row r="3791" ht="15" customHeight="1"/>
    <row r="3792" ht="15" customHeight="1"/>
    <row r="3793" ht="15" customHeight="1"/>
    <row r="3794" ht="15" customHeight="1"/>
    <row r="3795" ht="15" customHeight="1"/>
    <row r="3796" ht="15" customHeight="1"/>
    <row r="3797" ht="15" customHeight="1"/>
    <row r="3798" ht="15" customHeight="1"/>
    <row r="3799" ht="15" customHeight="1"/>
    <row r="3800" ht="15" customHeight="1"/>
    <row r="3801" ht="15" customHeight="1"/>
    <row r="3802" ht="15" customHeight="1"/>
    <row r="3803" ht="15" customHeight="1"/>
    <row r="3804" ht="15" customHeight="1"/>
    <row r="3805" ht="15" customHeight="1"/>
    <row r="3806" ht="15" customHeight="1"/>
    <row r="3807" ht="15" customHeight="1"/>
    <row r="3808" ht="15" customHeight="1"/>
    <row r="3809" ht="15" customHeight="1"/>
    <row r="3810" ht="15" customHeight="1"/>
    <row r="3811" ht="15" customHeight="1"/>
    <row r="3812" ht="15" customHeight="1"/>
    <row r="3813" ht="15" customHeight="1"/>
    <row r="3814" ht="15" customHeight="1"/>
    <row r="3815" ht="15" customHeight="1"/>
    <row r="3816" ht="15" customHeight="1"/>
    <row r="3817" ht="15" customHeight="1"/>
    <row r="3818" ht="15" customHeight="1"/>
    <row r="3819" ht="15" customHeight="1"/>
    <row r="3820" ht="15" customHeight="1"/>
    <row r="3821" ht="15" customHeight="1"/>
    <row r="3822" ht="15" customHeight="1"/>
    <row r="3823" ht="15" customHeight="1"/>
    <row r="3824" ht="15" customHeight="1"/>
    <row r="3825" ht="15" customHeight="1"/>
    <row r="3826" ht="15" customHeight="1"/>
    <row r="3827" ht="15" customHeight="1"/>
    <row r="3828" ht="15" customHeight="1"/>
    <row r="3829" ht="15" customHeight="1"/>
    <row r="3830" ht="15" customHeight="1"/>
    <row r="3831" ht="15" customHeight="1"/>
    <row r="3832" ht="15" customHeight="1"/>
    <row r="3833" ht="15" customHeight="1"/>
    <row r="3834" ht="15" customHeight="1"/>
    <row r="3835" ht="15" customHeight="1"/>
    <row r="3836" ht="15" customHeight="1"/>
    <row r="3837" ht="15" customHeight="1"/>
    <row r="3838" ht="15" customHeight="1"/>
    <row r="3839" ht="15" customHeight="1"/>
    <row r="3840" ht="15" customHeight="1"/>
    <row r="3841" ht="15" customHeight="1"/>
    <row r="3842" ht="15" customHeight="1"/>
    <row r="3843" ht="15" customHeight="1"/>
    <row r="3844" ht="15" customHeight="1"/>
    <row r="3845" ht="15" customHeight="1"/>
    <row r="3846" ht="15" customHeight="1"/>
    <row r="3847" ht="15" customHeight="1"/>
    <row r="3848" ht="15" customHeight="1"/>
    <row r="3849" ht="15" customHeight="1"/>
    <row r="3850" ht="15" customHeight="1"/>
    <row r="3851" ht="15" customHeight="1"/>
    <row r="3852" ht="15" customHeight="1"/>
    <row r="3853" ht="15" customHeight="1"/>
    <row r="3854" ht="15" customHeight="1"/>
    <row r="3855" ht="15" customHeight="1"/>
    <row r="3856" ht="15" customHeight="1"/>
    <row r="3857" ht="15" customHeight="1"/>
    <row r="3858" ht="15" customHeight="1"/>
    <row r="3859" ht="15" customHeight="1"/>
    <row r="3860" ht="15" customHeight="1"/>
    <row r="3861" ht="15" customHeight="1"/>
    <row r="3862" ht="15" customHeight="1"/>
    <row r="3863" ht="15" customHeight="1"/>
    <row r="3864" ht="15" customHeight="1"/>
    <row r="3865" ht="15" customHeight="1"/>
    <row r="3866" ht="15" customHeight="1"/>
    <row r="3867" ht="15" customHeight="1"/>
    <row r="3868" ht="15" customHeight="1"/>
    <row r="3869" ht="15" customHeight="1"/>
    <row r="3870" ht="15" customHeight="1"/>
    <row r="3871" ht="15" customHeight="1"/>
    <row r="3872" ht="15" customHeight="1"/>
    <row r="3873" ht="15" customHeight="1"/>
    <row r="3874" ht="15" customHeight="1"/>
    <row r="3875" ht="15" customHeight="1"/>
    <row r="3876" ht="15" customHeight="1"/>
    <row r="3877" ht="15" customHeight="1"/>
    <row r="3878" ht="15" customHeight="1"/>
    <row r="3879" ht="15" customHeight="1"/>
    <row r="3880" ht="15" customHeight="1"/>
    <row r="3881" ht="15" customHeight="1"/>
    <row r="3882" ht="15" customHeight="1"/>
    <row r="3883" ht="15" customHeight="1"/>
    <row r="3884" ht="15" customHeight="1"/>
    <row r="3885" ht="15" customHeight="1"/>
    <row r="3886" ht="15" customHeight="1"/>
    <row r="3887" ht="15" customHeight="1"/>
    <row r="3888" ht="15" customHeight="1"/>
    <row r="3889" ht="15" customHeight="1"/>
    <row r="3890" ht="15" customHeight="1"/>
    <row r="3891" ht="15" customHeight="1"/>
    <row r="3892" ht="15" customHeight="1"/>
    <row r="3893" ht="15" customHeight="1"/>
    <row r="3894" ht="15" customHeight="1"/>
    <row r="3895" ht="15" customHeight="1"/>
    <row r="3896" ht="15" customHeight="1"/>
    <row r="3897" ht="15" customHeight="1"/>
    <row r="3898" ht="15" customHeight="1"/>
    <row r="3899" ht="15" customHeight="1"/>
    <row r="3900" ht="15" customHeight="1"/>
    <row r="3901" ht="15" customHeight="1"/>
    <row r="3902" ht="15" customHeight="1"/>
    <row r="3903" ht="15" customHeight="1"/>
    <row r="3904" ht="15" customHeight="1"/>
    <row r="3905" ht="15" customHeight="1"/>
    <row r="3906" ht="15" customHeight="1"/>
    <row r="3907" ht="15" customHeight="1"/>
    <row r="3908" ht="15" customHeight="1"/>
    <row r="3909" ht="15" customHeight="1"/>
    <row r="3910" ht="15" customHeight="1"/>
    <row r="3911" ht="15" customHeight="1"/>
    <row r="3912" ht="15" customHeight="1"/>
    <row r="3913" ht="15" customHeight="1"/>
    <row r="3914" ht="15" customHeight="1"/>
    <row r="3915" ht="15" customHeight="1"/>
    <row r="3916" ht="15" customHeight="1"/>
    <row r="3917" ht="15" customHeight="1"/>
    <row r="3918" ht="15" customHeight="1"/>
    <row r="3919" ht="15" customHeight="1"/>
    <row r="3920" ht="15" customHeight="1"/>
    <row r="3921" ht="15" customHeight="1"/>
    <row r="3922" ht="15" customHeight="1"/>
    <row r="3923" ht="15" customHeight="1"/>
    <row r="3924" ht="15" customHeight="1"/>
    <row r="3925" ht="15" customHeight="1"/>
    <row r="3926" ht="15" customHeight="1"/>
    <row r="3927" ht="15" customHeight="1"/>
    <row r="3928" ht="15" customHeight="1"/>
    <row r="3929" ht="15" customHeight="1"/>
    <row r="3930" ht="15" customHeight="1"/>
    <row r="3931" ht="15" customHeight="1"/>
    <row r="3932" ht="15" customHeight="1"/>
    <row r="3933" ht="15" customHeight="1"/>
    <row r="3934" ht="15" customHeight="1"/>
    <row r="3935" ht="15" customHeight="1"/>
    <row r="3936" ht="15" customHeight="1"/>
    <row r="3937" ht="15" customHeight="1"/>
    <row r="3938" ht="15" customHeight="1"/>
    <row r="3939" ht="15" customHeight="1"/>
    <row r="3940" ht="15" customHeight="1"/>
    <row r="3941" ht="15" customHeight="1"/>
    <row r="3942" ht="15" customHeight="1"/>
    <row r="3943" ht="15" customHeight="1"/>
    <row r="3944" ht="15" customHeight="1"/>
    <row r="3945" ht="15" customHeight="1"/>
    <row r="3946" ht="15" customHeight="1"/>
    <row r="3947" ht="15" customHeight="1"/>
    <row r="3948" ht="15" customHeight="1"/>
    <row r="3949" ht="15" customHeight="1"/>
    <row r="3950" ht="15" customHeight="1"/>
    <row r="3951" ht="15" customHeight="1"/>
    <row r="3952" ht="15" customHeight="1"/>
    <row r="3953" ht="15" customHeight="1"/>
    <row r="3954" ht="15" customHeight="1"/>
    <row r="3955" ht="15" customHeight="1"/>
    <row r="3956" ht="15" customHeight="1"/>
    <row r="3957" ht="15" customHeight="1"/>
    <row r="3958" ht="15" customHeight="1"/>
    <row r="3959" ht="15" customHeight="1"/>
    <row r="3960" ht="15" customHeight="1"/>
    <row r="3961" ht="15" customHeight="1"/>
    <row r="3962" ht="15" customHeight="1"/>
    <row r="3963" ht="15" customHeight="1"/>
    <row r="3964" ht="15" customHeight="1"/>
    <row r="3965" ht="15" customHeight="1"/>
    <row r="3966" ht="15" customHeight="1"/>
    <row r="3967" ht="15" customHeight="1"/>
    <row r="3968" ht="15" customHeight="1"/>
    <row r="3969" ht="15" customHeight="1"/>
    <row r="3970" ht="15" customHeight="1"/>
    <row r="3971" ht="15" customHeight="1"/>
    <row r="3972" ht="15" customHeight="1"/>
    <row r="3973" ht="15" customHeight="1"/>
    <row r="3974" ht="15" customHeight="1"/>
    <row r="3975" ht="15" customHeight="1"/>
    <row r="3976" ht="15" customHeight="1"/>
    <row r="3977" ht="15" customHeight="1"/>
    <row r="3978" ht="15" customHeight="1"/>
    <row r="3979" ht="15" customHeight="1"/>
    <row r="3980" ht="15" customHeight="1"/>
    <row r="3981" ht="15" customHeight="1"/>
    <row r="3982" ht="15" customHeight="1"/>
    <row r="3983" ht="15" customHeight="1"/>
    <row r="3984" ht="15" customHeight="1"/>
    <row r="3985" ht="15" customHeight="1"/>
    <row r="3986" ht="15" customHeight="1"/>
    <row r="3987" ht="15" customHeight="1"/>
    <row r="3988" ht="15" customHeight="1"/>
    <row r="3989" ht="15" customHeight="1"/>
    <row r="3990" ht="15" customHeight="1"/>
    <row r="3991" ht="15" customHeight="1"/>
    <row r="3992" ht="15" customHeight="1"/>
    <row r="3993" ht="15" customHeight="1"/>
    <row r="3994" ht="15" customHeight="1"/>
    <row r="3995" ht="15" customHeight="1"/>
    <row r="3996" ht="15" customHeight="1"/>
    <row r="3997" ht="15" customHeight="1"/>
    <row r="3998" ht="15" customHeight="1"/>
    <row r="3999" ht="15" customHeight="1"/>
    <row r="4000" ht="15" customHeight="1"/>
    <row r="4001" ht="15" customHeight="1"/>
    <row r="4002" ht="15" customHeight="1"/>
    <row r="4003" ht="15" customHeight="1"/>
    <row r="4004" ht="15" customHeight="1"/>
    <row r="4005" ht="15" customHeight="1"/>
    <row r="4006" ht="15" customHeight="1"/>
    <row r="4007" ht="15" customHeight="1"/>
    <row r="4008" ht="15" customHeight="1"/>
    <row r="4009" ht="15" customHeight="1"/>
    <row r="4010" ht="15" customHeight="1"/>
    <row r="4011" ht="15" customHeight="1"/>
    <row r="4012" ht="15" customHeight="1"/>
    <row r="4013" ht="15" customHeight="1"/>
    <row r="4014" ht="15" customHeight="1"/>
    <row r="4015" ht="15" customHeight="1"/>
    <row r="4016" ht="15" customHeight="1"/>
    <row r="4017" ht="15" customHeight="1"/>
    <row r="4018" ht="15" customHeight="1"/>
    <row r="4019" ht="15" customHeight="1"/>
    <row r="4020" ht="15" customHeight="1"/>
    <row r="4021" ht="15" customHeight="1"/>
    <row r="4022" ht="15" customHeight="1"/>
    <row r="4023" ht="15" customHeight="1"/>
    <row r="4024" ht="15" customHeight="1"/>
    <row r="4025" ht="15" customHeight="1"/>
    <row r="4026" ht="15" customHeight="1"/>
    <row r="4027" ht="15" customHeight="1"/>
    <row r="4028" ht="15" customHeight="1"/>
    <row r="4029" ht="15" customHeight="1"/>
    <row r="4030" ht="15" customHeight="1"/>
    <row r="4031" ht="15" customHeight="1"/>
    <row r="4032" ht="15" customHeight="1"/>
    <row r="4033" ht="15" customHeight="1"/>
    <row r="4034" ht="15" customHeight="1"/>
    <row r="4035" ht="15" customHeight="1"/>
    <row r="4036" ht="15" customHeight="1"/>
    <row r="4037" ht="15" customHeight="1"/>
    <row r="4038" ht="15" customHeight="1"/>
    <row r="4039" ht="15" customHeight="1"/>
    <row r="4040" ht="15" customHeight="1"/>
    <row r="4041" ht="15" customHeight="1"/>
    <row r="4042" ht="15" customHeight="1"/>
    <row r="4043" ht="15" customHeight="1"/>
    <row r="4044" ht="15" customHeight="1"/>
    <row r="4045" ht="15" customHeight="1"/>
    <row r="4046" ht="15" customHeight="1"/>
    <row r="4047" ht="15" customHeight="1"/>
    <row r="4048" ht="15" customHeight="1"/>
    <row r="4049" ht="15" customHeight="1"/>
    <row r="4050" ht="15" customHeight="1"/>
    <row r="4051" ht="15" customHeight="1"/>
    <row r="4052" ht="15" customHeight="1"/>
    <row r="4053" ht="15" customHeight="1"/>
    <row r="4054" ht="15" customHeight="1"/>
    <row r="4055" ht="15" customHeight="1"/>
    <row r="4056" ht="15" customHeight="1"/>
    <row r="4057" ht="15" customHeight="1"/>
    <row r="4058" ht="15" customHeight="1"/>
    <row r="4059" ht="15" customHeight="1"/>
    <row r="4060" ht="15" customHeight="1"/>
    <row r="4061" ht="15" customHeight="1"/>
    <row r="4062" ht="15" customHeight="1"/>
    <row r="4063" ht="15" customHeight="1"/>
    <row r="4064" ht="15" customHeight="1"/>
    <row r="4065" ht="15" customHeight="1"/>
    <row r="4066" ht="15" customHeight="1"/>
    <row r="4067" ht="15" customHeight="1"/>
    <row r="4068" ht="15" customHeight="1"/>
    <row r="4069" ht="15" customHeight="1"/>
    <row r="4070" ht="15" customHeight="1"/>
    <row r="4071" ht="15" customHeight="1"/>
    <row r="4072" ht="15" customHeight="1"/>
    <row r="4073" ht="15" customHeight="1"/>
    <row r="4074" ht="15" customHeight="1"/>
    <row r="4075" ht="15" customHeight="1"/>
    <row r="4076" ht="15" customHeight="1"/>
    <row r="4077" ht="15" customHeight="1"/>
    <row r="4078" ht="15" customHeight="1"/>
    <row r="4079" ht="15" customHeight="1"/>
    <row r="4080" ht="15" customHeight="1"/>
    <row r="4081" ht="15" customHeight="1"/>
    <row r="4082" ht="15" customHeight="1"/>
    <row r="4083" ht="15" customHeight="1"/>
    <row r="4084" ht="15" customHeight="1"/>
    <row r="4085" ht="15" customHeight="1"/>
    <row r="4086" ht="15" customHeight="1"/>
    <row r="4087" ht="15" customHeight="1"/>
    <row r="4088" ht="15" customHeight="1"/>
    <row r="4089" ht="15" customHeight="1"/>
    <row r="4090" ht="15" customHeight="1"/>
    <row r="4091" ht="15" customHeight="1"/>
    <row r="4092" ht="15" customHeight="1"/>
    <row r="4093" ht="15" customHeight="1"/>
    <row r="4094" ht="15" customHeight="1"/>
    <row r="4095" ht="15" customHeight="1"/>
    <row r="4096" ht="15" customHeight="1"/>
    <row r="4097" ht="15" customHeight="1"/>
    <row r="4098" ht="15" customHeight="1"/>
    <row r="4099" ht="15" customHeight="1"/>
    <row r="4100" ht="15" customHeight="1"/>
    <row r="4101" ht="15" customHeight="1"/>
    <row r="4102" ht="15" customHeight="1"/>
    <row r="4103" ht="15" customHeight="1"/>
    <row r="4104" ht="15" customHeight="1"/>
    <row r="4105" ht="15" customHeight="1"/>
    <row r="4106" ht="15" customHeight="1"/>
    <row r="4107" ht="15" customHeight="1"/>
    <row r="4108" ht="15" customHeight="1"/>
    <row r="4109" ht="15" customHeight="1"/>
    <row r="4110" ht="15" customHeight="1"/>
    <row r="4111" ht="15" customHeight="1"/>
    <row r="4112" ht="15" customHeight="1"/>
    <row r="4113" ht="15" customHeight="1"/>
    <row r="4114" ht="15" customHeight="1"/>
    <row r="4115" ht="15" customHeight="1"/>
    <row r="4116" ht="15" customHeight="1"/>
    <row r="4117" ht="15" customHeight="1"/>
    <row r="4118" ht="15" customHeight="1"/>
    <row r="4119" ht="15" customHeight="1"/>
    <row r="4120" ht="15" customHeight="1"/>
    <row r="4121" ht="15" customHeight="1"/>
    <row r="4122" ht="15" customHeight="1"/>
    <row r="4123" ht="15" customHeight="1"/>
    <row r="4124" ht="15" customHeight="1"/>
    <row r="4125" ht="15" customHeight="1"/>
    <row r="4126" ht="15" customHeight="1"/>
    <row r="4127" ht="15" customHeight="1"/>
    <row r="4128" ht="15" customHeight="1"/>
    <row r="4129" ht="15" customHeight="1"/>
    <row r="4130" ht="15" customHeight="1"/>
    <row r="4131" ht="15" customHeight="1"/>
    <row r="4132" ht="15" customHeight="1"/>
    <row r="4133" ht="15" customHeight="1"/>
    <row r="4134" ht="15" customHeight="1"/>
    <row r="4135" ht="15" customHeight="1"/>
    <row r="4136" ht="15" customHeight="1"/>
    <row r="4137" ht="15" customHeight="1"/>
    <row r="4138" ht="15" customHeight="1"/>
    <row r="4139" ht="15" customHeight="1"/>
    <row r="4140" ht="15" customHeight="1"/>
    <row r="4141" ht="15" customHeight="1"/>
    <row r="4142" ht="15" customHeight="1"/>
    <row r="4143" ht="15" customHeight="1"/>
    <row r="4144" ht="15" customHeight="1"/>
    <row r="4145" ht="15" customHeight="1"/>
    <row r="4146" ht="15" customHeight="1"/>
    <row r="4147" ht="15" customHeight="1"/>
    <row r="4148" ht="15" customHeight="1"/>
    <row r="4149" ht="15" customHeight="1"/>
    <row r="4150" ht="15" customHeight="1"/>
    <row r="4151" ht="15" customHeight="1"/>
    <row r="4152" ht="15" customHeight="1"/>
    <row r="4153" ht="15" customHeight="1"/>
    <row r="4154" ht="15" customHeight="1"/>
    <row r="4155" ht="15" customHeight="1"/>
    <row r="4156" ht="15" customHeight="1"/>
    <row r="4157" ht="15" customHeight="1"/>
    <row r="4158" ht="15" customHeight="1"/>
    <row r="4159" ht="15" customHeight="1"/>
    <row r="4160" ht="15" customHeight="1"/>
    <row r="4161" ht="15" customHeight="1"/>
    <row r="4162" ht="15" customHeight="1"/>
    <row r="4163" ht="15" customHeight="1"/>
    <row r="4164" ht="15" customHeight="1"/>
    <row r="4165" ht="15" customHeight="1"/>
    <row r="4166" ht="15" customHeight="1"/>
    <row r="4167" ht="15" customHeight="1"/>
    <row r="4168" ht="15" customHeight="1"/>
    <row r="4169" ht="15" customHeight="1"/>
    <row r="4170" ht="15" customHeight="1"/>
    <row r="4171" ht="15" customHeight="1"/>
    <row r="4172" ht="15" customHeight="1"/>
    <row r="4173" ht="15" customHeight="1"/>
    <row r="4174" ht="15" customHeight="1"/>
    <row r="4175" ht="15" customHeight="1"/>
    <row r="4176" ht="15" customHeight="1"/>
    <row r="4177" ht="15" customHeight="1"/>
    <row r="4178" ht="15" customHeight="1"/>
    <row r="4179" ht="15" customHeight="1"/>
    <row r="4180" ht="15" customHeight="1"/>
    <row r="4181" ht="15" customHeight="1"/>
    <row r="4182" ht="15" customHeight="1"/>
    <row r="4183" ht="15" customHeight="1"/>
    <row r="4184" ht="15" customHeight="1"/>
    <row r="4185" ht="15" customHeight="1"/>
    <row r="4186" ht="15" customHeight="1"/>
    <row r="4187" ht="15" customHeight="1"/>
    <row r="4188" ht="15" customHeight="1"/>
    <row r="4189" ht="15" customHeight="1"/>
    <row r="4190" ht="15" customHeight="1"/>
    <row r="4191" ht="15" customHeight="1"/>
    <row r="4192" ht="15" customHeight="1"/>
    <row r="4193" ht="15" customHeight="1"/>
    <row r="4194" ht="15" customHeight="1"/>
    <row r="4195" ht="15" customHeight="1"/>
    <row r="4196" ht="15" customHeight="1"/>
    <row r="4197" ht="15" customHeight="1"/>
    <row r="4198" ht="15" customHeight="1"/>
    <row r="4199" ht="15" customHeight="1"/>
    <row r="4200" ht="15" customHeight="1"/>
    <row r="4201" ht="15" customHeight="1"/>
    <row r="4202" ht="15" customHeight="1"/>
    <row r="4203" ht="15" customHeight="1"/>
    <row r="4204" ht="15" customHeight="1"/>
    <row r="4205" ht="15" customHeight="1"/>
    <row r="4206" ht="15" customHeight="1"/>
    <row r="4207" ht="15" customHeight="1"/>
    <row r="4208" ht="15" customHeight="1"/>
    <row r="4209" ht="15" customHeight="1"/>
    <row r="4210" ht="15" customHeight="1"/>
    <row r="4211" ht="15" customHeight="1"/>
    <row r="4212" ht="15" customHeight="1"/>
    <row r="4213" ht="15" customHeight="1"/>
    <row r="4214" ht="15" customHeight="1"/>
    <row r="4215" ht="15" customHeight="1"/>
    <row r="4216" ht="15" customHeight="1"/>
    <row r="4217" ht="15" customHeight="1"/>
    <row r="4218" ht="15" customHeight="1"/>
    <row r="4219" ht="15" customHeight="1"/>
    <row r="4220" ht="15" customHeight="1"/>
    <row r="4221" ht="15" customHeight="1"/>
    <row r="4222" ht="15" customHeight="1"/>
    <row r="4223" ht="15" customHeight="1"/>
    <row r="4224" ht="15" customHeight="1"/>
    <row r="4225" ht="15" customHeight="1"/>
    <row r="4226" ht="15" customHeight="1"/>
    <row r="4227" ht="15" customHeight="1"/>
    <row r="4228" ht="15" customHeight="1"/>
    <row r="4229" ht="15" customHeight="1"/>
    <row r="4230" ht="15" customHeight="1"/>
    <row r="4231" ht="15" customHeight="1"/>
    <row r="4232" ht="15" customHeight="1"/>
    <row r="4233" ht="15" customHeight="1"/>
    <row r="4234" ht="15" customHeight="1"/>
    <row r="4235" ht="15" customHeight="1"/>
    <row r="4236" ht="15" customHeight="1"/>
    <row r="4237" ht="15" customHeight="1"/>
    <row r="4238" ht="15" customHeight="1"/>
    <row r="4239" ht="15" customHeight="1"/>
    <row r="4240" ht="15" customHeight="1"/>
    <row r="4241" ht="15" customHeight="1"/>
    <row r="4242" ht="15" customHeight="1"/>
    <row r="4243" ht="15" customHeight="1"/>
    <row r="4244" ht="15" customHeight="1"/>
    <row r="4245" ht="15" customHeight="1"/>
    <row r="4246" ht="15" customHeight="1"/>
    <row r="4247" ht="15" customHeight="1"/>
    <row r="4248" ht="15" customHeight="1"/>
    <row r="4249" ht="15" customHeight="1"/>
    <row r="4250" ht="15" customHeight="1"/>
    <row r="4251" ht="15" customHeight="1"/>
    <row r="4252" ht="15" customHeight="1"/>
    <row r="4253" ht="15" customHeight="1"/>
    <row r="4254" ht="15" customHeight="1"/>
    <row r="4255" ht="15" customHeight="1"/>
    <row r="4256" ht="15" customHeight="1"/>
    <row r="4257" ht="15" customHeight="1"/>
    <row r="4258" ht="15" customHeight="1"/>
    <row r="4259" ht="15" customHeight="1"/>
    <row r="4260" ht="15" customHeight="1"/>
    <row r="4261" ht="15" customHeight="1"/>
    <row r="4262" ht="15" customHeight="1"/>
    <row r="4263" ht="15" customHeight="1"/>
    <row r="4264" ht="15" customHeight="1"/>
    <row r="4265" ht="15" customHeight="1"/>
    <row r="4266" ht="15" customHeight="1"/>
    <row r="4267" ht="15" customHeight="1"/>
    <row r="4268" ht="15" customHeight="1"/>
    <row r="4269" ht="15" customHeight="1"/>
    <row r="4270" ht="15" customHeight="1"/>
    <row r="4271" ht="15" customHeight="1"/>
    <row r="4272" ht="15" customHeight="1"/>
    <row r="4273" ht="15" customHeight="1"/>
    <row r="4274" ht="15" customHeight="1"/>
    <row r="4275" ht="15" customHeight="1"/>
    <row r="4276" ht="15" customHeight="1"/>
    <row r="4277" ht="15" customHeight="1"/>
    <row r="4278" ht="15" customHeight="1"/>
    <row r="4279" ht="15" customHeight="1"/>
    <row r="4280" ht="15" customHeight="1"/>
    <row r="4281" ht="15" customHeight="1"/>
    <row r="4282" ht="15" customHeight="1"/>
    <row r="4283" ht="15" customHeight="1"/>
    <row r="4284" ht="15" customHeight="1"/>
    <row r="4285" ht="15" customHeight="1"/>
    <row r="4286" ht="15" customHeight="1"/>
    <row r="4287" ht="15" customHeight="1"/>
    <row r="4288" ht="15" customHeight="1"/>
    <row r="4289" ht="15" customHeight="1"/>
    <row r="4290" ht="15" customHeight="1"/>
    <row r="4291" ht="15" customHeight="1"/>
    <row r="4292" ht="15" customHeight="1"/>
    <row r="4293" ht="15" customHeight="1"/>
    <row r="4294" ht="15" customHeight="1"/>
    <row r="4295" ht="15" customHeight="1"/>
    <row r="4296" ht="15" customHeight="1"/>
    <row r="4297" ht="15" customHeight="1"/>
    <row r="4298" ht="15" customHeight="1"/>
    <row r="4299" ht="15" customHeight="1"/>
    <row r="4300" ht="15" customHeight="1"/>
    <row r="4301" ht="15" customHeight="1"/>
    <row r="4302" ht="15" customHeight="1"/>
    <row r="4303" ht="15" customHeight="1"/>
    <row r="4304" ht="15" customHeight="1"/>
    <row r="4305" ht="15" customHeight="1"/>
    <row r="4306" ht="15" customHeight="1"/>
    <row r="4307" ht="15" customHeight="1"/>
    <row r="4308" ht="15" customHeight="1"/>
    <row r="4309" ht="15" customHeight="1"/>
    <row r="4310" ht="15" customHeight="1"/>
    <row r="4311" ht="15" customHeight="1"/>
    <row r="4312" ht="15" customHeight="1"/>
    <row r="4313" ht="15" customHeight="1"/>
    <row r="4314" ht="15" customHeight="1"/>
    <row r="4315" ht="15" customHeight="1"/>
    <row r="4316" ht="15" customHeight="1"/>
    <row r="4317" ht="15" customHeight="1"/>
    <row r="4318" ht="15" customHeight="1"/>
    <row r="4319" ht="15" customHeight="1"/>
    <row r="4320" ht="15" customHeight="1"/>
    <row r="4321" ht="15" customHeight="1"/>
    <row r="4322" ht="15" customHeight="1"/>
    <row r="4323" ht="15" customHeight="1"/>
    <row r="4324" ht="15" customHeight="1"/>
    <row r="4325" ht="15" customHeight="1"/>
    <row r="4326" ht="15" customHeight="1"/>
    <row r="4327" ht="15" customHeight="1"/>
    <row r="4328" ht="15" customHeight="1"/>
    <row r="4329" ht="15" customHeight="1"/>
    <row r="4330" ht="15" customHeight="1"/>
    <row r="4331" ht="15" customHeight="1"/>
    <row r="4332" ht="15" customHeight="1"/>
    <row r="4333" ht="15" customHeight="1"/>
    <row r="4334" ht="15" customHeight="1"/>
    <row r="4335" ht="15" customHeight="1"/>
    <row r="4336" ht="15" customHeight="1"/>
    <row r="4337" ht="15" customHeight="1"/>
    <row r="4338" ht="15" customHeight="1"/>
    <row r="4339" ht="15" customHeight="1"/>
    <row r="4340" ht="15" customHeight="1"/>
    <row r="4341" ht="15" customHeight="1"/>
    <row r="4342" ht="15" customHeight="1"/>
    <row r="4343" ht="15" customHeight="1"/>
    <row r="4344" ht="15" customHeight="1"/>
    <row r="4345" ht="15" customHeight="1"/>
    <row r="4346" ht="15" customHeight="1"/>
    <row r="4347" ht="15" customHeight="1"/>
    <row r="4348" ht="15" customHeight="1"/>
    <row r="4349" ht="15" customHeight="1"/>
    <row r="4350" ht="15" customHeight="1"/>
    <row r="4351" ht="15" customHeight="1"/>
    <row r="4352" ht="15" customHeight="1"/>
    <row r="4353" ht="15" customHeight="1"/>
    <row r="4354" ht="15" customHeight="1"/>
    <row r="4355" ht="15" customHeight="1"/>
    <row r="4356" ht="15" customHeight="1"/>
    <row r="4357" ht="15" customHeight="1"/>
    <row r="4358" ht="15" customHeight="1"/>
    <row r="4359" ht="15" customHeight="1"/>
    <row r="4360" ht="15" customHeight="1"/>
    <row r="4361" ht="15" customHeight="1"/>
    <row r="4362" ht="15" customHeight="1"/>
    <row r="4363" ht="15" customHeight="1"/>
    <row r="4364" ht="15" customHeight="1"/>
    <row r="4365" ht="15" customHeight="1"/>
    <row r="4366" ht="15" customHeight="1"/>
    <row r="4367" ht="15" customHeight="1"/>
    <row r="4368" ht="15" customHeight="1"/>
    <row r="4369" ht="15" customHeight="1"/>
    <row r="4370" ht="15" customHeight="1"/>
    <row r="4371" ht="15" customHeight="1"/>
    <row r="4372" ht="15" customHeight="1"/>
    <row r="4373" ht="15" customHeight="1"/>
    <row r="4374" ht="15" customHeight="1"/>
    <row r="4375" ht="15" customHeight="1"/>
    <row r="4376" ht="15" customHeight="1"/>
    <row r="4377" ht="15" customHeight="1"/>
    <row r="4378" ht="15" customHeight="1"/>
    <row r="4379" ht="15" customHeight="1"/>
    <row r="4380" ht="15" customHeight="1"/>
    <row r="4381" ht="15" customHeight="1"/>
    <row r="4382" ht="15" customHeight="1"/>
    <row r="4383" ht="15" customHeight="1"/>
    <row r="4384" ht="15" customHeight="1"/>
    <row r="4385" ht="15" customHeight="1"/>
    <row r="4386" ht="15" customHeight="1"/>
    <row r="4387" ht="15" customHeight="1"/>
    <row r="4388" ht="15" customHeight="1"/>
    <row r="4389" ht="15" customHeight="1"/>
    <row r="4390" ht="15" customHeight="1"/>
    <row r="4391" ht="15" customHeight="1"/>
    <row r="4392" ht="15" customHeight="1"/>
    <row r="4393" ht="15" customHeight="1"/>
    <row r="4394" ht="15" customHeight="1"/>
    <row r="4395" ht="15" customHeight="1"/>
    <row r="4396" ht="15" customHeight="1"/>
    <row r="4397" ht="15" customHeight="1"/>
    <row r="4398" ht="15" customHeight="1"/>
    <row r="4399" ht="15" customHeight="1"/>
    <row r="4400" ht="15" customHeight="1"/>
    <row r="4401" ht="15" customHeight="1"/>
    <row r="4402" ht="15" customHeight="1"/>
    <row r="4403" ht="15" customHeight="1"/>
    <row r="4404" ht="15" customHeight="1"/>
    <row r="4405" ht="15" customHeight="1"/>
    <row r="4406" ht="15" customHeight="1"/>
    <row r="4407" ht="15" customHeight="1"/>
    <row r="4408" ht="15" customHeight="1"/>
    <row r="4409" ht="15" customHeight="1"/>
    <row r="4410" ht="15" customHeight="1"/>
    <row r="4411" ht="15" customHeight="1"/>
    <row r="4412" ht="15" customHeight="1"/>
    <row r="4413" ht="15" customHeight="1"/>
    <row r="4414" ht="15" customHeight="1"/>
    <row r="4415" ht="15" customHeight="1"/>
    <row r="4416" ht="15" customHeight="1"/>
    <row r="4417" ht="15" customHeight="1"/>
    <row r="4418" ht="15" customHeight="1"/>
    <row r="4419" ht="15" customHeight="1"/>
    <row r="4420" ht="15" customHeight="1"/>
    <row r="4421" ht="15" customHeight="1"/>
    <row r="4422" ht="15" customHeight="1"/>
    <row r="4423" ht="15" customHeight="1"/>
    <row r="4424" ht="15" customHeight="1"/>
    <row r="4425" ht="15" customHeight="1"/>
    <row r="4426" ht="15" customHeight="1"/>
    <row r="4427" ht="15" customHeight="1"/>
    <row r="4428" ht="15" customHeight="1"/>
    <row r="4429" ht="15" customHeight="1"/>
    <row r="4430" ht="15" customHeight="1"/>
    <row r="4431" ht="15" customHeight="1"/>
    <row r="4432" ht="15" customHeight="1"/>
    <row r="4433" ht="15" customHeight="1"/>
    <row r="4434" ht="15" customHeight="1"/>
    <row r="4435" ht="15" customHeight="1"/>
    <row r="4436" ht="15" customHeight="1"/>
    <row r="4437" ht="15" customHeight="1"/>
    <row r="4438" ht="15" customHeight="1"/>
    <row r="4439" ht="15" customHeight="1"/>
    <row r="4440" ht="15" customHeight="1"/>
    <row r="4441" ht="15" customHeight="1"/>
    <row r="4442" ht="15" customHeight="1"/>
    <row r="4443" ht="15" customHeight="1"/>
    <row r="4444" ht="15" customHeight="1"/>
    <row r="4445" ht="15" customHeight="1"/>
    <row r="4446" ht="15" customHeight="1"/>
    <row r="4447" ht="15" customHeight="1"/>
    <row r="4448" ht="15" customHeight="1"/>
    <row r="4449" ht="15" customHeight="1"/>
    <row r="4450" ht="15" customHeight="1"/>
    <row r="4451" ht="15" customHeight="1"/>
    <row r="4452" ht="15" customHeight="1"/>
    <row r="4453" ht="15" customHeight="1"/>
    <row r="4454" ht="15" customHeight="1"/>
    <row r="4455" ht="15" customHeight="1"/>
    <row r="4456" ht="15" customHeight="1"/>
    <row r="4457" ht="15" customHeight="1"/>
    <row r="4458" ht="15" customHeight="1"/>
    <row r="4459" ht="15" customHeight="1"/>
    <row r="4460" ht="15" customHeight="1"/>
    <row r="4461" ht="15" customHeight="1"/>
    <row r="4462" ht="15" customHeight="1"/>
    <row r="4463" ht="15" customHeight="1"/>
    <row r="4464" ht="15" customHeight="1"/>
    <row r="4465" ht="15" customHeight="1"/>
    <row r="4466" ht="15" customHeight="1"/>
    <row r="4467" ht="15" customHeight="1"/>
    <row r="4468" ht="15" customHeight="1"/>
    <row r="4469" ht="15" customHeight="1"/>
    <row r="4470" ht="15" customHeight="1"/>
    <row r="4471" ht="15" customHeight="1"/>
    <row r="4472" ht="15" customHeight="1"/>
    <row r="4473" ht="15" customHeight="1"/>
    <row r="4474" ht="15" customHeight="1"/>
    <row r="4475" ht="15" customHeight="1"/>
    <row r="4476" ht="15" customHeight="1"/>
    <row r="4477" ht="15" customHeight="1"/>
    <row r="4478" ht="15" customHeight="1"/>
    <row r="4479" ht="15" customHeight="1"/>
    <row r="4480" ht="15" customHeight="1"/>
    <row r="4481" ht="15" customHeight="1"/>
    <row r="4482" ht="15" customHeight="1"/>
    <row r="4483" ht="15" customHeight="1"/>
    <row r="4484" ht="15" customHeight="1"/>
    <row r="4485" ht="15" customHeight="1"/>
    <row r="4486" ht="15" customHeight="1"/>
    <row r="4487" ht="15" customHeight="1"/>
    <row r="4488" ht="15" customHeight="1"/>
    <row r="4489" ht="15" customHeight="1"/>
    <row r="4490" ht="15" customHeight="1"/>
    <row r="4491" ht="15" customHeight="1"/>
    <row r="4492" ht="15" customHeight="1"/>
    <row r="4493" ht="15" customHeight="1"/>
    <row r="4494" ht="15" customHeight="1"/>
    <row r="4495" ht="15" customHeight="1"/>
    <row r="4496" ht="15" customHeight="1"/>
    <row r="4497" ht="15" customHeight="1"/>
    <row r="4498" ht="15" customHeight="1"/>
    <row r="4499" ht="15" customHeight="1"/>
    <row r="4500" ht="15" customHeight="1"/>
    <row r="4501" ht="15" customHeight="1"/>
    <row r="4502" ht="15" customHeight="1"/>
    <row r="4503" ht="15" customHeight="1"/>
    <row r="4504" ht="15" customHeight="1"/>
    <row r="4505" ht="15" customHeight="1"/>
    <row r="4506" ht="15" customHeight="1"/>
    <row r="4507" ht="15" customHeight="1"/>
    <row r="4508" ht="15" customHeight="1"/>
    <row r="4509" ht="15" customHeight="1"/>
    <row r="4510" ht="15" customHeight="1"/>
    <row r="4511" ht="15" customHeight="1"/>
    <row r="4512" ht="15" customHeight="1"/>
    <row r="4513" ht="15" customHeight="1"/>
    <row r="4514" ht="15" customHeight="1"/>
    <row r="4515" ht="15" customHeight="1"/>
    <row r="4516" ht="15" customHeight="1"/>
    <row r="4517" ht="15" customHeight="1"/>
    <row r="4518" ht="15" customHeight="1"/>
    <row r="4519" ht="15" customHeight="1"/>
    <row r="4520" ht="15" customHeight="1"/>
    <row r="4521" ht="15" customHeight="1"/>
    <row r="4522" ht="15" customHeight="1"/>
    <row r="4523" ht="15" customHeight="1"/>
    <row r="4524" ht="15" customHeight="1"/>
    <row r="4525" ht="15" customHeight="1"/>
    <row r="4526" ht="15" customHeight="1"/>
    <row r="4527" ht="15" customHeight="1"/>
    <row r="4528" ht="15" customHeight="1"/>
    <row r="4529" ht="15" customHeight="1"/>
    <row r="4530" ht="15" customHeight="1"/>
    <row r="4531" ht="15" customHeight="1"/>
    <row r="4532" ht="15" customHeight="1"/>
    <row r="4533" ht="15" customHeight="1"/>
    <row r="4534" ht="15" customHeight="1"/>
    <row r="4535" ht="15" customHeight="1"/>
    <row r="4536" ht="15" customHeight="1"/>
    <row r="4537" ht="15" customHeight="1"/>
    <row r="4538" ht="15" customHeight="1"/>
    <row r="4539" ht="15" customHeight="1"/>
    <row r="4540" ht="15" customHeight="1"/>
    <row r="4541" ht="15" customHeight="1"/>
    <row r="4542" ht="15" customHeight="1"/>
    <row r="4543" ht="15" customHeight="1"/>
    <row r="4544" ht="15" customHeight="1"/>
    <row r="4545" ht="15" customHeight="1"/>
    <row r="4546" ht="15" customHeight="1"/>
    <row r="4547" ht="15" customHeight="1"/>
    <row r="4548" ht="15" customHeight="1"/>
    <row r="4549" ht="15" customHeight="1"/>
    <row r="4550" ht="15" customHeight="1"/>
    <row r="4551" ht="15" customHeight="1"/>
    <row r="4552" ht="15" customHeight="1"/>
    <row r="4553" ht="15" customHeight="1"/>
    <row r="4554" ht="15" customHeight="1"/>
    <row r="4555" ht="15" customHeight="1"/>
    <row r="4556" ht="15" customHeight="1"/>
    <row r="4557" ht="15" customHeight="1"/>
    <row r="4558" ht="15" customHeight="1"/>
    <row r="4559" ht="15" customHeight="1"/>
    <row r="4560" ht="15" customHeight="1"/>
    <row r="4561" ht="15" customHeight="1"/>
    <row r="4562" ht="15" customHeight="1"/>
    <row r="4563" ht="15" customHeight="1"/>
    <row r="4564" ht="15" customHeight="1"/>
    <row r="4565" ht="15" customHeight="1"/>
    <row r="4566" ht="15" customHeight="1"/>
    <row r="4567" ht="15" customHeight="1"/>
    <row r="4568" ht="15" customHeight="1"/>
    <row r="4569" ht="15" customHeight="1"/>
    <row r="4570" ht="15" customHeight="1"/>
    <row r="4571" ht="15" customHeight="1"/>
    <row r="4572" ht="15" customHeight="1"/>
    <row r="4573" ht="15" customHeight="1"/>
    <row r="4574" ht="15" customHeight="1"/>
    <row r="4575" ht="15" customHeight="1"/>
    <row r="4576" ht="15" customHeight="1"/>
    <row r="4577" ht="15" customHeight="1"/>
    <row r="4578" ht="15" customHeight="1"/>
    <row r="4579" ht="15" customHeight="1"/>
    <row r="4580" ht="15" customHeight="1"/>
    <row r="4581" ht="15" customHeight="1"/>
    <row r="4582" ht="15" customHeight="1"/>
    <row r="4583" ht="15" customHeight="1"/>
    <row r="4584" ht="15" customHeight="1"/>
    <row r="4585" ht="15" customHeight="1"/>
    <row r="4586" ht="15" customHeight="1"/>
    <row r="4587" ht="15" customHeight="1"/>
    <row r="4588" ht="15" customHeight="1"/>
    <row r="4589" ht="15" customHeight="1"/>
    <row r="4590" ht="15" customHeight="1"/>
    <row r="4591" ht="15" customHeight="1"/>
    <row r="4592" ht="15" customHeight="1"/>
    <row r="4593" ht="15" customHeight="1"/>
    <row r="4594" ht="15" customHeight="1"/>
    <row r="4595" ht="15" customHeight="1"/>
    <row r="4596" ht="15" customHeight="1"/>
    <row r="4597" ht="15" customHeight="1"/>
    <row r="4598" ht="15" customHeight="1"/>
    <row r="4599" ht="15" customHeight="1"/>
    <row r="4600" ht="15" customHeight="1"/>
    <row r="4601" ht="15" customHeight="1"/>
    <row r="4602" ht="15" customHeight="1"/>
    <row r="4603" ht="15" customHeight="1"/>
    <row r="4604" ht="15" customHeight="1"/>
    <row r="4605" ht="15" customHeight="1"/>
    <row r="4606" ht="15" customHeight="1"/>
    <row r="4607" ht="15" customHeight="1"/>
    <row r="4608" ht="15" customHeight="1"/>
    <row r="4609" ht="15" customHeight="1"/>
    <row r="4610" ht="15" customHeight="1"/>
    <row r="4611" ht="15" customHeight="1"/>
    <row r="4612" ht="15" customHeight="1"/>
    <row r="4613" ht="15" customHeight="1"/>
    <row r="4614" ht="15" customHeight="1"/>
    <row r="4615" ht="15" customHeight="1"/>
    <row r="4616" ht="15" customHeight="1"/>
    <row r="4617" ht="15" customHeight="1"/>
    <row r="4618" ht="15" customHeight="1"/>
    <row r="4619" ht="15" customHeight="1"/>
    <row r="4620" ht="15" customHeight="1"/>
    <row r="4621" ht="15" customHeight="1"/>
    <row r="4622" ht="15" customHeight="1"/>
    <row r="4623" ht="15" customHeight="1"/>
    <row r="4624" ht="15" customHeight="1"/>
    <row r="4625" ht="15" customHeight="1"/>
    <row r="4626" ht="15" customHeight="1"/>
    <row r="4627" ht="15" customHeight="1"/>
    <row r="4628" ht="15" customHeight="1"/>
    <row r="4629" ht="15" customHeight="1"/>
    <row r="4630" ht="15" customHeight="1"/>
    <row r="4631" ht="15" customHeight="1"/>
    <row r="4632" ht="15" customHeight="1"/>
    <row r="4633" ht="15" customHeight="1"/>
    <row r="4634" ht="15" customHeight="1"/>
    <row r="4635" ht="15" customHeight="1"/>
    <row r="4636" ht="15" customHeight="1"/>
    <row r="4637" ht="15" customHeight="1"/>
    <row r="4638" ht="15" customHeight="1"/>
    <row r="4639" ht="15" customHeight="1"/>
    <row r="4640" ht="15" customHeight="1"/>
    <row r="4641" ht="15" customHeight="1"/>
    <row r="4642" ht="15" customHeight="1"/>
    <row r="4643" ht="15" customHeight="1"/>
    <row r="4644" ht="15" customHeight="1"/>
    <row r="4645" ht="15" customHeight="1"/>
    <row r="4646" ht="15" customHeight="1"/>
    <row r="4647" ht="15" customHeight="1"/>
    <row r="4648" ht="15" customHeight="1"/>
    <row r="4649" ht="15" customHeight="1"/>
    <row r="4650" ht="15" customHeight="1"/>
    <row r="4651" ht="15" customHeight="1"/>
    <row r="4652" ht="15" customHeight="1"/>
    <row r="4653" ht="15" customHeight="1"/>
    <row r="4654" ht="15" customHeight="1"/>
    <row r="4655" ht="15" customHeight="1"/>
    <row r="4656" ht="15" customHeight="1"/>
    <row r="4657" ht="15" customHeight="1"/>
    <row r="4658" ht="15" customHeight="1"/>
    <row r="4659" ht="15" customHeight="1"/>
    <row r="4660" ht="15" customHeight="1"/>
    <row r="4661" ht="15" customHeight="1"/>
    <row r="4662" ht="15" customHeight="1"/>
    <row r="4663" ht="15" customHeight="1"/>
    <row r="4664" ht="15" customHeight="1"/>
    <row r="4665" ht="15" customHeight="1"/>
    <row r="4666" ht="15" customHeight="1"/>
    <row r="4667" ht="15" customHeight="1"/>
    <row r="4668" ht="15" customHeight="1"/>
    <row r="4669" ht="15" customHeight="1"/>
    <row r="4670" ht="15" customHeight="1"/>
    <row r="4671" ht="15" customHeight="1"/>
    <row r="4672" ht="15" customHeight="1"/>
    <row r="4673" ht="15" customHeight="1"/>
    <row r="4674" ht="15" customHeight="1"/>
    <row r="4675" ht="15" customHeight="1"/>
    <row r="4676" ht="15" customHeight="1"/>
    <row r="4677" ht="15" customHeight="1"/>
    <row r="4678" ht="15" customHeight="1"/>
    <row r="4679" ht="15" customHeight="1"/>
    <row r="4680" ht="15" customHeight="1"/>
    <row r="4681" ht="15" customHeight="1"/>
    <row r="4682" ht="15" customHeight="1"/>
    <row r="4683" ht="15" customHeight="1"/>
    <row r="4684" ht="15" customHeight="1"/>
    <row r="4685" ht="15" customHeight="1"/>
    <row r="4686" ht="15" customHeight="1"/>
    <row r="4687" ht="15" customHeight="1"/>
    <row r="4688" ht="15" customHeight="1"/>
    <row r="4689" ht="15" customHeight="1"/>
    <row r="4690" ht="15" customHeight="1"/>
    <row r="4691" ht="15" customHeight="1"/>
    <row r="4692" ht="15" customHeight="1"/>
    <row r="4693" ht="15" customHeight="1"/>
    <row r="4694" ht="15" customHeight="1"/>
    <row r="4695" ht="15" customHeight="1"/>
    <row r="4696" ht="15" customHeight="1"/>
    <row r="4697" ht="15" customHeight="1"/>
    <row r="4698" ht="15" customHeight="1"/>
    <row r="4699" ht="15" customHeight="1"/>
    <row r="4700" ht="15" customHeight="1"/>
    <row r="4701" ht="15" customHeight="1"/>
    <row r="4702" ht="15" customHeight="1"/>
    <row r="4703" ht="15" customHeight="1"/>
    <row r="4704" ht="15" customHeight="1"/>
    <row r="4705" ht="15" customHeight="1"/>
    <row r="4706" ht="15" customHeight="1"/>
    <row r="4707" ht="15" customHeight="1"/>
    <row r="4708" ht="15" customHeight="1"/>
    <row r="4709" ht="15" customHeight="1"/>
    <row r="4710" ht="15" customHeight="1"/>
    <row r="4711" ht="15" customHeight="1"/>
    <row r="4712" ht="15" customHeight="1"/>
    <row r="4713" ht="15" customHeight="1"/>
    <row r="4714" ht="15" customHeight="1"/>
    <row r="4715" ht="15" customHeight="1"/>
    <row r="4716" ht="15" customHeight="1"/>
    <row r="4717" ht="15" customHeight="1"/>
    <row r="4718" ht="15" customHeight="1"/>
    <row r="4719" ht="15" customHeight="1"/>
    <row r="4720" ht="15" customHeight="1"/>
    <row r="4721" ht="15" customHeight="1"/>
    <row r="4722" ht="15" customHeight="1"/>
    <row r="4723" ht="15" customHeight="1"/>
    <row r="4724" ht="15" customHeight="1"/>
    <row r="4725" ht="15" customHeight="1"/>
    <row r="4726" ht="15" customHeight="1"/>
    <row r="4727" ht="15" customHeight="1"/>
    <row r="4728" ht="15" customHeight="1"/>
    <row r="4729" ht="15" customHeight="1"/>
    <row r="4730" ht="15" customHeight="1"/>
    <row r="4731" ht="15" customHeight="1"/>
    <row r="4732" ht="15" customHeight="1"/>
    <row r="4733" ht="15" customHeight="1"/>
    <row r="4734" ht="15" customHeight="1"/>
    <row r="4735" ht="15" customHeight="1"/>
    <row r="4736" ht="15" customHeight="1"/>
    <row r="4737" ht="15" customHeight="1"/>
    <row r="4738" ht="15" customHeight="1"/>
    <row r="4739" ht="15" customHeight="1"/>
    <row r="4740" ht="15" customHeight="1"/>
    <row r="4741" ht="15" customHeight="1"/>
    <row r="4742" ht="15" customHeight="1"/>
    <row r="4743" ht="15" customHeight="1"/>
    <row r="4744" ht="15" customHeight="1"/>
    <row r="4745" ht="15" customHeight="1"/>
    <row r="4746" ht="15" customHeight="1"/>
    <row r="4747" ht="15" customHeight="1"/>
    <row r="4748" ht="15" customHeight="1"/>
    <row r="4749" ht="15" customHeight="1"/>
    <row r="4750" ht="15" customHeight="1"/>
    <row r="4751" ht="15" customHeight="1"/>
    <row r="4752" ht="15" customHeight="1"/>
    <row r="4753" ht="15" customHeight="1"/>
    <row r="4754" ht="15" customHeight="1"/>
    <row r="4755" ht="15" customHeight="1"/>
    <row r="4756" ht="15" customHeight="1"/>
    <row r="4757" ht="15" customHeight="1"/>
    <row r="4758" ht="15" customHeight="1"/>
    <row r="4759" ht="15" customHeight="1"/>
    <row r="4760" ht="15" customHeight="1"/>
    <row r="4761" ht="15" customHeight="1"/>
    <row r="4762" ht="15" customHeight="1"/>
    <row r="4763" ht="15" customHeight="1"/>
    <row r="4764" ht="15" customHeight="1"/>
    <row r="4765" ht="15" customHeight="1"/>
    <row r="4766" ht="15" customHeight="1"/>
    <row r="4767" ht="15" customHeight="1"/>
    <row r="4768" ht="15" customHeight="1"/>
    <row r="4769" ht="15" customHeight="1"/>
    <row r="4770" ht="15" customHeight="1"/>
    <row r="4771" ht="15" customHeight="1"/>
    <row r="4772" ht="15" customHeight="1"/>
    <row r="4773" ht="15" customHeight="1"/>
    <row r="4774" ht="15" customHeight="1"/>
    <row r="4775" ht="15" customHeight="1"/>
    <row r="4776" ht="15" customHeight="1"/>
    <row r="4777" ht="15" customHeight="1"/>
    <row r="4778" ht="15" customHeight="1"/>
    <row r="4779" ht="15" customHeight="1"/>
    <row r="4780" ht="15" customHeight="1"/>
    <row r="4781" ht="15" customHeight="1"/>
    <row r="4782" ht="15" customHeight="1"/>
    <row r="4783" ht="15" customHeight="1"/>
    <row r="4784" ht="15" customHeight="1"/>
    <row r="4785" ht="15" customHeight="1"/>
    <row r="4786" ht="15" customHeight="1"/>
    <row r="4787" ht="15" customHeight="1"/>
    <row r="4788" ht="15" customHeight="1"/>
    <row r="4789" ht="15" customHeight="1"/>
    <row r="4790" ht="15" customHeight="1"/>
    <row r="4791" ht="15" customHeight="1"/>
    <row r="4792" ht="15" customHeight="1"/>
    <row r="4793" ht="15" customHeight="1"/>
    <row r="4794" ht="15" customHeight="1"/>
    <row r="4795" ht="15" customHeight="1"/>
    <row r="4796" ht="15" customHeight="1"/>
    <row r="4797" ht="15" customHeight="1"/>
    <row r="4798" ht="15" customHeight="1"/>
    <row r="4799" ht="15" customHeight="1"/>
    <row r="4800" ht="15" customHeight="1"/>
    <row r="4801" ht="15" customHeight="1"/>
    <row r="4802" ht="15" customHeight="1"/>
    <row r="4803" ht="15" customHeight="1"/>
    <row r="4804" ht="15" customHeight="1"/>
    <row r="4805" ht="15" customHeight="1"/>
    <row r="4806" ht="15" customHeight="1"/>
    <row r="4807" ht="15" customHeight="1"/>
    <row r="4808" ht="15" customHeight="1"/>
    <row r="4809" ht="15" customHeight="1"/>
    <row r="4810" ht="15" customHeight="1"/>
    <row r="4811" ht="15" customHeight="1"/>
    <row r="4812" ht="15" customHeight="1"/>
    <row r="4813" ht="15" customHeight="1"/>
    <row r="4814" ht="15" customHeight="1"/>
    <row r="4815" ht="15" customHeight="1"/>
    <row r="4816" ht="15" customHeight="1"/>
    <row r="4817" ht="15" customHeight="1"/>
    <row r="4818" ht="15" customHeight="1"/>
    <row r="4819" ht="15" customHeight="1"/>
    <row r="4820" ht="15" customHeight="1"/>
    <row r="4821" ht="15" customHeight="1"/>
    <row r="4822" ht="15" customHeight="1"/>
    <row r="4823" ht="15" customHeight="1"/>
    <row r="4824" ht="15" customHeight="1"/>
    <row r="4825" ht="15" customHeight="1"/>
    <row r="4826" ht="15" customHeight="1"/>
    <row r="4827" ht="15" customHeight="1"/>
    <row r="4828" ht="15" customHeight="1"/>
    <row r="4829" ht="15" customHeight="1"/>
    <row r="4830" ht="15" customHeight="1"/>
    <row r="4831" ht="15" customHeight="1"/>
    <row r="4832" ht="15" customHeight="1"/>
    <row r="4833" ht="15" customHeight="1"/>
    <row r="4834" ht="15" customHeight="1"/>
    <row r="4835" ht="15" customHeight="1"/>
    <row r="4836" ht="15" customHeight="1"/>
    <row r="4837" ht="15" customHeight="1"/>
    <row r="4838" ht="15" customHeight="1"/>
    <row r="4839" ht="15" customHeight="1"/>
    <row r="4840" ht="15" customHeight="1"/>
    <row r="4841" ht="15" customHeight="1"/>
    <row r="4842" ht="15" customHeight="1"/>
    <row r="4843" ht="15" customHeight="1"/>
    <row r="4844" ht="15" customHeight="1"/>
    <row r="4845" ht="15" customHeight="1"/>
    <row r="4846" ht="15" customHeight="1"/>
    <row r="4847" ht="15" customHeight="1"/>
    <row r="4848" ht="15" customHeight="1"/>
    <row r="4849" ht="15" customHeight="1"/>
    <row r="4850" ht="15" customHeight="1"/>
    <row r="4851" ht="15" customHeight="1"/>
    <row r="4852" ht="15" customHeight="1"/>
    <row r="4853" ht="15" customHeight="1"/>
    <row r="4854" ht="15" customHeight="1"/>
    <row r="4855" ht="15" customHeight="1"/>
    <row r="4856" ht="15" customHeight="1"/>
    <row r="4857" ht="15" customHeight="1"/>
    <row r="4858" ht="15" customHeight="1"/>
    <row r="4859" ht="15" customHeight="1"/>
    <row r="4860" ht="15" customHeight="1"/>
    <row r="4861" ht="15" customHeight="1"/>
    <row r="4862" ht="15" customHeight="1"/>
    <row r="4863" ht="15" customHeight="1"/>
    <row r="4864" ht="15" customHeight="1"/>
    <row r="4865" ht="15" customHeight="1"/>
    <row r="4866" ht="15" customHeight="1"/>
    <row r="4867" ht="15" customHeight="1"/>
    <row r="4868" ht="15" customHeight="1"/>
    <row r="4869" ht="15" customHeight="1"/>
    <row r="4870" ht="15" customHeight="1"/>
    <row r="4871" ht="15" customHeight="1"/>
    <row r="4872" ht="15" customHeight="1"/>
    <row r="4873" ht="15" customHeight="1"/>
    <row r="4874" ht="15" customHeight="1"/>
    <row r="4875" ht="15" customHeight="1"/>
    <row r="4876" ht="15" customHeight="1"/>
    <row r="4877" ht="15" customHeight="1"/>
    <row r="4878" ht="15" customHeight="1"/>
    <row r="4879" ht="15" customHeight="1"/>
    <row r="4880" ht="15" customHeight="1"/>
    <row r="4881" ht="15" customHeight="1"/>
    <row r="4882" ht="15" customHeight="1"/>
    <row r="4883" ht="15" customHeight="1"/>
    <row r="4884" ht="15" customHeight="1"/>
    <row r="4885" ht="15" customHeight="1"/>
    <row r="4886" ht="15" customHeight="1"/>
    <row r="4887" ht="15" customHeight="1"/>
    <row r="4888" ht="15" customHeight="1"/>
    <row r="4889" ht="15" customHeight="1"/>
    <row r="4890" ht="15" customHeight="1"/>
    <row r="4891" ht="15" customHeight="1"/>
    <row r="4892" ht="15" customHeight="1"/>
    <row r="4893" ht="15" customHeight="1"/>
    <row r="4894" ht="15" customHeight="1"/>
    <row r="4895" ht="15" customHeight="1"/>
    <row r="4896" ht="15" customHeight="1"/>
    <row r="4897" ht="15" customHeight="1"/>
    <row r="4898" ht="15" customHeight="1"/>
    <row r="4899" ht="15" customHeight="1"/>
    <row r="4900" ht="15" customHeight="1"/>
    <row r="4901" ht="15" customHeight="1"/>
    <row r="4902" ht="15" customHeight="1"/>
    <row r="4903" ht="15" customHeight="1"/>
    <row r="4904" ht="15" customHeight="1"/>
    <row r="4905" ht="15" customHeight="1"/>
    <row r="4906" ht="15" customHeight="1"/>
    <row r="4907" ht="15" customHeight="1"/>
    <row r="4908" ht="15" customHeight="1"/>
    <row r="4909" ht="15" customHeight="1"/>
    <row r="4910" ht="15" customHeight="1"/>
    <row r="4911" ht="15" customHeight="1"/>
    <row r="4912" ht="15" customHeight="1"/>
    <row r="4913" ht="15" customHeight="1"/>
    <row r="4914" ht="15" customHeight="1"/>
    <row r="4915" ht="15" customHeight="1"/>
    <row r="4916" ht="15" customHeight="1"/>
    <row r="4917" ht="15" customHeight="1"/>
    <row r="4918" ht="15" customHeight="1"/>
    <row r="4919" ht="15" customHeight="1"/>
    <row r="4920" ht="15" customHeight="1"/>
    <row r="4921" ht="15" customHeight="1"/>
    <row r="4922" ht="15" customHeight="1"/>
    <row r="4923" ht="15" customHeight="1"/>
    <row r="4924" ht="15" customHeight="1"/>
    <row r="4925" ht="15" customHeight="1"/>
    <row r="4926" ht="15" customHeight="1"/>
    <row r="4927" ht="15" customHeight="1"/>
    <row r="4928" ht="15" customHeight="1"/>
    <row r="4929" ht="15" customHeight="1"/>
    <row r="4930" ht="15" customHeight="1"/>
    <row r="4931" ht="15" customHeight="1"/>
    <row r="4932" ht="15" customHeight="1"/>
    <row r="4933" ht="15" customHeight="1"/>
    <row r="4934" ht="15" customHeight="1"/>
    <row r="4935" ht="15" customHeight="1"/>
    <row r="4936" ht="15" customHeight="1"/>
    <row r="4937" ht="15" customHeight="1"/>
    <row r="4938" ht="15" customHeight="1"/>
    <row r="4939" ht="15" customHeight="1"/>
    <row r="4940" ht="15" customHeight="1"/>
    <row r="4941" ht="15" customHeight="1"/>
    <row r="4942" ht="15" customHeight="1"/>
    <row r="4943" ht="15" customHeight="1"/>
    <row r="4944" ht="15" customHeight="1"/>
    <row r="4945" ht="15" customHeight="1"/>
    <row r="4946" ht="15" customHeight="1"/>
    <row r="4947" ht="15" customHeight="1"/>
    <row r="4948" ht="15" customHeight="1"/>
    <row r="4949" ht="15" customHeight="1"/>
    <row r="4950" ht="15" customHeight="1"/>
    <row r="4951" ht="15" customHeight="1"/>
    <row r="4952" ht="15" customHeight="1"/>
    <row r="4953" ht="15" customHeight="1"/>
    <row r="4954" ht="15" customHeight="1"/>
    <row r="4955" ht="15" customHeight="1"/>
    <row r="4956" ht="15" customHeight="1"/>
    <row r="4957" ht="15" customHeight="1"/>
    <row r="4958" ht="15" customHeight="1"/>
    <row r="4959" ht="15" customHeight="1"/>
    <row r="4960" ht="15" customHeight="1"/>
    <row r="4961" ht="15" customHeight="1"/>
    <row r="4962" ht="15" customHeight="1"/>
    <row r="4963" ht="15" customHeight="1"/>
    <row r="4964" ht="15" customHeight="1"/>
    <row r="4965" ht="15" customHeight="1"/>
    <row r="4966" ht="15" customHeight="1"/>
    <row r="4967" ht="15" customHeight="1"/>
    <row r="4968" ht="15" customHeight="1"/>
    <row r="4969" ht="15" customHeight="1"/>
    <row r="4970" ht="15" customHeight="1"/>
    <row r="4971" ht="15" customHeight="1"/>
    <row r="4972" ht="15" customHeight="1"/>
    <row r="4973" ht="15" customHeight="1"/>
    <row r="4974" ht="15" customHeight="1"/>
    <row r="4975" ht="15" customHeight="1"/>
    <row r="4976" ht="15" customHeight="1"/>
    <row r="4977" ht="15" customHeight="1"/>
    <row r="4978" ht="15" customHeight="1"/>
    <row r="4979" ht="15" customHeight="1"/>
    <row r="4980" ht="15" customHeight="1"/>
    <row r="4981" ht="15" customHeight="1"/>
    <row r="4982" ht="15" customHeight="1"/>
    <row r="4983" ht="15" customHeight="1"/>
    <row r="4984" ht="15" customHeight="1"/>
    <row r="4985" ht="15" customHeight="1"/>
    <row r="4986" ht="15" customHeight="1"/>
    <row r="4987" ht="15" customHeight="1"/>
    <row r="4988" ht="15" customHeight="1"/>
    <row r="4989" ht="15" customHeight="1"/>
    <row r="4990" ht="15" customHeight="1"/>
    <row r="4991" ht="15" customHeight="1"/>
    <row r="4992" ht="15" customHeight="1"/>
    <row r="4993" ht="15" customHeight="1"/>
    <row r="4994" ht="15" customHeight="1"/>
    <row r="4995" ht="15" customHeight="1"/>
    <row r="4996" ht="15" customHeight="1"/>
    <row r="4997" ht="15" customHeight="1"/>
    <row r="4998" ht="15" customHeight="1"/>
    <row r="4999" ht="15" customHeight="1"/>
    <row r="5000" ht="15" customHeight="1"/>
    <row r="5001" ht="15" customHeight="1"/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3"/>
  <sheetViews>
    <sheetView zoomScaleNormal="100" workbookViewId="0">
      <selection activeCell="B25" sqref="B25"/>
    </sheetView>
  </sheetViews>
  <sheetFormatPr defaultColWidth="8.7109375" defaultRowHeight="15"/>
  <cols>
    <col min="1" max="1" width="12" customWidth="1"/>
    <col min="2" max="2" width="27" customWidth="1"/>
  </cols>
  <sheetData>
    <row r="1" spans="1:3" ht="15" customHeight="1">
      <c r="A1" s="116" t="s">
        <v>0</v>
      </c>
      <c r="B1" s="116" t="s">
        <v>1337</v>
      </c>
      <c r="C1" s="124" t="s">
        <v>99</v>
      </c>
    </row>
    <row r="2" spans="1:3" ht="15" customHeight="1">
      <c r="A2">
        <v>19</v>
      </c>
      <c r="B2" t="s">
        <v>252</v>
      </c>
    </row>
    <row r="3" spans="1:3" ht="15" customHeight="1">
      <c r="A3">
        <v>33</v>
      </c>
      <c r="B3" t="s">
        <v>329</v>
      </c>
      <c r="C3" t="s">
        <v>130</v>
      </c>
    </row>
    <row r="4" spans="1:3" ht="15" customHeight="1">
      <c r="A4">
        <v>36</v>
      </c>
      <c r="B4" t="s">
        <v>329</v>
      </c>
      <c r="C4" t="s">
        <v>130</v>
      </c>
    </row>
    <row r="5" spans="1:3" ht="15" customHeight="1">
      <c r="A5">
        <v>37</v>
      </c>
      <c r="B5" t="s">
        <v>329</v>
      </c>
      <c r="C5" t="s">
        <v>130</v>
      </c>
    </row>
    <row r="6" spans="1:3" ht="15" customHeight="1">
      <c r="A6">
        <v>38</v>
      </c>
      <c r="B6" t="s">
        <v>329</v>
      </c>
    </row>
    <row r="7" spans="1:3" ht="15" customHeight="1">
      <c r="A7">
        <v>49</v>
      </c>
      <c r="B7" t="s">
        <v>329</v>
      </c>
    </row>
    <row r="8" spans="1:3" ht="15" customHeight="1">
      <c r="A8">
        <v>59</v>
      </c>
      <c r="B8" t="s">
        <v>252</v>
      </c>
    </row>
    <row r="9" spans="1:3" ht="15" customHeight="1">
      <c r="A9">
        <v>75</v>
      </c>
      <c r="B9" t="s">
        <v>190</v>
      </c>
    </row>
    <row r="10" spans="1:3" ht="15" customHeight="1">
      <c r="A10">
        <v>94</v>
      </c>
      <c r="B10" t="s">
        <v>252</v>
      </c>
    </row>
    <row r="11" spans="1:3">
      <c r="A11">
        <v>120</v>
      </c>
      <c r="B11" t="s">
        <v>252</v>
      </c>
    </row>
    <row r="12" spans="1:3">
      <c r="A12">
        <v>132</v>
      </c>
      <c r="B12" t="s">
        <v>252</v>
      </c>
    </row>
    <row r="13" spans="1:3">
      <c r="A13">
        <v>142</v>
      </c>
      <c r="B13" t="s">
        <v>252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19</cp:revision>
  <dcterms:created xsi:type="dcterms:W3CDTF">2026-06-01T05:46:00Z</dcterms:created>
  <dcterms:modified xsi:type="dcterms:W3CDTF">2026-07-10T04:59:49Z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331f486-f8b5-456b-a19a-dbe0d296c5fd_ActionId">
    <vt:lpwstr>e3ced5c8-bb89-4474-9030-ccfadc4373c8</vt:lpwstr>
  </property>
  <property fmtid="{D5CDD505-2E9C-101B-9397-08002B2CF9AE}" pid="3" name="MSIP_Label_7331f486-f8b5-456b-a19a-dbe0d296c5fd_ContentBits">
    <vt:lpwstr>0</vt:lpwstr>
  </property>
  <property fmtid="{D5CDD505-2E9C-101B-9397-08002B2CF9AE}" pid="4" name="MSIP_Label_7331f486-f8b5-456b-a19a-dbe0d296c5fd_Enabled">
    <vt:lpwstr>true</vt:lpwstr>
  </property>
  <property fmtid="{D5CDD505-2E9C-101B-9397-08002B2CF9AE}" pid="5" name="MSIP_Label_7331f486-f8b5-456b-a19a-dbe0d296c5fd_Method">
    <vt:lpwstr>Standard</vt:lpwstr>
  </property>
  <property fmtid="{D5CDD505-2E9C-101B-9397-08002B2CF9AE}" pid="6" name="MSIP_Label_7331f486-f8b5-456b-a19a-dbe0d296c5fd_Name">
    <vt:lpwstr>Company Confidential Internal Use</vt:lpwstr>
  </property>
  <property fmtid="{D5CDD505-2E9C-101B-9397-08002B2CF9AE}" pid="7" name="MSIP_Label_7331f486-f8b5-456b-a19a-dbe0d296c5fd_SetDate">
    <vt:lpwstr>2026-06-01T11:56:56Z</vt:lpwstr>
  </property>
  <property fmtid="{D5CDD505-2E9C-101B-9397-08002B2CF9AE}" pid="8" name="MSIP_Label_7331f486-f8b5-456b-a19a-dbe0d296c5fd_SiteId">
    <vt:lpwstr>edf442f5-b994-4c86-a131-b42b03a16c95</vt:lpwstr>
  </property>
  <property fmtid="{D5CDD505-2E9C-101B-9397-08002B2CF9AE}" pid="9" name="MSIP_Label_7331f486-f8b5-456b-a19a-dbe0d296c5fd_Tag">
    <vt:lpwstr>10, 3, 0, 1</vt:lpwstr>
  </property>
</Properties>
</file>